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charts/chart12.xml" ContentType="application/vnd.openxmlformats-officedocument.drawingml.chart+xml"/>
  <Override PartName="/xl/charts/style6.xml" ContentType="application/vnd.ms-office.chartstyle+xml"/>
  <Override PartName="/xl/charts/colors6.xml" ContentType="application/vnd.ms-office.chartcolorstyle+xml"/>
  <Override PartName="/xl/charts/chart13.xml" ContentType="application/vnd.openxmlformats-officedocument.drawingml.chart+xml"/>
  <Override PartName="/xl/charts/style7.xml" ContentType="application/vnd.ms-office.chartstyle+xml"/>
  <Override PartName="/xl/charts/colors7.xml" ContentType="application/vnd.ms-office.chartcolorstyle+xml"/>
  <Override PartName="/xl/charts/chart14.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charts/chart16.xml" ContentType="application/vnd.openxmlformats-officedocument.drawingml.chart+xml"/>
  <Override PartName="/xl/charts/style10.xml" ContentType="application/vnd.ms-office.chartstyle+xml"/>
  <Override PartName="/xl/charts/colors10.xml" ContentType="application/vnd.ms-office.chartcolorstyle+xml"/>
  <Override PartName="/xl/charts/chart17.xml" ContentType="application/vnd.openxmlformats-officedocument.drawingml.chart+xml"/>
  <Override PartName="/xl/charts/style11.xml" ContentType="application/vnd.ms-office.chartstyle+xml"/>
  <Override PartName="/xl/charts/colors11.xml" ContentType="application/vnd.ms-office.chartcolorstyle+xml"/>
  <Override PartName="/xl/charts/chart18.xml" ContentType="application/vnd.openxmlformats-officedocument.drawingml.chart+xml"/>
  <Override PartName="/xl/charts/style12.xml" ContentType="application/vnd.ms-office.chartstyle+xml"/>
  <Override PartName="/xl/charts/colors12.xml" ContentType="application/vnd.ms-office.chartcolorstyle+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20.xml" ContentType="application/vnd.openxmlformats-officedocument.drawingml.chart+xml"/>
  <Override PartName="/xl/charts/style14.xml" ContentType="application/vnd.ms-office.chartstyle+xml"/>
  <Override PartName="/xl/charts/colors14.xml" ContentType="application/vnd.ms-office.chartcolorstyle+xml"/>
  <Override PartName="/xl/charts/chart21.xml" ContentType="application/vnd.openxmlformats-officedocument.drawingml.chart+xml"/>
  <Override PartName="/xl/charts/style15.xml" ContentType="application/vnd.ms-office.chartstyle+xml"/>
  <Override PartName="/xl/charts/colors15.xml" ContentType="application/vnd.ms-office.chartcolorstyle+xml"/>
  <Override PartName="/xl/charts/chart22.xml" ContentType="application/vnd.openxmlformats-officedocument.drawingml.chart+xml"/>
  <Override PartName="/xl/charts/style16.xml" ContentType="application/vnd.ms-office.chartstyle+xml"/>
  <Override PartName="/xl/charts/colors16.xml" ContentType="application/vnd.ms-office.chartcolorstyle+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charts/chart24.xml" ContentType="application/vnd.openxmlformats-officedocument.drawingml.chart+xml"/>
  <Override PartName="/xl/charts/style18.xml" ContentType="application/vnd.ms-office.chartstyle+xml"/>
  <Override PartName="/xl/charts/colors18.xml" ContentType="application/vnd.ms-office.chartcolorstyle+xml"/>
  <Override PartName="/xl/charts/chart25.xml" ContentType="application/vnd.openxmlformats-officedocument.drawingml.chart+xml"/>
  <Override PartName="/xl/charts/style19.xml" ContentType="application/vnd.ms-office.chartstyle+xml"/>
  <Override PartName="/xl/charts/colors19.xml" ContentType="application/vnd.ms-office.chartcolorstyle+xml"/>
  <Override PartName="/xl/tables/table3.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slicers/slicer1.xml" ContentType="application/vnd.ms-excel.slicer+xml"/>
  <Override PartName="/xl/charts/chart26.xml" ContentType="application/vnd.openxmlformats-officedocument.drawingml.chart+xml"/>
  <Override PartName="/xl/charts/style20.xml" ContentType="application/vnd.ms-office.chartstyle+xml"/>
  <Override PartName="/xl/charts/colors20.xml" ContentType="application/vnd.ms-office.chartcolorstyle+xml"/>
  <Override PartName="/xl/charts/chart27.xml" ContentType="application/vnd.openxmlformats-officedocument.drawingml.chart+xml"/>
  <Override PartName="/xl/charts/style21.xml" ContentType="application/vnd.ms-office.chartstyle+xml"/>
  <Override PartName="/xl/charts/colors21.xml" ContentType="application/vnd.ms-office.chartcolorstyle+xml"/>
  <Override PartName="/xl/charts/chart28.xml" ContentType="application/vnd.openxmlformats-officedocument.drawingml.chart+xml"/>
  <Override PartName="/xl/charts/style22.xml" ContentType="application/vnd.ms-office.chartstyle+xml"/>
  <Override PartName="/xl/charts/colors22.xml" ContentType="application/vnd.ms-office.chartcolorstyle+xml"/>
  <Override PartName="/xl/charts/chart29.xml" ContentType="application/vnd.openxmlformats-officedocument.drawingml.chart+xml"/>
  <Override PartName="/xl/charts/style23.xml" ContentType="application/vnd.ms-office.chartstyle+xml"/>
  <Override PartName="/xl/charts/colors23.xml" ContentType="application/vnd.ms-office.chartcolorstyle+xml"/>
  <Override PartName="/xl/charts/chart30.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8_{29CF422A-3220-4781-B078-3DEF3D78891B}" xr6:coauthVersionLast="47" xr6:coauthVersionMax="47" xr10:uidLastSave="{00000000-0000-0000-0000-000000000000}"/>
  <bookViews>
    <workbookView xWindow="-108" yWindow="-108" windowWidth="23256" windowHeight="12456" firstSheet="4" activeTab="4" xr2:uid="{00000000-000D-0000-FFFF-FFFF00000000}"/>
  </bookViews>
  <sheets>
    <sheet name="Dashboard Questions" sheetId="1" r:id="rId1"/>
    <sheet name="c_sat_pivots" sheetId="2" r:id="rId2"/>
    <sheet name="Customer_dashboard" sheetId="3" r:id="rId3"/>
    <sheet name="Customer Service Sol" sheetId="8" r:id="rId4"/>
    <sheet name="Customer charts" sheetId="11" r:id="rId5"/>
    <sheet name="Customer Service" sheetId="4" r:id="rId6"/>
    <sheet name="Finance" sheetId="5" r:id="rId7"/>
    <sheet name="Finance Sol" sheetId="9" r:id="rId8"/>
    <sheet name="Finance chart" sheetId="12" r:id="rId9"/>
    <sheet name="Orders" sheetId="6" r:id="rId10"/>
    <sheet name="order sol" sheetId="10" r:id="rId11"/>
    <sheet name="Sheet1" sheetId="7" r:id="rId12"/>
    <sheet name="Sheet2" sheetId="13" r:id="rId13"/>
  </sheets>
  <definedNames>
    <definedName name="Slicer_Agent_Handled">#REF!</definedName>
    <definedName name="Slicer_Contact_Type">#REF!</definedName>
    <definedName name="Slicer_Days__Contact_Date">#REF!</definedName>
    <definedName name="Slicer_Order_Type">#N/A</definedName>
  </definedNames>
  <calcPr calcId="191029"/>
  <pivotCaches>
    <pivotCache cacheId="0" r:id="rId14"/>
    <pivotCache cacheId="1" r:id="rId15"/>
    <pivotCache cacheId="2"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5" l="1"/>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alcChain>
</file>

<file path=xl/sharedStrings.xml><?xml version="1.0" encoding="utf-8"?>
<sst xmlns="http://schemas.openxmlformats.org/spreadsheetml/2006/main" count="12802" uniqueCount="1842">
  <si>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</si>
  <si>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</si>
  <si>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</si>
  <si>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</si>
  <si>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</si>
  <si>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</si>
  <si>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</si>
  <si>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</si>
  <si>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</si>
  <si>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</si>
  <si>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</si>
  <si>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</si>
  <si>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</si>
  <si>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</si>
  <si>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</si>
  <si>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</si>
  <si>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</si>
  <si>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</si>
  <si>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</si>
  <si>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</si>
  <si>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</si>
  <si>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Row Labels</t>
  </si>
  <si>
    <t>Average of Rating Given</t>
  </si>
  <si>
    <t>Adrien Martin</t>
  </si>
  <si>
    <t>Albain Forestier</t>
  </si>
  <si>
    <t>Roch Cousineau</t>
  </si>
  <si>
    <t>Count of Agent Handled</t>
  </si>
  <si>
    <t>Grand Total</t>
  </si>
  <si>
    <t>Count of Contact Type</t>
  </si>
  <si>
    <t>Complaint</t>
  </si>
  <si>
    <t>Query</t>
  </si>
  <si>
    <t>Request</t>
  </si>
  <si>
    <t>13-Jun</t>
  </si>
  <si>
    <t>14-Jun</t>
  </si>
  <si>
    <t>15-Jun</t>
  </si>
  <si>
    <t>16-Jun</t>
  </si>
  <si>
    <t>17-Jun</t>
  </si>
  <si>
    <t>18-Jun</t>
  </si>
  <si>
    <t>19-Jun</t>
  </si>
  <si>
    <t>20-Jun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</si>
  <si>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</si>
  <si>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</si>
  <si>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</si>
  <si>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</si>
  <si>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</si>
  <si>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</si>
  <si>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</si>
  <si>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</si>
  <si>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</si>
  <si>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</si>
  <si>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</si>
  <si>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</si>
  <si>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</si>
  <si>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</si>
  <si>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</si>
  <si>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</si>
  <si>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</si>
  <si>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</si>
  <si>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</si>
  <si>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</si>
  <si>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</si>
  <si>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</si>
  <si>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</si>
  <si>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</si>
  <si>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</si>
  <si>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</si>
  <si>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</si>
  <si>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</si>
  <si>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</si>
  <si>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</si>
  <si>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</si>
  <si>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</si>
  <si>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</si>
  <si>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</si>
  <si>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</si>
  <si>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</si>
  <si>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</si>
  <si>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</si>
  <si>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</si>
  <si>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</si>
  <si>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</si>
  <si>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</si>
  <si>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</si>
  <si>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</si>
  <si>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</si>
  <si>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</si>
  <si>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</si>
  <si>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</si>
  <si>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</si>
  <si>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</si>
  <si>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</si>
  <si>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</si>
  <si>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</si>
  <si>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</si>
  <si>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</si>
  <si>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</si>
  <si>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</si>
  <si>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</si>
  <si>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</si>
  <si>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</si>
  <si>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</si>
  <si>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</si>
  <si>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</si>
  <si>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</si>
  <si>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</si>
  <si>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</si>
  <si>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</si>
  <si>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</si>
  <si>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</si>
  <si>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</si>
  <si>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</si>
  <si>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</si>
  <si>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</si>
  <si>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</si>
  <si>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</si>
  <si>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</si>
  <si>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S.No</t>
  </si>
  <si>
    <t>Customer ID</t>
  </si>
  <si>
    <t>Order ID</t>
  </si>
  <si>
    <t>Customer Name</t>
  </si>
  <si>
    <t>Contact Date</t>
  </si>
  <si>
    <t>Contact Type</t>
  </si>
  <si>
    <t>Is It for an Order ?</t>
  </si>
  <si>
    <t>Ticket ID</t>
  </si>
  <si>
    <t>Agent Handled</t>
  </si>
  <si>
    <t>Rating Given</t>
  </si>
  <si>
    <t>PBOR00001</t>
  </si>
  <si>
    <t>Sam</t>
  </si>
  <si>
    <t>Yes</t>
  </si>
  <si>
    <t>PBCS0001</t>
  </si>
  <si>
    <t>PBOR00002</t>
  </si>
  <si>
    <t>Simma Raj</t>
  </si>
  <si>
    <t>PBCS0002</t>
  </si>
  <si>
    <t>PBOR00003</t>
  </si>
  <si>
    <t>Aditya Singh</t>
  </si>
  <si>
    <t>No</t>
  </si>
  <si>
    <t>PBCS0003</t>
  </si>
  <si>
    <t>PBOR00004</t>
  </si>
  <si>
    <t>Julian Richard Samson</t>
  </si>
  <si>
    <t>PBCS0004</t>
  </si>
  <si>
    <t>PBOR00005</t>
  </si>
  <si>
    <t>Savitri Kala</t>
  </si>
  <si>
    <t>PBCS0005</t>
  </si>
  <si>
    <t>PBOR00006</t>
  </si>
  <si>
    <t>Pratyush Trivedi</t>
  </si>
  <si>
    <t>PBCS0006</t>
  </si>
  <si>
    <t>PBOR00007</t>
  </si>
  <si>
    <t>Adhya Garg</t>
  </si>
  <si>
    <t>PBCS0007</t>
  </si>
  <si>
    <t>PBOR00009</t>
  </si>
  <si>
    <t>PBOR00008</t>
  </si>
  <si>
    <t>PBCS0008</t>
  </si>
  <si>
    <t>PBOR00010</t>
  </si>
  <si>
    <t>Pranav Bhatnagar</t>
  </si>
  <si>
    <t>PBCS0009</t>
  </si>
  <si>
    <t>PBOR00011</t>
  </si>
  <si>
    <t>PBCS0010</t>
  </si>
  <si>
    <t>PBOR00012</t>
  </si>
  <si>
    <t>Apurva Suri</t>
  </si>
  <si>
    <t>PBCS0011</t>
  </si>
  <si>
    <t>PBOR00013</t>
  </si>
  <si>
    <t>Lata Chokshi</t>
  </si>
  <si>
    <t>PBCS0012</t>
  </si>
  <si>
    <t>PBOR00014</t>
  </si>
  <si>
    <t>Aalia Desai</t>
  </si>
  <si>
    <t>PBCS0013</t>
  </si>
  <si>
    <t>PBOR00015</t>
  </si>
  <si>
    <t>Roshan Bath</t>
  </si>
  <si>
    <t>PBCS0014</t>
  </si>
  <si>
    <t>PBOR00016</t>
  </si>
  <si>
    <t>PBCS0015</t>
  </si>
  <si>
    <t>PBOR00017</t>
  </si>
  <si>
    <t>Dinesh Sharma</t>
  </si>
  <si>
    <t>PBCS0016</t>
  </si>
  <si>
    <t>PBOR00018</t>
  </si>
  <si>
    <t>PBCS0017</t>
  </si>
  <si>
    <t>PBOR00019</t>
  </si>
  <si>
    <t>PBCS0018</t>
  </si>
  <si>
    <t>PBOR00020</t>
  </si>
  <si>
    <t>Nitya Sandhu</t>
  </si>
  <si>
    <t>PBCS0019</t>
  </si>
  <si>
    <t>PBOR00021</t>
  </si>
  <si>
    <t>Shanta Swamy</t>
  </si>
  <si>
    <t>PBCS0020</t>
  </si>
  <si>
    <t>PBOR00022</t>
  </si>
  <si>
    <t>Viaan Kale</t>
  </si>
  <si>
    <t>PBCS0021</t>
  </si>
  <si>
    <t>PBOR00023</t>
  </si>
  <si>
    <t>Disha Tank</t>
  </si>
  <si>
    <t>PBCS0022</t>
  </si>
  <si>
    <t>PBOR00024</t>
  </si>
  <si>
    <t>Aaloak Naidu</t>
  </si>
  <si>
    <t>PBCS0023</t>
  </si>
  <si>
    <t>PBOR00025</t>
  </si>
  <si>
    <t>Nirmal Bahl</t>
  </si>
  <si>
    <t>PBCS0024</t>
  </si>
  <si>
    <t>PBOR00026</t>
  </si>
  <si>
    <t>Saral Narang</t>
  </si>
  <si>
    <t>PBCS0025</t>
  </si>
  <si>
    <t>PBOR00027</t>
  </si>
  <si>
    <t>Priya Aurora</t>
  </si>
  <si>
    <t>PBCS0026</t>
  </si>
  <si>
    <t>PBOR00035</t>
  </si>
  <si>
    <t>Sharma Kar</t>
  </si>
  <si>
    <t>PBCS0027</t>
  </si>
  <si>
    <t>PBOR00029</t>
  </si>
  <si>
    <t>PBOR00028</t>
  </si>
  <si>
    <t>Lakshmi Boase</t>
  </si>
  <si>
    <t>PBCS0028</t>
  </si>
  <si>
    <t>PBOR00030</t>
  </si>
  <si>
    <t>Jagan Choudhury</t>
  </si>
  <si>
    <t>PBCS0029</t>
  </si>
  <si>
    <t>PBOR00031</t>
  </si>
  <si>
    <t>Anit Sachdev</t>
  </si>
  <si>
    <t>PBCS0030</t>
  </si>
  <si>
    <t>PBOR00032</t>
  </si>
  <si>
    <t>Ritu Manne</t>
  </si>
  <si>
    <t>PBCS0031</t>
  </si>
  <si>
    <t>PBOR00033</t>
  </si>
  <si>
    <t>Aditya Ganesh</t>
  </si>
  <si>
    <t>PBCS0032</t>
  </si>
  <si>
    <t>PBOR00036</t>
  </si>
  <si>
    <t>PBCS0033</t>
  </si>
  <si>
    <t>PBOR00037</t>
  </si>
  <si>
    <t>PBOR00034</t>
  </si>
  <si>
    <t>PBCS0034</t>
  </si>
  <si>
    <t>PBOR00038</t>
  </si>
  <si>
    <t>PBCS0035</t>
  </si>
  <si>
    <t>PBOR00040</t>
  </si>
  <si>
    <t>PBCS0036</t>
  </si>
  <si>
    <t>PBOR00041</t>
  </si>
  <si>
    <t>PBCS0037</t>
  </si>
  <si>
    <t>PBOR00042</t>
  </si>
  <si>
    <t>PBCS0038</t>
  </si>
  <si>
    <t>PBOR00043</t>
  </si>
  <si>
    <t>PBOR00039</t>
  </si>
  <si>
    <t>PBCS0039</t>
  </si>
  <si>
    <t>PBOR00044</t>
  </si>
  <si>
    <t>Rajni Sood</t>
  </si>
  <si>
    <t>PBCS0040</t>
  </si>
  <si>
    <t>PBOR00045</t>
  </si>
  <si>
    <t>PBCS0041</t>
  </si>
  <si>
    <t>PBOR00046</t>
  </si>
  <si>
    <t>Lavanya Agate</t>
  </si>
  <si>
    <t>PBCS0042</t>
  </si>
  <si>
    <t>PBOR00047</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</si>
  <si>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</si>
  <si>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</si>
  <si>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</si>
  <si>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</si>
  <si>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</si>
  <si>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</si>
  <si>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</si>
  <si>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</si>
  <si>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</si>
  <si>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</si>
  <si>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</si>
  <si>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</si>
  <si>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</si>
  <si>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</si>
  <si>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</si>
  <si>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</si>
  <si>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</si>
  <si>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</si>
  <si>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</si>
  <si>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</si>
  <si>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</si>
  <si>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</si>
  <si>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</si>
  <si>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</si>
  <si>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PBCS0051</t>
  </si>
  <si>
    <t>PBOR00056</t>
  </si>
  <si>
    <t>PBCS0052</t>
  </si>
  <si>
    <t>PBOR00057</t>
  </si>
  <si>
    <t>PBCS0053</t>
  </si>
  <si>
    <t>PBOR00058</t>
  </si>
  <si>
    <t>PBCS0054</t>
  </si>
  <si>
    <t>PBOR00059</t>
  </si>
  <si>
    <t>PBCS0055</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</si>
  <si>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</si>
  <si>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</si>
  <si>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</si>
  <si>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</si>
  <si>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</si>
  <si>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</si>
  <si>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</si>
  <si>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</si>
  <si>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</si>
  <si>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</si>
  <si>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</si>
  <si>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</si>
  <si>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</si>
  <si>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</si>
  <si>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</si>
  <si>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</si>
  <si>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PBCS0063</t>
  </si>
  <si>
    <t>PBOR00068</t>
  </si>
  <si>
    <t>PBCS0064</t>
  </si>
  <si>
    <t>PBOR00069</t>
  </si>
  <si>
    <t>PBCS0065</t>
  </si>
  <si>
    <t>PBOR00070</t>
  </si>
  <si>
    <t>PBCS0066</t>
  </si>
  <si>
    <t>PBOR00071</t>
  </si>
  <si>
    <t>PBCS0067</t>
  </si>
  <si>
    <t>PBOR00072</t>
  </si>
  <si>
    <t>PBCS0068</t>
  </si>
  <si>
    <t>PBOR00073</t>
  </si>
  <si>
    <t>PBCS0069</t>
  </si>
  <si>
    <t>PBOR00074</t>
  </si>
  <si>
    <t>PBCS0070</t>
  </si>
  <si>
    <t>PBOR00075</t>
  </si>
  <si>
    <t>PBCS0071</t>
  </si>
  <si>
    <t>PBOR00076</t>
  </si>
  <si>
    <t>PBCS0072</t>
  </si>
  <si>
    <t>PBOR00077</t>
  </si>
  <si>
    <t>PBCS0073</t>
  </si>
  <si>
    <t>PBOR00078</t>
  </si>
  <si>
    <t>PBCS0074</t>
  </si>
  <si>
    <t>PBOR00079</t>
  </si>
  <si>
    <t>PBCS0075</t>
  </si>
  <si>
    <t>PBOR00080</t>
  </si>
  <si>
    <t>PBCS0076</t>
  </si>
  <si>
    <t>PBOR00081</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</si>
  <si>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</si>
  <si>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</si>
  <si>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</si>
  <si>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</si>
  <si>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</si>
  <si>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</si>
  <si>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</si>
  <si>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</si>
  <si>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</si>
  <si>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</si>
  <si>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</si>
  <si>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</si>
  <si>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</si>
  <si>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</si>
  <si>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</si>
  <si>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</si>
  <si>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</si>
  <si>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</si>
  <si>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</si>
  <si>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</si>
  <si>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</si>
  <si>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</si>
  <si>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</si>
  <si>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</si>
  <si>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</si>
  <si>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</si>
  <si>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</si>
  <si>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</si>
  <si>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</si>
  <si>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</si>
  <si>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</si>
  <si>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</si>
  <si>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</si>
  <si>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</si>
  <si>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</si>
  <si>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</si>
  <si>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</si>
  <si>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</si>
  <si>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</si>
  <si>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</si>
  <si>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</si>
  <si>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</si>
  <si>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</si>
  <si>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</si>
  <si>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</si>
  <si>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</si>
  <si>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</si>
  <si>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</si>
  <si>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</si>
  <si>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</si>
  <si>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</si>
  <si>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</si>
  <si>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</si>
  <si>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</si>
  <si>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</si>
  <si>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</si>
  <si>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</si>
  <si>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</si>
  <si>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</si>
  <si>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</si>
  <si>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</si>
  <si>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</si>
  <si>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</si>
  <si>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</si>
  <si>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PBOR00113</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</si>
  <si>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</si>
  <si>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</si>
  <si>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</si>
  <si>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</si>
  <si>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</si>
  <si>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</si>
  <si>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</si>
  <si>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</si>
  <si>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</si>
  <si>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</si>
  <si>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</si>
  <si>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</si>
  <si>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</si>
  <si>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</si>
  <si>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</si>
  <si>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</si>
  <si>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</si>
  <si>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</si>
  <si>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</si>
  <si>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</si>
  <si>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</si>
  <si>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</si>
  <si>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</si>
  <si>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</si>
  <si>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</si>
  <si>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PBOR00126</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</si>
  <si>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</si>
  <si>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</si>
  <si>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</si>
  <si>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</si>
  <si>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</si>
  <si>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</si>
  <si>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</si>
  <si>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</si>
  <si>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</si>
  <si>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</si>
  <si>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</si>
  <si>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</si>
  <si>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</si>
  <si>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</si>
  <si>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</si>
  <si>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</si>
  <si>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</si>
  <si>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</si>
  <si>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</si>
  <si>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</si>
  <si>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</si>
  <si>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</si>
  <si>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</si>
  <si>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</si>
  <si>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</si>
  <si>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</si>
  <si>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</si>
  <si>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</si>
  <si>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</si>
  <si>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</si>
  <si>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</si>
  <si>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</si>
  <si>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</si>
  <si>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</si>
  <si>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</si>
  <si>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</si>
  <si>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</si>
  <si>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</si>
  <si>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</si>
  <si>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</si>
  <si>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</si>
  <si>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</si>
  <si>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</si>
  <si>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</si>
  <si>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</si>
  <si>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PBOR00149</t>
  </si>
  <si>
    <t>PBCS0145</t>
  </si>
  <si>
    <t>PBOR00150</t>
  </si>
  <si>
    <t>PBCS0146</t>
  </si>
  <si>
    <t>PBOR00151</t>
  </si>
  <si>
    <t>PBCS0147</t>
  </si>
  <si>
    <t>PBOR00152</t>
  </si>
  <si>
    <t>PBCS0148</t>
  </si>
  <si>
    <t>PBOR00153</t>
  </si>
  <si>
    <t>PBCS0149</t>
  </si>
  <si>
    <t>PBOR00154</t>
  </si>
  <si>
    <t>PBCS0150</t>
  </si>
  <si>
    <t>PBOR00155</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</si>
  <si>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</si>
  <si>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</si>
  <si>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</si>
  <si>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</si>
  <si>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</si>
  <si>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</si>
  <si>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</si>
  <si>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</si>
  <si>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</si>
  <si>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</si>
  <si>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</si>
  <si>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</si>
  <si>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</si>
  <si>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</si>
  <si>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</si>
  <si>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</si>
  <si>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</si>
  <si>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PBOR00164</t>
  </si>
  <si>
    <t>PBCS0160</t>
  </si>
  <si>
    <t>PBOR00165</t>
  </si>
  <si>
    <t>PBCS0161</t>
  </si>
  <si>
    <t>PBOR00166</t>
  </si>
  <si>
    <t>PBCS0162</t>
  </si>
  <si>
    <t>PBOR00167</t>
  </si>
  <si>
    <t>PBCS0163</t>
  </si>
  <si>
    <t>PBOR00168</t>
  </si>
  <si>
    <t>PBCS0164</t>
  </si>
  <si>
    <t>PBOR00169</t>
  </si>
  <si>
    <t>PBCS0165</t>
  </si>
  <si>
    <t>PBOR00170</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</si>
  <si>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</si>
  <si>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</si>
  <si>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</si>
  <si>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</si>
  <si>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</si>
  <si>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</si>
  <si>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</si>
  <si>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</si>
  <si>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</si>
  <si>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</si>
  <si>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</si>
  <si>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</si>
  <si>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</si>
  <si>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</si>
  <si>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</si>
  <si>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</si>
  <si>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</si>
  <si>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</si>
  <si>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</si>
  <si>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</si>
  <si>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</si>
  <si>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</si>
  <si>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</si>
  <si>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</si>
  <si>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</si>
  <si>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</si>
  <si>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</si>
  <si>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</si>
  <si>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</si>
  <si>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</si>
  <si>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</si>
  <si>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</si>
  <si>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</si>
  <si>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</si>
  <si>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</si>
  <si>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</si>
  <si>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</si>
  <si>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</si>
  <si>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</si>
  <si>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</si>
  <si>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</si>
  <si>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</si>
  <si>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</si>
  <si>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</si>
  <si>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</si>
  <si>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</si>
  <si>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</si>
  <si>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</si>
  <si>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</si>
  <si>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</si>
  <si>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</si>
  <si>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</si>
  <si>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</si>
  <si>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</si>
  <si>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</si>
  <si>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</si>
  <si>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</si>
  <si>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</si>
  <si>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</si>
  <si>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</si>
  <si>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</si>
  <si>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</si>
  <si>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</si>
  <si>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</si>
  <si>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</si>
  <si>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</si>
  <si>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</si>
  <si>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</si>
  <si>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</si>
  <si>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</si>
  <si>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</si>
  <si>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</si>
  <si>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</si>
  <si>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</si>
  <si>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</si>
  <si>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</si>
  <si>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</si>
  <si>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</si>
  <si>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</si>
  <si>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</si>
  <si>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</si>
  <si>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</si>
  <si>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</si>
  <si>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</si>
  <si>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</si>
  <si>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</si>
  <si>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</si>
  <si>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</si>
  <si>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</si>
  <si>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</si>
  <si>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</si>
  <si>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</si>
  <si>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</si>
  <si>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</si>
  <si>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</si>
  <si>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</si>
  <si>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</si>
  <si>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</si>
  <si>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</si>
  <si>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</si>
  <si>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</si>
  <si>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</si>
  <si>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</si>
  <si>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</si>
  <si>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</si>
  <si>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</si>
  <si>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</si>
  <si>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</si>
  <si>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</si>
  <si>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</si>
  <si>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</si>
  <si>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</si>
  <si>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</si>
  <si>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</si>
  <si>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</si>
  <si>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</si>
  <si>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</si>
  <si>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</si>
  <si>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</si>
  <si>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</si>
  <si>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</si>
  <si>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</si>
  <si>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</si>
  <si>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</si>
  <si>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</si>
  <si>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</si>
  <si>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</si>
  <si>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</si>
  <si>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</si>
  <si>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</si>
  <si>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</si>
  <si>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</si>
  <si>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</si>
  <si>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</si>
  <si>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</si>
  <si>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</si>
  <si>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</si>
  <si>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</si>
  <si>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</si>
  <si>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</si>
  <si>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</si>
  <si>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</si>
  <si>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</si>
  <si>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</si>
  <si>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</si>
  <si>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</si>
  <si>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</si>
  <si>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</si>
  <si>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</si>
  <si>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</si>
  <si>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</si>
  <si>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</si>
  <si>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</si>
  <si>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</si>
  <si>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</si>
  <si>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</si>
  <si>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</si>
  <si>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</si>
  <si>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</si>
  <si>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</si>
  <si>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</si>
  <si>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</si>
  <si>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</si>
  <si>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</si>
  <si>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</si>
  <si>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</si>
  <si>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</si>
  <si>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</si>
  <si>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</si>
  <si>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</si>
  <si>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</si>
  <si>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</si>
  <si>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</si>
  <si>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</si>
  <si>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</si>
  <si>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</si>
  <si>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</si>
  <si>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</si>
  <si>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</si>
  <si>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</si>
  <si>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</si>
  <si>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</si>
  <si>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</si>
  <si>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</si>
  <si>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</si>
  <si>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</si>
  <si>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</si>
  <si>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</si>
  <si>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</si>
  <si>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</si>
  <si>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</si>
  <si>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</si>
  <si>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</si>
  <si>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</si>
  <si>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</si>
  <si>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</si>
  <si>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</si>
  <si>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</si>
  <si>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</si>
  <si>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</si>
  <si>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</si>
  <si>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</si>
  <si>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</si>
  <si>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</si>
  <si>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</si>
  <si>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</si>
  <si>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</si>
  <si>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</si>
  <si>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</si>
  <si>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</si>
  <si>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</si>
  <si>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</si>
  <si>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</si>
  <si>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</si>
  <si>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</si>
  <si>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</si>
  <si>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</si>
  <si>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</si>
  <si>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</si>
  <si>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</si>
  <si>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</si>
  <si>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</si>
  <si>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</si>
  <si>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</si>
  <si>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</si>
  <si>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</si>
  <si>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</si>
  <si>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</si>
  <si>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</si>
  <si>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</si>
  <si>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</si>
  <si>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</si>
  <si>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</si>
  <si>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</si>
  <si>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</si>
  <si>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</si>
  <si>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</si>
  <si>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</si>
  <si>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</si>
  <si>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PBOR00290</t>
  </si>
  <si>
    <t>PBCS0286</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</si>
  <si>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</si>
  <si>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</si>
  <si>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</si>
  <si>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</si>
  <si>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</si>
  <si>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</si>
  <si>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</si>
  <si>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</si>
  <si>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</si>
  <si>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</si>
  <si>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</si>
  <si>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</si>
  <si>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</si>
  <si>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</si>
  <si>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</si>
  <si>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</si>
  <si>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</si>
  <si>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</si>
  <si>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</si>
  <si>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</si>
  <si>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</si>
  <si>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</si>
  <si>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</si>
  <si>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</si>
  <si>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</si>
  <si>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</si>
  <si>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</si>
  <si>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</si>
  <si>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</si>
  <si>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</si>
  <si>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</si>
  <si>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</si>
  <si>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</si>
  <si>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</si>
  <si>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</si>
  <si>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</si>
  <si>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</si>
  <si>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</si>
  <si>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</si>
  <si>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</si>
  <si>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</si>
  <si>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</si>
  <si>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</si>
  <si>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</si>
  <si>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</si>
  <si>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</si>
  <si>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</si>
  <si>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</si>
  <si>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</si>
  <si>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</si>
  <si>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</si>
  <si>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</si>
  <si>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</si>
  <si>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</si>
  <si>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</si>
  <si>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</si>
  <si>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</si>
  <si>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</si>
  <si>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</si>
  <si>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</si>
  <si>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</si>
  <si>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</si>
  <si>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</si>
  <si>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</si>
  <si>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</si>
  <si>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</si>
  <si>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</si>
  <si>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</si>
  <si>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</si>
  <si>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</si>
  <si>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</si>
  <si>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</si>
  <si>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</si>
  <si>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</si>
  <si>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</si>
  <si>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</si>
  <si>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</si>
  <si>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</si>
  <si>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</si>
  <si>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</si>
  <si>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</si>
  <si>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</si>
  <si>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</si>
  <si>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</si>
  <si>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</si>
  <si>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</si>
  <si>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</si>
  <si>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</si>
  <si>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</si>
  <si>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</si>
  <si>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</si>
  <si>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</si>
  <si>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</si>
  <si>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</si>
  <si>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</si>
  <si>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</si>
  <si>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</si>
  <si>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</si>
  <si>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</si>
  <si>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</si>
  <si>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</si>
  <si>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</si>
  <si>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</si>
  <si>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</si>
  <si>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</si>
  <si>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</si>
  <si>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</si>
  <si>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</si>
  <si>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</si>
  <si>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</si>
  <si>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</si>
  <si>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</si>
  <si>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</si>
  <si>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</si>
  <si>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</si>
  <si>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</si>
  <si>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</si>
  <si>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</si>
  <si>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</si>
  <si>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</si>
  <si>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</si>
  <si>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</si>
  <si>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</si>
  <si>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</si>
  <si>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</si>
  <si>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</si>
  <si>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</si>
  <si>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</si>
  <si>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</si>
  <si>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</si>
  <si>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</si>
  <si>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</si>
  <si>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</si>
  <si>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</si>
  <si>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</si>
  <si>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</si>
  <si>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</si>
  <si>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</si>
  <si>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</si>
  <si>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</si>
  <si>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</si>
  <si>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</si>
  <si>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</si>
  <si>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</si>
  <si>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</si>
  <si>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</si>
  <si>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</si>
  <si>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</si>
  <si>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</si>
  <si>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</si>
  <si>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</si>
  <si>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</si>
  <si>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</si>
  <si>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</si>
  <si>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</si>
  <si>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</si>
  <si>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</si>
  <si>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</si>
  <si>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</si>
  <si>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</si>
  <si>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</si>
  <si>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</si>
  <si>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</si>
  <si>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</si>
  <si>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</si>
  <si>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</si>
  <si>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</si>
  <si>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</si>
  <si>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</si>
  <si>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</si>
  <si>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</si>
  <si>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</si>
  <si>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</si>
  <si>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</si>
  <si>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</si>
  <si>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</si>
  <si>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</si>
  <si>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</si>
  <si>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</si>
  <si>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</si>
  <si>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</si>
  <si>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</si>
  <si>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</si>
  <si>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</si>
  <si>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</si>
  <si>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</si>
  <si>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</si>
  <si>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</si>
  <si>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</si>
  <si>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</si>
  <si>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</si>
  <si>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</si>
  <si>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</si>
  <si>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</si>
  <si>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</si>
  <si>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</si>
  <si>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</si>
  <si>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</si>
  <si>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</si>
  <si>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</si>
  <si>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</si>
  <si>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</si>
  <si>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</si>
  <si>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</si>
  <si>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</si>
  <si>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</si>
  <si>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</si>
  <si>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</si>
  <si>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</si>
  <si>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</si>
  <si>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</si>
  <si>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</si>
  <si>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</si>
  <si>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</si>
  <si>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</si>
  <si>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</si>
  <si>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</si>
  <si>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</si>
  <si>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</si>
  <si>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</si>
  <si>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</si>
  <si>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</si>
  <si>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</si>
  <si>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</si>
  <si>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</si>
  <si>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</si>
  <si>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</si>
  <si>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</si>
  <si>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</si>
  <si>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</si>
  <si>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</si>
  <si>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</si>
  <si>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</si>
  <si>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</si>
  <si>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</si>
  <si>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</si>
  <si>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</si>
  <si>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</si>
  <si>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</si>
  <si>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</si>
  <si>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</si>
  <si>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</si>
  <si>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</si>
  <si>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</si>
  <si>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</si>
  <si>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</si>
  <si>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</si>
  <si>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</si>
  <si>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</si>
  <si>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</si>
  <si>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</si>
  <si>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</si>
  <si>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</si>
  <si>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</si>
  <si>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</si>
  <si>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</si>
  <si>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</si>
  <si>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</si>
  <si>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</si>
  <si>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</si>
  <si>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</si>
  <si>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</si>
  <si>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</si>
  <si>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</si>
  <si>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</si>
  <si>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</si>
  <si>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</si>
  <si>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</si>
  <si>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</si>
  <si>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</si>
  <si>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</si>
  <si>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</si>
  <si>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</si>
  <si>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</si>
  <si>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</si>
  <si>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</si>
  <si>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</si>
  <si>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</si>
  <si>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</si>
  <si>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</si>
  <si>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</si>
  <si>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</si>
  <si>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</si>
  <si>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</si>
  <si>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</si>
  <si>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</si>
  <si>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</si>
  <si>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</si>
  <si>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</si>
  <si>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</si>
  <si>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</si>
  <si>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</si>
  <si>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</si>
  <si>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</si>
  <si>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</si>
  <si>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</si>
  <si>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</si>
  <si>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</si>
  <si>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</si>
  <si>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</si>
  <si>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</si>
  <si>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</si>
  <si>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</si>
  <si>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</si>
  <si>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</si>
  <si>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</si>
  <si>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</si>
  <si>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</si>
  <si>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</si>
  <si>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</si>
  <si>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</si>
  <si>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</si>
  <si>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</si>
  <si>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</si>
  <si>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</si>
  <si>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</si>
  <si>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</si>
  <si>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</si>
  <si>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</si>
  <si>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</si>
  <si>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</si>
  <si>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</si>
  <si>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</si>
  <si>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</si>
  <si>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</si>
  <si>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</si>
  <si>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</si>
  <si>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</si>
  <si>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</si>
  <si>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</si>
  <si>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</si>
  <si>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</si>
  <si>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</si>
  <si>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</si>
  <si>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</si>
  <si>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</si>
  <si>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</si>
  <si>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</si>
  <si>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</si>
  <si>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</si>
  <si>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</si>
  <si>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</si>
  <si>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</si>
  <si>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</si>
  <si>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</si>
  <si>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</si>
  <si>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</si>
  <si>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</si>
  <si>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</si>
  <si>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</si>
  <si>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</si>
  <si>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</si>
  <si>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</si>
  <si>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</si>
  <si>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</si>
  <si>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</si>
  <si>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</si>
  <si>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</si>
  <si>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</si>
  <si>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</si>
  <si>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</si>
  <si>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</si>
  <si>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</si>
  <si>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</si>
  <si>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</si>
  <si>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</si>
  <si>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</si>
  <si>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</si>
  <si>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</si>
  <si>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</si>
  <si>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</si>
  <si>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</si>
  <si>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</si>
  <si>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</si>
  <si>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</si>
  <si>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</si>
  <si>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</si>
  <si>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</si>
  <si>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</si>
  <si>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</si>
  <si>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</si>
  <si>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</si>
  <si>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</si>
  <si>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</si>
  <si>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</si>
  <si>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</si>
  <si>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</si>
  <si>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</si>
  <si>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</si>
  <si>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</si>
  <si>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</si>
  <si>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</si>
  <si>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</si>
  <si>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</si>
  <si>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</si>
  <si>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</si>
  <si>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</si>
  <si>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</si>
  <si>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</si>
  <si>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</si>
  <si>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</si>
  <si>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</si>
  <si>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</si>
  <si>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</si>
  <si>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</si>
  <si>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</si>
  <si>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</si>
  <si>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</si>
  <si>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</si>
  <si>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</si>
  <si>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</si>
  <si>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</si>
  <si>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</si>
  <si>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</si>
  <si>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</si>
  <si>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</si>
  <si>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</si>
  <si>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</si>
  <si>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</si>
  <si>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</si>
  <si>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</si>
  <si>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</si>
  <si>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</si>
  <si>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</si>
  <si>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</si>
  <si>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</si>
  <si>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</si>
  <si>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</si>
  <si>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</si>
  <si>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</si>
  <si>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</si>
  <si>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</si>
  <si>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</si>
  <si>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</si>
  <si>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</si>
  <si>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</si>
  <si>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</si>
  <si>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</si>
  <si>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</si>
  <si>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</si>
  <si>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</si>
  <si>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</si>
  <si>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</si>
  <si>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</si>
  <si>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</si>
  <si>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</si>
  <si>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</si>
  <si>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</si>
  <si>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</si>
  <si>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</si>
  <si>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</si>
  <si>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</si>
  <si>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</si>
  <si>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</si>
  <si>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</si>
  <si>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</si>
  <si>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</si>
  <si>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</si>
  <si>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</si>
  <si>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</si>
  <si>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</si>
  <si>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</si>
  <si>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</si>
  <si>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</si>
  <si>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</si>
  <si>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</si>
  <si>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</si>
  <si>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</si>
  <si>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</si>
  <si>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</si>
  <si>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</si>
  <si>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</si>
  <si>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</si>
  <si>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</si>
  <si>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</si>
  <si>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</si>
  <si>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</si>
  <si>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</si>
  <si>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</si>
  <si>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</si>
  <si>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</si>
  <si>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</si>
  <si>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</si>
  <si>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</si>
  <si>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</si>
  <si>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</si>
  <si>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</si>
  <si>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</si>
  <si>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</si>
  <si>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</si>
  <si>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</si>
  <si>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</si>
  <si>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</si>
  <si>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</si>
  <si>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</si>
  <si>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</si>
  <si>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</si>
  <si>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</si>
  <si>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</si>
  <si>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</si>
  <si>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</si>
  <si>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</si>
  <si>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</si>
  <si>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</si>
  <si>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</si>
  <si>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</si>
  <si>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</si>
  <si>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</si>
  <si>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</si>
  <si>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</si>
  <si>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</si>
  <si>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</si>
  <si>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</si>
  <si>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</si>
  <si>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</si>
  <si>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</si>
  <si>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</si>
  <si>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</si>
  <si>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</si>
  <si>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</si>
  <si>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</si>
  <si>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</si>
  <si>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</si>
  <si>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</si>
  <si>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</si>
  <si>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</si>
  <si>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</si>
  <si>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</si>
  <si>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</si>
  <si>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</si>
  <si>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</si>
  <si>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</si>
  <si>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</si>
  <si>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</si>
  <si>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</si>
  <si>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</si>
  <si>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</si>
  <si>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</si>
  <si>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</si>
  <si>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</si>
  <si>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</si>
  <si>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</si>
  <si>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</si>
  <si>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</si>
  <si>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</si>
  <si>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</si>
  <si>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</si>
  <si>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</si>
  <si>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</si>
  <si>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</si>
  <si>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</si>
  <si>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</si>
  <si>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</si>
  <si>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</si>
  <si>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</si>
  <si>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</si>
  <si>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</si>
  <si>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</si>
  <si>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</si>
  <si>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</si>
  <si>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</si>
  <si>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</si>
  <si>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</si>
  <si>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</si>
  <si>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</si>
  <si>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</si>
  <si>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</si>
  <si>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</si>
  <si>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</si>
  <si>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</si>
  <si>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</si>
  <si>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</si>
  <si>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</si>
  <si>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</si>
  <si>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</si>
  <si>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</si>
  <si>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</si>
  <si>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</si>
  <si>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</si>
  <si>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</si>
  <si>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</si>
  <si>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</si>
  <si>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</si>
  <si>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</si>
  <si>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</si>
  <si>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</si>
  <si>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</si>
  <si>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</si>
  <si>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</si>
  <si>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</si>
  <si>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</si>
  <si>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</si>
  <si>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</si>
  <si>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</si>
  <si>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</si>
  <si>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</si>
  <si>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</si>
  <si>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</si>
  <si>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</si>
  <si>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</si>
  <si>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</si>
  <si>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</si>
  <si>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</si>
  <si>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</si>
  <si>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</si>
  <si>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</si>
  <si>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</si>
  <si>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</si>
  <si>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</si>
  <si>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</si>
  <si>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</si>
  <si>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</si>
  <si>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</si>
  <si>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</si>
  <si>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</si>
  <si>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</si>
  <si>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</si>
  <si>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</si>
  <si>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</si>
  <si>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</si>
  <si>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</si>
  <si>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</si>
  <si>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</si>
  <si>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</si>
  <si>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</si>
  <si>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</si>
  <si>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</si>
  <si>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</si>
  <si>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</si>
  <si>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</si>
  <si>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</si>
  <si>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</si>
  <si>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</si>
  <si>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</si>
  <si>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</si>
  <si>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</si>
  <si>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</si>
  <si>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</si>
  <si>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</si>
  <si>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</si>
  <si>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</si>
  <si>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</si>
  <si>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</si>
  <si>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</si>
  <si>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</si>
  <si>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</si>
  <si>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</si>
  <si>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</si>
  <si>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</si>
  <si>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</si>
  <si>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</si>
  <si>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</si>
  <si>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</si>
  <si>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</si>
  <si>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</si>
  <si>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</si>
  <si>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</si>
  <si>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</si>
  <si>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</si>
  <si>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</si>
  <si>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</si>
  <si>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</si>
  <si>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</si>
  <si>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</si>
  <si>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</si>
  <si>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</si>
  <si>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</si>
  <si>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</si>
  <si>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</si>
  <si>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</si>
  <si>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</si>
  <si>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</si>
  <si>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</si>
  <si>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</si>
  <si>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</si>
  <si>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</si>
  <si>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</si>
  <si>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</si>
  <si>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</si>
  <si>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</si>
  <si>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</si>
  <si>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</si>
  <si>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</si>
  <si>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</si>
  <si>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</si>
  <si>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</si>
  <si>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</si>
  <si>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</si>
  <si>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</si>
  <si>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</si>
  <si>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</si>
  <si>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</si>
  <si>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</si>
  <si>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</si>
  <si>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</si>
  <si>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</si>
  <si>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</si>
  <si>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</si>
  <si>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</si>
  <si>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</si>
  <si>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</si>
  <si>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</si>
  <si>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</si>
  <si>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</si>
  <si>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</si>
  <si>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</si>
  <si>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</si>
  <si>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</si>
  <si>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</si>
  <si>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</si>
  <si>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</si>
  <si>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</si>
  <si>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</si>
  <si>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</si>
  <si>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</si>
  <si>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</si>
  <si>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</si>
  <si>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</si>
  <si>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</si>
  <si>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</si>
  <si>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</si>
  <si>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</si>
  <si>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</si>
  <si>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</si>
  <si>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</si>
  <si>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</si>
  <si>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</si>
  <si>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</si>
  <si>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</si>
  <si>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</si>
  <si>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</si>
  <si>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</si>
  <si>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</si>
  <si>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</si>
  <si>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</si>
  <si>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</si>
  <si>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</si>
  <si>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</si>
  <si>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</si>
  <si>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</si>
  <si>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</si>
  <si>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</si>
  <si>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</si>
  <si>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</si>
  <si>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</si>
  <si>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</si>
  <si>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</si>
  <si>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</si>
  <si>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</si>
  <si>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</si>
  <si>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</si>
  <si>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</si>
  <si>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</si>
  <si>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</si>
  <si>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</si>
  <si>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</si>
  <si>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</si>
  <si>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</si>
  <si>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</si>
  <si>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</si>
  <si>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</si>
  <si>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</si>
  <si>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</si>
  <si>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</si>
  <si>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</si>
  <si>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</si>
  <si>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</si>
  <si>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</si>
  <si>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</si>
  <si>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</si>
  <si>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</si>
  <si>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</si>
  <si>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</si>
  <si>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</si>
  <si>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</si>
  <si>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</si>
  <si>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</si>
  <si>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</si>
  <si>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</si>
  <si>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</si>
  <si>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</si>
  <si>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</si>
  <si>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</si>
  <si>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</si>
  <si>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</si>
  <si>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</si>
  <si>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</si>
  <si>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</si>
  <si>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</si>
  <si>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</si>
  <si>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</si>
  <si>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</si>
  <si>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</si>
  <si>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</si>
  <si>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</si>
  <si>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</si>
  <si>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</si>
  <si>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</si>
  <si>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</si>
  <si>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</si>
  <si>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</si>
  <si>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</si>
  <si>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</si>
  <si>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</si>
  <si>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</si>
  <si>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</si>
  <si>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</si>
  <si>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</si>
  <si>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</si>
  <si>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</si>
  <si>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</si>
  <si>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</si>
  <si>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</si>
  <si>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</si>
  <si>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</si>
  <si>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</si>
  <si>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</si>
  <si>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</si>
  <si>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</si>
  <si>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</si>
  <si>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</si>
  <si>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</si>
  <si>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</si>
  <si>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</si>
  <si>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</si>
  <si>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</si>
  <si>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</si>
  <si>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</si>
  <si>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</si>
  <si>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</si>
  <si>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</si>
  <si>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</si>
  <si>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</si>
  <si>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</si>
  <si>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</si>
  <si>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</si>
  <si>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</si>
  <si>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</si>
  <si>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</si>
  <si>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</si>
  <si>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</si>
  <si>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</si>
  <si>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</si>
  <si>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</si>
  <si>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</si>
  <si>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</si>
  <si>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</si>
  <si>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</si>
  <si>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</si>
  <si>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</si>
  <si>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</si>
  <si>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</si>
  <si>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</si>
  <si>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</si>
  <si>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</si>
  <si>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</si>
  <si>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</si>
  <si>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</si>
  <si>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</si>
  <si>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</si>
  <si>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</si>
  <si>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</si>
  <si>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</si>
  <si>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</si>
  <si>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</si>
  <si>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</si>
  <si>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</si>
  <si>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</si>
  <si>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</si>
  <si>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</si>
  <si>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</si>
  <si>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</si>
  <si>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</si>
  <si>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</si>
  <si>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</si>
  <si>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</si>
  <si>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</si>
  <si>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</si>
  <si>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</si>
  <si>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</si>
  <si>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</si>
  <si>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</si>
  <si>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</si>
  <si>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</si>
  <si>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</si>
  <si>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</si>
  <si>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</si>
  <si>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</si>
  <si>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</si>
  <si>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</si>
  <si>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</si>
  <si>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</si>
  <si>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</si>
  <si>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</si>
  <si>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</si>
  <si>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</si>
  <si>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</si>
  <si>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</si>
  <si>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</si>
  <si>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</si>
  <si>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</si>
  <si>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</si>
  <si>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</si>
  <si>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</si>
  <si>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</si>
  <si>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</si>
  <si>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</si>
  <si>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</si>
  <si>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</si>
  <si>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</si>
  <si>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</si>
  <si>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</si>
  <si>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</si>
  <si>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</si>
  <si>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</si>
  <si>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</si>
  <si>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</si>
  <si>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</si>
  <si>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</si>
  <si>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</si>
  <si>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</si>
  <si>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</si>
  <si>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</si>
  <si>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</si>
  <si>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</si>
  <si>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</si>
  <si>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</si>
  <si>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</si>
  <si>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</si>
  <si>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</si>
  <si>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</si>
  <si>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</si>
  <si>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</si>
  <si>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</si>
  <si>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</si>
  <si>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</si>
  <si>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</si>
  <si>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</si>
  <si>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</si>
  <si>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</si>
  <si>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</si>
  <si>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</si>
  <si>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</si>
  <si>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</si>
  <si>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</si>
  <si>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</si>
  <si>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</si>
  <si>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</si>
  <si>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</si>
  <si>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</si>
  <si>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</si>
  <si>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</si>
  <si>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</si>
  <si>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</si>
  <si>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</si>
  <si>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</si>
  <si>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</si>
  <si>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</si>
  <si>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</si>
  <si>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</si>
  <si>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</si>
  <si>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</si>
  <si>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</si>
  <si>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</si>
  <si>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</si>
  <si>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</si>
  <si>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</si>
  <si>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</si>
  <si>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</si>
  <si>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</si>
  <si>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</si>
  <si>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</si>
  <si>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</si>
  <si>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</si>
  <si>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</si>
  <si>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</si>
  <si>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</si>
  <si>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</si>
  <si>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</si>
  <si>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</si>
  <si>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</si>
  <si>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</si>
  <si>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</si>
  <si>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</si>
  <si>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</si>
  <si>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</si>
  <si>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</si>
  <si>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</si>
  <si>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</si>
  <si>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</si>
  <si>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</si>
  <si>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</si>
  <si>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</si>
  <si>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</si>
  <si>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</si>
  <si>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</si>
  <si>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</si>
  <si>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</si>
  <si>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</si>
  <si>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</si>
  <si>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</si>
  <si>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</si>
  <si>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</si>
  <si>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</si>
  <si>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</si>
  <si>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</si>
  <si>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</si>
  <si>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</si>
  <si>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</si>
  <si>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</si>
  <si>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</si>
  <si>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</si>
  <si>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</si>
  <si>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</si>
  <si>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</si>
  <si>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</si>
  <si>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Product ID</t>
  </si>
  <si>
    <t>Sale Date</t>
  </si>
  <si>
    <t>Amount in Sales</t>
  </si>
  <si>
    <t>Discounted Value</t>
  </si>
  <si>
    <t>Region</t>
  </si>
  <si>
    <t>PIZB0001</t>
  </si>
  <si>
    <t>North</t>
  </si>
  <si>
    <t>PIZB0002</t>
  </si>
  <si>
    <t>South</t>
  </si>
  <si>
    <t>PIZB0003</t>
  </si>
  <si>
    <t>East</t>
  </si>
  <si>
    <t>PIZB0004</t>
  </si>
  <si>
    <t>West</t>
  </si>
  <si>
    <t>PIZB0005</t>
  </si>
  <si>
    <t>PIZB0006</t>
  </si>
  <si>
    <t>Product Name</t>
  </si>
  <si>
    <t>Order Type</t>
  </si>
  <si>
    <t>Price of One Product</t>
  </si>
  <si>
    <t>Agent</t>
  </si>
  <si>
    <t>No of Products in one Sale</t>
  </si>
  <si>
    <t>Discount</t>
  </si>
  <si>
    <t>Paneer Tikka Pizzabun</t>
  </si>
  <si>
    <t>Online</t>
  </si>
  <si>
    <t>Crispy Chole Pizzabun</t>
  </si>
  <si>
    <t>Physical Visit</t>
  </si>
  <si>
    <t>Large Paneer Tikka Pizzabun</t>
  </si>
  <si>
    <t>Medium Crispy Chole Pizzabun</t>
  </si>
  <si>
    <t>Minty Pizzabun</t>
  </si>
  <si>
    <t>Aloo Shots Pizzabun</t>
  </si>
  <si>
    <t>Question 1</t>
  </si>
  <si>
    <t>Question 2</t>
  </si>
  <si>
    <t>Question 3</t>
  </si>
  <si>
    <t>Question 4</t>
  </si>
  <si>
    <t>Jun</t>
  </si>
  <si>
    <t>Jul</t>
  </si>
  <si>
    <t>Aug</t>
  </si>
  <si>
    <t>Sep</t>
  </si>
  <si>
    <t>1-Jul</t>
  </si>
  <si>
    <t>2-Jul</t>
  </si>
  <si>
    <t>3-Jul</t>
  </si>
  <si>
    <t>4-Jul</t>
  </si>
  <si>
    <t>5-Jul</t>
  </si>
  <si>
    <t>6-Jul</t>
  </si>
  <si>
    <t>7-Jul</t>
  </si>
  <si>
    <t>8-Jul</t>
  </si>
  <si>
    <t>9-Jul</t>
  </si>
  <si>
    <t>1-Aug</t>
  </si>
  <si>
    <t>2-Aug</t>
  </si>
  <si>
    <t>3-Aug</t>
  </si>
  <si>
    <t>4-Aug</t>
  </si>
  <si>
    <t>5-Aug</t>
  </si>
  <si>
    <t>6-Aug</t>
  </si>
  <si>
    <t>7-Aug</t>
  </si>
  <si>
    <t>8-Aug</t>
  </si>
  <si>
    <t>9-Aug</t>
  </si>
  <si>
    <t>1-Sep</t>
  </si>
  <si>
    <t>2-Sep</t>
  </si>
  <si>
    <t>3-Sep</t>
  </si>
  <si>
    <t>4-Sep</t>
  </si>
  <si>
    <t>5-Sep</t>
  </si>
  <si>
    <t>6-Sep</t>
  </si>
  <si>
    <t>Question 5</t>
  </si>
  <si>
    <t>Column1</t>
  </si>
  <si>
    <t>Count of Ticket ID</t>
  </si>
  <si>
    <t>Question 6</t>
  </si>
  <si>
    <t>Sum of Amount in Sales</t>
  </si>
  <si>
    <t>Average of Amount in Sales</t>
  </si>
  <si>
    <t>Rounded Sales</t>
  </si>
  <si>
    <t>Sum of Rounded Sales</t>
  </si>
  <si>
    <t>&lt;300</t>
  </si>
  <si>
    <t>300-499</t>
  </si>
  <si>
    <t>500-699</t>
  </si>
  <si>
    <t>700-899</t>
  </si>
  <si>
    <t>Count of Product ID</t>
  </si>
  <si>
    <t>Count of Order Type</t>
  </si>
  <si>
    <t>Count of Order ID</t>
  </si>
  <si>
    <t>Sum of Price of One Product</t>
  </si>
  <si>
    <t>Average of Price of One Product2</t>
  </si>
  <si>
    <t>Average of Discount</t>
  </si>
  <si>
    <t>Questioon 6</t>
  </si>
  <si>
    <t>Finance Charts</t>
  </si>
  <si>
    <t>Orders Charts</t>
  </si>
  <si>
    <t>Customer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</si>
</sst>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scheme val="minor"/>
    </font>
    <font>
      <sz val="11"/>
      <color theme="1"/>
      <name val="Calibri"/>
      <family val="2"/>
      <scheme val="minor"/>
    </font>
    <font>
      <b/>
      <sz val="11"/>
      <color theme="0"/>
      <name val="Calibri"/>
    </font>
    <font>
      <sz val="11"/>
      <color theme="1"/>
      <name val="Calibri"/>
      <scheme val="minor"/>
    </font>
    <font>
      <sz val="11"/>
      <color theme="1"/>
      <name val="Calibri"/>
    </font>
    <font>
      <sz val="11"/>
      <color rgb="FFFFFFFF"/>
      <name val="Calibri"/>
      <scheme val="minor"/>
    </font>
    <font>
      <b/>
      <sz val="14"/>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sz val="11"/>
      <color rgb="FF000000"/>
      <name val="Calibri"/>
      <family val="2"/>
      <scheme val="minor"/>
    </font>
    <font>
      <b/>
      <sz val="11"/>
      <color rgb="FFFFFFFF"/>
      <name val="Calibri"/>
      <family val="2"/>
      <scheme val="minor"/>
    </font>
    <font>
      <sz val="11"/>
      <color theme="8" tint="-0.499984740745262"/>
      <name val="Calibri"/>
      <family val="2"/>
      <scheme val="minor"/>
    </font>
    <font>
      <sz val="11"/>
      <color theme="2" tint="-0.34998626667073579"/>
      <name val="Calibri"/>
      <family val="2"/>
      <scheme val="minor"/>
    </font>
    <font>
      <sz val="11"/>
      <color theme="6" tint="0.79998168889431442"/>
      <name val="Calibri"/>
      <family val="2"/>
      <scheme val="minor"/>
    </font>
    <font>
      <sz val="72"/>
      <color theme="6" tint="0.79998168889431442"/>
      <name val="Calibri"/>
      <family val="2"/>
      <scheme val="minor"/>
    </font>
    <font>
      <sz val="72"/>
      <color theme="8" tint="-0.499984740745262"/>
      <name val="Calibri"/>
      <family val="2"/>
      <scheme val="minor"/>
    </font>
    <font>
      <sz val="11"/>
      <color theme="4" tint="0.79998168889431442"/>
      <name val="Calibri"/>
      <family val="2"/>
      <scheme val="minor"/>
    </font>
    <font>
      <sz val="48"/>
      <color theme="4" tint="0.79998168889431442"/>
      <name val="Calibri"/>
      <family val="2"/>
      <scheme val="minor"/>
    </font>
  </fonts>
  <fills count="10">
    <fill>
      <patternFill patternType="none"/>
    </fill>
    <fill>
      <patternFill patternType="gray125"/>
    </fill>
    <fill>
      <patternFill patternType="solid">
        <fgColor theme="4"/>
        <bgColor theme="4"/>
      </patternFill>
    </fill>
    <fill>
      <patternFill patternType="solid">
        <fgColor rgb="FF44546A"/>
        <bgColor rgb="FF44546A"/>
      </patternFill>
    </fill>
    <fill>
      <patternFill patternType="solid">
        <fgColor rgb="FF4472C4"/>
        <bgColor rgb="FF4472C4"/>
      </patternFill>
    </fill>
    <fill>
      <patternFill patternType="solid">
        <fgColor theme="4"/>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4" tint="0.79998168889431442"/>
        <bgColor indexed="64"/>
      </patternFill>
    </fill>
  </fills>
  <borders count="13">
    <border>
      <left/>
      <right/>
      <top/>
      <bottom/>
      <diagonal/>
    </border>
    <border>
      <left/>
      <right/>
      <top/>
      <bottom/>
      <diagonal/>
    </border>
    <border>
      <left/>
      <right style="thin">
        <color rgb="FF8EAADB"/>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s>
  <cellStyleXfs count="1">
    <xf numFmtId="0" fontId="0" fillId="0" borderId="0"/>
  </cellStyleXfs>
  <cellXfs count="48">
    <xf numFmtId="0" fontId="0" fillId="0" borderId="0" xfId="0"/>
    <xf numFmtId="0" fontId="2" fillId="2" borderId="1" xfId="0" applyFont="1" applyFill="1" applyBorder="1" applyAlignment="1">
      <alignment horizontal="center" vertical="center"/>
    </xf>
    <xf numFmtId="0" fontId="3" fillId="0" borderId="0" xfId="0" applyFont="1"/>
    <xf numFmtId="0" fontId="4" fillId="0" borderId="0" xfId="0" applyFont="1"/>
    <xf numFmtId="0" fontId="4" fillId="0" borderId="0" xfId="0" applyFont="1" applyAlignment="1">
      <alignment horizontal="left"/>
    </xf>
    <xf numFmtId="2" fontId="4" fillId="0" borderId="0" xfId="0" applyNumberFormat="1" applyFont="1"/>
    <xf numFmtId="0" fontId="4" fillId="3" borderId="1" xfId="0" applyFont="1" applyFill="1" applyBorder="1"/>
    <xf numFmtId="0" fontId="2" fillId="2" borderId="1" xfId="0" applyFont="1" applyFill="1" applyBorder="1"/>
    <xf numFmtId="14" fontId="2" fillId="2" borderId="1" xfId="0" applyNumberFormat="1" applyFont="1" applyFill="1" applyBorder="1"/>
    <xf numFmtId="0" fontId="2" fillId="2" borderId="2" xfId="0" applyFont="1" applyFill="1" applyBorder="1"/>
    <xf numFmtId="14" fontId="4" fillId="0" borderId="0" xfId="0" applyNumberFormat="1" applyFont="1"/>
    <xf numFmtId="0" fontId="5" fillId="0" borderId="0" xfId="0" applyFont="1"/>
    <xf numFmtId="15" fontId="4" fillId="0" borderId="0" xfId="0" applyNumberFormat="1" applyFont="1" applyAlignment="1">
      <alignment horizontal="center"/>
    </xf>
    <xf numFmtId="0" fontId="4" fillId="0" borderId="0" xfId="0" applyFont="1" applyAlignment="1">
      <alignment horizontal="center"/>
    </xf>
    <xf numFmtId="9" fontId="4" fillId="0" borderId="0" xfId="0" applyNumberFormat="1" applyFont="1"/>
    <xf numFmtId="0" fontId="0" fillId="0" borderId="3" xfId="0" applyBorder="1"/>
    <xf numFmtId="0" fontId="0" fillId="0" borderId="5" xfId="0" applyBorder="1"/>
    <xf numFmtId="0" fontId="0" fillId="0" borderId="6" xfId="0" applyBorder="1"/>
    <xf numFmtId="0" fontId="0" fillId="0" borderId="3" xfId="0" pivotButton="1" applyBorder="1"/>
    <xf numFmtId="0" fontId="0" fillId="0" borderId="7" xfId="0" applyBorder="1"/>
    <xf numFmtId="0" fontId="0" fillId="0" borderId="8" xfId="0" applyBorder="1"/>
    <xf numFmtId="0" fontId="0" fillId="0" borderId="9" xfId="0" applyBorder="1"/>
    <xf numFmtId="0" fontId="0" fillId="0" borderId="3" xfId="0" applyBorder="1" applyAlignment="1">
      <alignment horizontal="left"/>
    </xf>
    <xf numFmtId="0" fontId="0" fillId="0" borderId="4" xfId="0" applyBorder="1" applyAlignment="1">
      <alignment horizontal="left"/>
    </xf>
    <xf numFmtId="0" fontId="0" fillId="0" borderId="10" xfId="0" applyBorder="1"/>
    <xf numFmtId="0" fontId="0" fillId="0" borderId="8" xfId="0" applyBorder="1" applyAlignment="1">
      <alignment horizontal="left"/>
    </xf>
    <xf numFmtId="0" fontId="6" fillId="0" borderId="0" xfId="0" applyFont="1"/>
    <xf numFmtId="0" fontId="8" fillId="0" borderId="0" xfId="0" applyFont="1"/>
    <xf numFmtId="0" fontId="10" fillId="0" borderId="0" xfId="0" applyFont="1"/>
    <xf numFmtId="0" fontId="9" fillId="0" borderId="0" xfId="0" applyFont="1"/>
    <xf numFmtId="0" fontId="1" fillId="0" borderId="0" xfId="0" applyFont="1"/>
    <xf numFmtId="0" fontId="0" fillId="0" borderId="11" xfId="0" applyBorder="1"/>
    <xf numFmtId="0" fontId="0" fillId="0" borderId="12" xfId="0" applyBorder="1"/>
    <xf numFmtId="0" fontId="7" fillId="0" borderId="0" xfId="0" applyFont="1"/>
    <xf numFmtId="0" fontId="12" fillId="4" borderId="1" xfId="0" applyFont="1" applyFill="1" applyBorder="1" applyAlignment="1">
      <alignment horizontal="center" vertical="center"/>
    </xf>
    <xf numFmtId="0" fontId="11" fillId="0" borderId="1" xfId="0" applyFont="1" applyBorder="1"/>
    <xf numFmtId="9" fontId="0" fillId="0" borderId="9" xfId="0" applyNumberFormat="1" applyBorder="1"/>
    <xf numFmtId="0" fontId="0" fillId="5" borderId="0" xfId="0" applyFill="1"/>
    <xf numFmtId="0" fontId="13" fillId="5" borderId="0" xfId="0" applyFont="1" applyFill="1"/>
    <xf numFmtId="0" fontId="14" fillId="7" borderId="0" xfId="0" applyFont="1" applyFill="1"/>
    <xf numFmtId="0" fontId="14" fillId="8" borderId="0" xfId="0" applyFont="1" applyFill="1"/>
    <xf numFmtId="0" fontId="15" fillId="7" borderId="0" xfId="0" applyFont="1" applyFill="1"/>
    <xf numFmtId="0" fontId="16" fillId="7" borderId="0" xfId="0" applyFont="1" applyFill="1"/>
    <xf numFmtId="0" fontId="13" fillId="9" borderId="0" xfId="0" applyFont="1" applyFill="1"/>
    <xf numFmtId="0" fontId="17" fillId="9" borderId="0" xfId="0" applyFont="1" applyFill="1" applyAlignment="1">
      <alignment vertical="center"/>
    </xf>
    <xf numFmtId="0" fontId="18" fillId="6" borderId="0" xfId="0" applyFont="1" applyFill="1"/>
    <xf numFmtId="0" fontId="18" fillId="7" borderId="0" xfId="0" applyFont="1" applyFill="1"/>
    <xf numFmtId="0" fontId="19" fillId="7" borderId="0" xfId="0" applyFont="1" applyFill="1"/>
  </cellXfs>
  <cellStyles count="1">
    <cellStyle name="Normal" xfId="0" builtinId="0"/>
  </cellStyles>
  <dxfs count="10">
    <dxf>
      <numFmt numFmtId="0" formatCode="General"/>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rgb="FFDEEAF6"/>
          <bgColor rgb="FFDEEAF6"/>
        </patternFill>
      </fill>
    </dxf>
    <dxf>
      <fill>
        <patternFill patternType="solid">
          <fgColor theme="8"/>
          <bgColor theme="8"/>
        </patternFill>
      </fill>
    </dxf>
  </dxfs>
  <tableStyles count="3">
    <tableStyle name="Customer Service-style" pivot="0" count="3" xr9:uid="{00000000-0011-0000-FFFF-FFFF00000000}">
      <tableStyleElement type="headerRow" dxfId="9"/>
      <tableStyleElement type="firstRowStripe" dxfId="8"/>
      <tableStyleElement type="secondRowStripe" dxfId="7"/>
    </tableStyle>
    <tableStyle name="Finance-style" pivot="0" count="3" xr9:uid="{00000000-0011-0000-FFFF-FFFF01000000}">
      <tableStyleElement type="headerRow" dxfId="6"/>
      <tableStyleElement type="firstRowStripe" dxfId="5"/>
      <tableStyleElement type="secondRowStripe" dxfId="4"/>
    </tableStyle>
    <tableStyle name="Orders-style" pivot="0" count="3" xr9:uid="{00000000-0011-0000-FFFF-FFFF02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Average rating of agents</a:t>
            </a:r>
          </a:p>
        </c:rich>
      </c:tx>
      <c:layout>
        <c:manualLayout>
          <c:xMode val="edge"/>
          <c:yMode val="edge"/>
          <c:x val="0.34035832154644036"/>
          <c:y val="0.1035067984922937"/>
        </c:manualLayout>
      </c:layout>
      <c:overlay val="0"/>
    </c:title>
    <c:autoTitleDeleted val="0"/>
    <c:plotArea>
      <c:layout/>
      <c:barChart>
        <c:barDir val="col"/>
        <c:grouping val="clustered"/>
        <c:varyColors val="1"/>
        <c:ser>
          <c:idx val="0"/>
          <c:order val="0"/>
          <c:tx>
            <c:v>Total</c:v>
          </c:tx>
          <c:spPr>
            <a:solidFill>
              <a:srgbClr val="4472C4"/>
            </a:solidFill>
            <a:ln cmpd="sng">
              <a:noFill/>
            </a:ln>
          </c:spPr>
          <c:invertIfNegative val="1"/>
          <c:dLbls>
            <c:spPr>
              <a:noFill/>
              <a:ln>
                <a:noFill/>
              </a:ln>
              <a:effectLst/>
            </c:spPr>
            <c:txPr>
              <a:bodyPr/>
              <a:lstStyle/>
              <a:p>
                <a:pPr lvl="0">
                  <a:defRPr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c_sat_pivots!$A$4:$A$6</c:f>
              <c:strCache>
                <c:ptCount val="3"/>
                <c:pt idx="0">
                  <c:v>Adrien Martin</c:v>
                </c:pt>
                <c:pt idx="1">
                  <c:v>Albain Forestier</c:v>
                </c:pt>
                <c:pt idx="2">
                  <c:v>Roch Cousineau</c:v>
                </c:pt>
              </c:strCache>
            </c:strRef>
          </c:cat>
          <c:val>
            <c:numRef>
              <c:f>c_sat_pivots!$B$4:$B$6</c:f>
              <c:numCache>
                <c:formatCode>0.00</c:formatCode>
                <c:ptCount val="3"/>
                <c:pt idx="0">
                  <c:v>7.2980392156862743</c:v>
                </c:pt>
                <c:pt idx="1">
                  <c:v>6.8976377952755907</c:v>
                </c:pt>
                <c:pt idx="2">
                  <c:v>6.9087719298245611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C095-4721-9BD7-21FCBFB77767}"/>
            </c:ext>
          </c:extLst>
        </c:ser>
        <c:dLbls>
          <c:showLegendKey val="0"/>
          <c:showVal val="0"/>
          <c:showCatName val="0"/>
          <c:showSerName val="0"/>
          <c:showPercent val="0"/>
          <c:showBubbleSize val="0"/>
        </c:dLbls>
        <c:gapWidth val="150"/>
        <c:axId val="1482749365"/>
        <c:axId val="997019397"/>
      </c:barChart>
      <c:catAx>
        <c:axId val="148274936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997019397"/>
        <c:crosses val="autoZero"/>
        <c:auto val="1"/>
        <c:lblAlgn val="ctr"/>
        <c:lblOffset val="100"/>
        <c:noMultiLvlLbl val="1"/>
      </c:catAx>
      <c:valAx>
        <c:axId val="997019397"/>
        <c:scaling>
          <c:orientation val="minMax"/>
        </c:scaling>
        <c:delete val="0"/>
        <c:axPos val="l"/>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a:noFill/>
          </a:ln>
        </c:spPr>
        <c:txPr>
          <a:bodyPr/>
          <a:lstStyle/>
          <a:p>
            <a:pPr lvl="0">
              <a:defRPr b="0">
                <a:solidFill>
                  <a:srgbClr val="000000"/>
                </a:solidFill>
                <a:latin typeface="+mn-lt"/>
              </a:defRPr>
            </a:pPr>
            <a:endParaRPr lang="en-US"/>
          </a:p>
        </c:txPr>
        <c:crossAx val="1482749365"/>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Number of Contacts</a:t>
            </a:r>
          </a:p>
        </c:rich>
      </c:tx>
      <c:overlay val="0"/>
    </c:title>
    <c:autoTitleDeleted val="0"/>
    <c:plotArea>
      <c:layout>
        <c:manualLayout>
          <c:xMode val="edge"/>
          <c:yMode val="edge"/>
          <c:x val="0.10889568555996618"/>
          <c:y val="0.24555063712890812"/>
          <c:w val="0.77565887941693235"/>
          <c:h val="0.56888029864142631"/>
        </c:manualLayout>
      </c:layout>
      <c:barChart>
        <c:barDir val="col"/>
        <c:grouping val="clustered"/>
        <c:varyColors val="1"/>
        <c:ser>
          <c:idx val="0"/>
          <c:order val="0"/>
          <c:tx>
            <c:v>Total</c:v>
          </c:tx>
          <c:spPr>
            <a:solidFill>
              <a:srgbClr val="4472C4"/>
            </a:solidFill>
            <a:ln cmpd="sng">
              <a:no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c_sat_pivots!$A$19:$A$22</c:f>
              <c:strCache>
                <c:ptCount val="4"/>
                <c:pt idx="0">
                  <c:v>Adrien Martin</c:v>
                </c:pt>
                <c:pt idx="1">
                  <c:v>Albain Forestier</c:v>
                </c:pt>
                <c:pt idx="2">
                  <c:v>Roch Cousineau</c:v>
                </c:pt>
                <c:pt idx="3">
                  <c:v>Grand Total</c:v>
                </c:pt>
              </c:strCache>
            </c:strRef>
          </c:cat>
          <c:val>
            <c:numRef>
              <c:f>c_sat_pivots!$B$19:$B$22</c:f>
              <c:numCache>
                <c:formatCode>General</c:formatCode>
                <c:ptCount val="4"/>
                <c:pt idx="0">
                  <c:v>255</c:v>
                </c:pt>
                <c:pt idx="1">
                  <c:v>254</c:v>
                </c:pt>
                <c:pt idx="2">
                  <c:v>285</c:v>
                </c:pt>
                <c:pt idx="3">
                  <c:v>794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4CC-419C-BE25-2E81AA7E460E}"/>
            </c:ext>
          </c:extLst>
        </c:ser>
        <c:dLbls>
          <c:showLegendKey val="0"/>
          <c:showVal val="0"/>
          <c:showCatName val="0"/>
          <c:showSerName val="0"/>
          <c:showPercent val="0"/>
          <c:showBubbleSize val="0"/>
        </c:dLbls>
        <c:gapWidth val="150"/>
        <c:axId val="1281770293"/>
        <c:axId val="1430282286"/>
      </c:barChart>
      <c:catAx>
        <c:axId val="128177029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mn-lt"/>
              </a:defRPr>
            </a:pPr>
            <a:endParaRPr lang="en-US"/>
          </a:p>
        </c:txPr>
        <c:crossAx val="1430282286"/>
        <c:crosses val="autoZero"/>
        <c:auto val="1"/>
        <c:lblAlgn val="ctr"/>
        <c:lblOffset val="100"/>
        <c:noMultiLvlLbl val="1"/>
      </c:catAx>
      <c:valAx>
        <c:axId val="1430282286"/>
        <c:scaling>
          <c:orientation val="minMax"/>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endParaRPr lang="en-US"/>
          </a:p>
        </c:txPr>
        <c:crossAx val="1281770293"/>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Contact type</a:t>
            </a:r>
          </a:p>
        </c:rich>
      </c:tx>
      <c:overlay val="0"/>
    </c:title>
    <c:autoTitleDeleted val="0"/>
    <c:plotArea>
      <c:layout/>
      <c:pieChart>
        <c:varyColors val="1"/>
        <c:ser>
          <c:idx val="0"/>
          <c:order val="0"/>
          <c:tx>
            <c:strRef>
              <c:f>c_sat_pivots!$B$28</c:f>
              <c:strCache>
                <c:ptCount val="1"/>
                <c:pt idx="0">
                  <c:v>Count of Contact Type</c:v>
                </c:pt>
              </c:strCache>
            </c:strRef>
          </c:tx>
          <c:dPt>
            <c:idx val="0"/>
            <c:bubble3D val="0"/>
            <c:spPr>
              <a:solidFill>
                <a:schemeClr val="accent1"/>
              </a:solidFill>
            </c:spPr>
            <c:extLst>
              <c:ext xmlns:c16="http://schemas.microsoft.com/office/drawing/2014/chart" uri="{C3380CC4-5D6E-409C-BE32-E72D297353CC}">
                <c16:uniqueId val="{00000001-1D04-46C1-844D-DAC96126B988}"/>
              </c:ext>
            </c:extLst>
          </c:dPt>
          <c:dPt>
            <c:idx val="1"/>
            <c:bubble3D val="0"/>
            <c:spPr>
              <a:solidFill>
                <a:schemeClr val="accent2"/>
              </a:solidFill>
            </c:spPr>
            <c:extLst>
              <c:ext xmlns:c16="http://schemas.microsoft.com/office/drawing/2014/chart" uri="{C3380CC4-5D6E-409C-BE32-E72D297353CC}">
                <c16:uniqueId val="{00000003-1D04-46C1-844D-DAC96126B988}"/>
              </c:ext>
            </c:extLst>
          </c:dPt>
          <c:dPt>
            <c:idx val="2"/>
            <c:bubble3D val="0"/>
            <c:spPr>
              <a:solidFill>
                <a:schemeClr val="accent3"/>
              </a:solidFill>
            </c:spPr>
            <c:extLst>
              <c:ext xmlns:c16="http://schemas.microsoft.com/office/drawing/2014/chart" uri="{C3380CC4-5D6E-409C-BE32-E72D297353CC}">
                <c16:uniqueId val="{00000005-1D04-46C1-844D-DAC96126B988}"/>
              </c:ext>
            </c:extLst>
          </c:dPt>
          <c:dPt>
            <c:idx val="3"/>
            <c:bubble3D val="0"/>
            <c:spPr>
              <a:solidFill>
                <a:srgbClr val="FFC000"/>
              </a:solidFill>
            </c:spPr>
            <c:extLst>
              <c:ext xmlns:c16="http://schemas.microsoft.com/office/drawing/2014/chart" uri="{C3380CC4-5D6E-409C-BE32-E72D297353CC}">
                <c16:uniqueId val="{00000007-1D04-46C1-844D-DAC96126B988}"/>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c_sat_pivots!$A$29:$A$32</c:f>
              <c:strCache>
                <c:ptCount val="4"/>
                <c:pt idx="0">
                  <c:v>Complaint</c:v>
                </c:pt>
                <c:pt idx="1">
                  <c:v>Query</c:v>
                </c:pt>
                <c:pt idx="2">
                  <c:v>Request</c:v>
                </c:pt>
                <c:pt idx="3">
                  <c:v>Grand Total</c:v>
                </c:pt>
              </c:strCache>
            </c:strRef>
          </c:cat>
          <c:val>
            <c:numRef>
              <c:f>c_sat_pivots!$B$29:$B$32</c:f>
              <c:numCache>
                <c:formatCode>General</c:formatCode>
                <c:ptCount val="4"/>
                <c:pt idx="0">
                  <c:v>72</c:v>
                </c:pt>
                <c:pt idx="1">
                  <c:v>300</c:v>
                </c:pt>
                <c:pt idx="2">
                  <c:v>422</c:v>
                </c:pt>
                <c:pt idx="3">
                  <c:v>794</c:v>
                </c:pt>
              </c:numCache>
            </c:numRef>
          </c:val>
          <c:extLst>
            <c:ext xmlns:c16="http://schemas.microsoft.com/office/drawing/2014/chart" uri="{C3380CC4-5D6E-409C-BE32-E72D297353CC}">
              <c16:uniqueId val="{00000008-1D04-46C1-844D-DAC96126B98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Avg. rating on contact type</a:t>
            </a:r>
          </a:p>
        </c:rich>
      </c:tx>
      <c:overlay val="0"/>
    </c:title>
    <c:autoTitleDeleted val="0"/>
    <c:plotArea>
      <c:layout/>
      <c:barChart>
        <c:barDir val="bar"/>
        <c:grouping val="clustered"/>
        <c:varyColors val="1"/>
        <c:ser>
          <c:idx val="0"/>
          <c:order val="0"/>
          <c:tx>
            <c:v>Total</c:v>
          </c:tx>
          <c:spPr>
            <a:solidFill>
              <a:srgbClr val="4472C4"/>
            </a:solidFill>
            <a:ln cmpd="sng">
              <a:no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c_sat_pivots!$A$38:$A$40</c:f>
              <c:strCache>
                <c:ptCount val="3"/>
                <c:pt idx="0">
                  <c:v>Complaint</c:v>
                </c:pt>
                <c:pt idx="1">
                  <c:v>Query</c:v>
                </c:pt>
                <c:pt idx="2">
                  <c:v>Request</c:v>
                </c:pt>
              </c:strCache>
            </c:strRef>
          </c:cat>
          <c:val>
            <c:numRef>
              <c:f>c_sat_pivots!$B$38:$B$40</c:f>
              <c:numCache>
                <c:formatCode>0.00</c:formatCode>
                <c:ptCount val="3"/>
                <c:pt idx="0">
                  <c:v>6.625</c:v>
                </c:pt>
                <c:pt idx="1">
                  <c:v>6.9133333333333331</c:v>
                </c:pt>
                <c:pt idx="2">
                  <c:v>7.1824644549763033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FB3B-45EE-94BD-5F0AF4A50353}"/>
            </c:ext>
          </c:extLst>
        </c:ser>
        <c:dLbls>
          <c:showLegendKey val="0"/>
          <c:showVal val="0"/>
          <c:showCatName val="0"/>
          <c:showSerName val="0"/>
          <c:showPercent val="0"/>
          <c:showBubbleSize val="0"/>
        </c:dLbls>
        <c:gapWidth val="150"/>
        <c:axId val="2025750642"/>
        <c:axId val="1680019051"/>
      </c:barChart>
      <c:catAx>
        <c:axId val="2025750642"/>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680019051"/>
        <c:crosses val="autoZero"/>
        <c:auto val="1"/>
        <c:lblAlgn val="ctr"/>
        <c:lblOffset val="100"/>
        <c:noMultiLvlLbl val="1"/>
      </c:catAx>
      <c:valAx>
        <c:axId val="1680019051"/>
        <c:scaling>
          <c:orientation val="minMax"/>
        </c:scaling>
        <c:delete val="0"/>
        <c:axPos val="b"/>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2025750642"/>
        <c:crosses val="max"/>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Day wise avg. ratings</a:t>
            </a:r>
          </a:p>
        </c:rich>
      </c:tx>
      <c:overlay val="0"/>
    </c:title>
    <c:autoTitleDeleted val="0"/>
    <c:plotArea>
      <c:layout/>
      <c:lineChart>
        <c:grouping val="standard"/>
        <c:varyColors val="0"/>
        <c:ser>
          <c:idx val="0"/>
          <c:order val="0"/>
          <c:tx>
            <c:v>Total</c:v>
          </c:tx>
          <c:spPr>
            <a:ln w="28575" cmpd="sng">
              <a:solidFill>
                <a:schemeClr val="accent1"/>
              </a:solidFill>
            </a:ln>
          </c:spPr>
          <c:marker>
            <c:symbol val="none"/>
          </c:marker>
          <c:cat>
            <c:strRef>
              <c:f>c_sat_pivots!$A$48:$A$131</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c_sat_pivots!$B$48:$B$131</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smooth val="0"/>
          <c:extLst>
            <c:ext xmlns:c16="http://schemas.microsoft.com/office/drawing/2014/chart" uri="{C3380CC4-5D6E-409C-BE32-E72D297353CC}">
              <c16:uniqueId val="{00000000-8746-482C-BC64-A3C11C828132}"/>
            </c:ext>
          </c:extLst>
        </c:ser>
        <c:dLbls>
          <c:showLegendKey val="0"/>
          <c:showVal val="0"/>
          <c:showCatName val="0"/>
          <c:showSerName val="0"/>
          <c:showPercent val="0"/>
          <c:showBubbleSize val="0"/>
        </c:dLbls>
        <c:smooth val="0"/>
        <c:axId val="1347546666"/>
        <c:axId val="711030842"/>
      </c:lineChart>
      <c:catAx>
        <c:axId val="134754666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711030842"/>
        <c:crosses val="autoZero"/>
        <c:auto val="1"/>
        <c:lblAlgn val="ctr"/>
        <c:lblOffset val="100"/>
        <c:noMultiLvlLbl val="1"/>
      </c:catAx>
      <c:valAx>
        <c:axId val="71103084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347546666"/>
        <c:crosses val="autoZero"/>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Day wise contact</a:t>
            </a:r>
          </a:p>
        </c:rich>
      </c:tx>
      <c:overlay val="0"/>
    </c:title>
    <c:autoTitleDeleted val="0"/>
    <c:plotArea>
      <c:layout>
        <c:manualLayout>
          <c:xMode val="edge"/>
          <c:yMode val="edge"/>
          <c:x val="9.7136482939632549E-2"/>
          <c:y val="0.25402559055118112"/>
          <c:w val="0.78645603674540687"/>
          <c:h val="0.46799832312627587"/>
        </c:manualLayout>
      </c:layout>
      <c:areaChart>
        <c:grouping val="standard"/>
        <c:varyColors val="1"/>
        <c:ser>
          <c:idx val="0"/>
          <c:order val="0"/>
          <c:tx>
            <c:v>Total</c:v>
          </c:tx>
          <c:spPr>
            <a:solidFill>
              <a:srgbClr val="4472C4">
                <a:alpha val="30000"/>
              </a:srgbClr>
            </a:solidFill>
            <a:ln cmpd="sng">
              <a:solidFill>
                <a:srgbClr val="4472C4"/>
              </a:solidFill>
            </a:ln>
          </c:spPr>
          <c:cat>
            <c:strRef>
              <c:f>c_sat_pivots!$O$48:$O$132</c:f>
              <c:strCache>
                <c:ptCount val="85"/>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pt idx="84">
                  <c:v>Grand Total</c:v>
                </c:pt>
              </c:strCache>
            </c:strRef>
          </c:cat>
          <c:val>
            <c:numRef>
              <c:f>c_sat_pivots!$P$48:$P$132</c:f>
              <c:numCache>
                <c:formatCode>General</c:formatCode>
                <c:ptCount val="85"/>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pt idx="84">
                  <c:v>794</c:v>
                </c:pt>
              </c:numCache>
            </c:numRef>
          </c:val>
          <c:extLst>
            <c:ext xmlns:c16="http://schemas.microsoft.com/office/drawing/2014/chart" uri="{C3380CC4-5D6E-409C-BE32-E72D297353CC}">
              <c16:uniqueId val="{00000000-03A9-475B-8A31-74BCFAE47489}"/>
            </c:ext>
          </c:extLst>
        </c:ser>
        <c:dLbls>
          <c:showLegendKey val="0"/>
          <c:showVal val="0"/>
          <c:showCatName val="0"/>
          <c:showSerName val="0"/>
          <c:showPercent val="0"/>
          <c:showBubbleSize val="0"/>
        </c:dLbls>
        <c:axId val="1513236334"/>
        <c:axId val="1965362011"/>
      </c:areaChart>
      <c:catAx>
        <c:axId val="151323633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mn-lt"/>
              </a:defRPr>
            </a:pPr>
            <a:endParaRPr lang="en-US"/>
          </a:p>
        </c:txPr>
        <c:crossAx val="1965362011"/>
        <c:crosses val="autoZero"/>
        <c:auto val="1"/>
        <c:lblAlgn val="ctr"/>
        <c:lblOffset val="100"/>
        <c:noMultiLvlLbl val="1"/>
      </c:catAx>
      <c:valAx>
        <c:axId val="196536201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513236334"/>
        <c:crosses val="autoZero"/>
        <c:crossBetween val="midCat"/>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solutionFile.xlsx]Customer Service Sol!PivotTable2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'Customer Service Sol'!$P$6</c:f>
              <c:strCache>
                <c:ptCount val="1"/>
                <c:pt idx="0">
                  <c:v>Total</c:v>
                </c:pt>
              </c:strCache>
            </c:strRef>
          </c:tx>
          <c:spPr>
            <a:solidFill>
              <a:schemeClr val="accent1"/>
            </a:solidFill>
            <a:ln>
              <a:noFill/>
            </a:ln>
            <a:effectLst/>
            <a:sp3d/>
          </c:spPr>
          <c:invertIfNegative val="0"/>
          <c:cat>
            <c:strRef>
              <c:f>'Customer Service Sol'!$O$7:$O$10</c:f>
              <c:strCache>
                <c:ptCount val="3"/>
                <c:pt idx="0">
                  <c:v>Adrien Martin</c:v>
                </c:pt>
                <c:pt idx="1">
                  <c:v>Albain Forestier</c:v>
                </c:pt>
                <c:pt idx="2">
                  <c:v>Roch Cousineau</c:v>
                </c:pt>
              </c:strCache>
            </c:strRef>
          </c:cat>
          <c:val>
            <c:numRef>
              <c:f>'Customer Service Sol'!$P$7:$P$10</c:f>
              <c:numCache>
                <c:formatCode>General</c:formatCode>
                <c:ptCount val="3"/>
                <c:pt idx="0">
                  <c:v>255</c:v>
                </c:pt>
                <c:pt idx="1">
                  <c:v>254</c:v>
                </c:pt>
                <c:pt idx="2">
                  <c:v>285</c:v>
                </c:pt>
              </c:numCache>
            </c:numRef>
          </c:val>
          <c:extLst>
            <c:ext xmlns:c16="http://schemas.microsoft.com/office/drawing/2014/chart" uri="{C3380CC4-5D6E-409C-BE32-E72D297353CC}">
              <c16:uniqueId val="{00000000-60D6-48BD-8217-731CF2FF3FF2}"/>
            </c:ext>
          </c:extLst>
        </c:ser>
        <c:dLbls>
          <c:showLegendKey val="0"/>
          <c:showVal val="0"/>
          <c:showCatName val="0"/>
          <c:showSerName val="0"/>
          <c:showPercent val="0"/>
          <c:showBubbleSize val="0"/>
        </c:dLbls>
        <c:gapWidth val="150"/>
        <c:shape val="box"/>
        <c:axId val="2095315296"/>
        <c:axId val="2095332096"/>
        <c:axId val="0"/>
      </c:bar3DChart>
      <c:catAx>
        <c:axId val="209531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32096"/>
        <c:crosses val="autoZero"/>
        <c:auto val="1"/>
        <c:lblAlgn val="ctr"/>
        <c:lblOffset val="100"/>
        <c:noMultiLvlLbl val="0"/>
      </c:catAx>
      <c:valAx>
        <c:axId val="209533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1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Complaint</c:v>
              </c:pt>
              <c:pt idx="1">
                <c:v>Query</c:v>
              </c:pt>
              <c:pt idx="2">
                <c:v>Request</c:v>
              </c:pt>
            </c:strLit>
          </c:cat>
          <c:val>
            <c:numLit>
              <c:formatCode>General</c:formatCode>
              <c:ptCount val="3"/>
              <c:pt idx="0">
                <c:v>72</c:v>
              </c:pt>
              <c:pt idx="1">
                <c:v>300</c:v>
              </c:pt>
              <c:pt idx="2">
                <c:v>422</c:v>
              </c:pt>
            </c:numLit>
          </c:val>
          <c:extLst>
            <c:ext xmlns:c16="http://schemas.microsoft.com/office/drawing/2014/chart" uri="{C3380CC4-5D6E-409C-BE32-E72D297353CC}">
              <c16:uniqueId val="{00000000-7ABF-422D-B324-C7697C9C7748}"/>
            </c:ext>
          </c:extLst>
        </c:ser>
        <c:dLbls>
          <c:showLegendKey val="0"/>
          <c:showVal val="0"/>
          <c:showCatName val="0"/>
          <c:showSerName val="0"/>
          <c:showPercent val="0"/>
          <c:showBubbleSize val="0"/>
        </c:dLbls>
        <c:gapWidth val="219"/>
        <c:overlap val="-27"/>
        <c:axId val="2095357056"/>
        <c:axId val="2095357536"/>
      </c:barChart>
      <c:catAx>
        <c:axId val="209535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57536"/>
        <c:crosses val="autoZero"/>
        <c:auto val="1"/>
        <c:lblAlgn val="ctr"/>
        <c:lblOffset val="100"/>
        <c:noMultiLvlLbl val="0"/>
      </c:catAx>
      <c:valAx>
        <c:axId val="209535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5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solutionFile.xlsx]Customer Service Sol!PivotTable1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'Customer Service Sol'!$B$4</c:f>
              <c:strCache>
                <c:ptCount val="1"/>
                <c:pt idx="0">
                  <c:v>Total</c:v>
                </c:pt>
              </c:strCache>
            </c:strRef>
          </c:tx>
          <c:spPr>
            <a:solidFill>
              <a:schemeClr val="accent1"/>
            </a:solidFill>
            <a:ln>
              <a:noFill/>
            </a:ln>
            <a:effectLst/>
            <a:sp3d/>
          </c:spPr>
          <c:invertIfNegative val="0"/>
          <c:cat>
            <c:strRef>
              <c:f>'Customer Service Sol'!$A$5:$A$8</c:f>
              <c:strCache>
                <c:ptCount val="3"/>
                <c:pt idx="0">
                  <c:v>Adrien Martin</c:v>
                </c:pt>
                <c:pt idx="1">
                  <c:v>Albain Forestier</c:v>
                </c:pt>
                <c:pt idx="2">
                  <c:v>Roch Cousineau</c:v>
                </c:pt>
              </c:strCache>
            </c:strRef>
          </c:cat>
          <c:val>
            <c:numRef>
              <c:f>'Customer Service Sol'!$B$5:$B$8</c:f>
              <c:numCache>
                <c:formatCode>General</c:formatCode>
                <c:ptCount val="3"/>
                <c:pt idx="0">
                  <c:v>7.2980392156862743</c:v>
                </c:pt>
                <c:pt idx="1">
                  <c:v>6.8976377952755907</c:v>
                </c:pt>
                <c:pt idx="2">
                  <c:v>6.9087719298245611</c:v>
                </c:pt>
              </c:numCache>
            </c:numRef>
          </c:val>
          <c:extLst>
            <c:ext xmlns:c16="http://schemas.microsoft.com/office/drawing/2014/chart" uri="{C3380CC4-5D6E-409C-BE32-E72D297353CC}">
              <c16:uniqueId val="{00000000-8320-40AE-A457-C78206725A3B}"/>
            </c:ext>
          </c:extLst>
        </c:ser>
        <c:dLbls>
          <c:showLegendKey val="0"/>
          <c:showVal val="0"/>
          <c:showCatName val="0"/>
          <c:showSerName val="0"/>
          <c:showPercent val="0"/>
          <c:showBubbleSize val="0"/>
        </c:dLbls>
        <c:gapWidth val="219"/>
        <c:shape val="box"/>
        <c:axId val="2095314816"/>
        <c:axId val="2095312896"/>
        <c:axId val="0"/>
      </c:bar3DChart>
      <c:catAx>
        <c:axId val="209531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12896"/>
        <c:crosses val="autoZero"/>
        <c:auto val="1"/>
        <c:lblAlgn val="ctr"/>
        <c:lblOffset val="100"/>
        <c:noMultiLvlLbl val="0"/>
      </c:catAx>
      <c:valAx>
        <c:axId val="209531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1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solutionFile.xlsx]Customer Service Sol!PivotTable2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'Customer Service Sol'!$P$6</c:f>
              <c:strCache>
                <c:ptCount val="1"/>
                <c:pt idx="0">
                  <c:v>Total</c:v>
                </c:pt>
              </c:strCache>
            </c:strRef>
          </c:tx>
          <c:spPr>
            <a:solidFill>
              <a:schemeClr val="accent1"/>
            </a:solidFill>
            <a:ln>
              <a:noFill/>
            </a:ln>
            <a:effectLst/>
            <a:sp3d/>
          </c:spPr>
          <c:invertIfNegative val="0"/>
          <c:cat>
            <c:strRef>
              <c:f>'Customer Service Sol'!$O$7:$O$10</c:f>
              <c:strCache>
                <c:ptCount val="3"/>
                <c:pt idx="0">
                  <c:v>Adrien Martin</c:v>
                </c:pt>
                <c:pt idx="1">
                  <c:v>Albain Forestier</c:v>
                </c:pt>
                <c:pt idx="2">
                  <c:v>Roch Cousineau</c:v>
                </c:pt>
              </c:strCache>
            </c:strRef>
          </c:cat>
          <c:val>
            <c:numRef>
              <c:f>'Customer Service Sol'!$P$7:$P$10</c:f>
              <c:numCache>
                <c:formatCode>General</c:formatCode>
                <c:ptCount val="3"/>
                <c:pt idx="0">
                  <c:v>255</c:v>
                </c:pt>
                <c:pt idx="1">
                  <c:v>254</c:v>
                </c:pt>
                <c:pt idx="2">
                  <c:v>285</c:v>
                </c:pt>
              </c:numCache>
            </c:numRef>
          </c:val>
          <c:extLst>
            <c:ext xmlns:c16="http://schemas.microsoft.com/office/drawing/2014/chart" uri="{C3380CC4-5D6E-409C-BE32-E72D297353CC}">
              <c16:uniqueId val="{00000000-5488-49C0-AC0A-99C6CA5309A0}"/>
            </c:ext>
          </c:extLst>
        </c:ser>
        <c:dLbls>
          <c:showLegendKey val="0"/>
          <c:showVal val="0"/>
          <c:showCatName val="0"/>
          <c:showSerName val="0"/>
          <c:showPercent val="0"/>
          <c:showBubbleSize val="0"/>
        </c:dLbls>
        <c:gapWidth val="150"/>
        <c:shape val="box"/>
        <c:axId val="2095315296"/>
        <c:axId val="2095332096"/>
        <c:axId val="0"/>
      </c:bar3DChart>
      <c:catAx>
        <c:axId val="209531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32096"/>
        <c:crosses val="autoZero"/>
        <c:auto val="1"/>
        <c:lblAlgn val="ctr"/>
        <c:lblOffset val="100"/>
        <c:noMultiLvlLbl val="0"/>
      </c:catAx>
      <c:valAx>
        <c:axId val="209533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1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Complaint</c:v>
              </c:pt>
              <c:pt idx="1">
                <c:v>Query</c:v>
              </c:pt>
              <c:pt idx="2">
                <c:v>Request</c:v>
              </c:pt>
            </c:strLit>
          </c:cat>
          <c:val>
            <c:numLit>
              <c:formatCode>General</c:formatCode>
              <c:ptCount val="3"/>
              <c:pt idx="0">
                <c:v>72</c:v>
              </c:pt>
              <c:pt idx="1">
                <c:v>300</c:v>
              </c:pt>
              <c:pt idx="2">
                <c:v>422</c:v>
              </c:pt>
            </c:numLit>
          </c:val>
          <c:extLst>
            <c:ext xmlns:c16="http://schemas.microsoft.com/office/drawing/2014/chart" uri="{C3380CC4-5D6E-409C-BE32-E72D297353CC}">
              <c16:uniqueId val="{00000000-50E9-4485-A1F4-A5387A18D75A}"/>
            </c:ext>
          </c:extLst>
        </c:ser>
        <c:dLbls>
          <c:showLegendKey val="0"/>
          <c:showVal val="0"/>
          <c:showCatName val="0"/>
          <c:showSerName val="0"/>
          <c:showPercent val="0"/>
          <c:showBubbleSize val="0"/>
        </c:dLbls>
        <c:gapWidth val="219"/>
        <c:overlap val="-27"/>
        <c:axId val="2095357056"/>
        <c:axId val="2095357536"/>
      </c:barChart>
      <c:catAx>
        <c:axId val="209535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57536"/>
        <c:crosses val="autoZero"/>
        <c:auto val="1"/>
        <c:lblAlgn val="ctr"/>
        <c:lblOffset val="100"/>
        <c:noMultiLvlLbl val="0"/>
      </c:catAx>
      <c:valAx>
        <c:axId val="209535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5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solutionFile.xlsx]Customer Service Sol!PivotTable5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Service Sol'!$S$24</c:f>
              <c:strCache>
                <c:ptCount val="1"/>
                <c:pt idx="0">
                  <c:v>Total</c:v>
                </c:pt>
              </c:strCache>
            </c:strRef>
          </c:tx>
          <c:spPr>
            <a:solidFill>
              <a:schemeClr val="accent1"/>
            </a:solidFill>
            <a:ln>
              <a:noFill/>
            </a:ln>
            <a:effectLst/>
          </c:spPr>
          <c:invertIfNegative val="0"/>
          <c:cat>
            <c:strRef>
              <c:f>'Customer Service Sol'!$R$25:$R$28</c:f>
              <c:strCache>
                <c:ptCount val="3"/>
                <c:pt idx="0">
                  <c:v>Complaint</c:v>
                </c:pt>
                <c:pt idx="1">
                  <c:v>Query</c:v>
                </c:pt>
                <c:pt idx="2">
                  <c:v>Request</c:v>
                </c:pt>
              </c:strCache>
            </c:strRef>
          </c:cat>
          <c:val>
            <c:numRef>
              <c:f>'Customer Service Sol'!$S$25:$S$28</c:f>
              <c:numCache>
                <c:formatCode>General</c:formatCode>
                <c:ptCount val="3"/>
                <c:pt idx="0">
                  <c:v>6.625</c:v>
                </c:pt>
                <c:pt idx="1">
                  <c:v>6.9133333333333331</c:v>
                </c:pt>
                <c:pt idx="2">
                  <c:v>7.1824644549763033</c:v>
                </c:pt>
              </c:numCache>
            </c:numRef>
          </c:val>
          <c:extLst>
            <c:ext xmlns:c16="http://schemas.microsoft.com/office/drawing/2014/chart" uri="{C3380CC4-5D6E-409C-BE32-E72D297353CC}">
              <c16:uniqueId val="{00000000-CCEB-4921-B46B-C4FCC4EA47CB}"/>
            </c:ext>
          </c:extLst>
        </c:ser>
        <c:dLbls>
          <c:showLegendKey val="0"/>
          <c:showVal val="0"/>
          <c:showCatName val="0"/>
          <c:showSerName val="0"/>
          <c:showPercent val="0"/>
          <c:showBubbleSize val="0"/>
        </c:dLbls>
        <c:gapWidth val="219"/>
        <c:overlap val="-27"/>
        <c:axId val="2095342656"/>
        <c:axId val="2095336896"/>
      </c:barChart>
      <c:catAx>
        <c:axId val="209534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36896"/>
        <c:crosses val="autoZero"/>
        <c:auto val="1"/>
        <c:lblAlgn val="ctr"/>
        <c:lblOffset val="100"/>
        <c:noMultiLvlLbl val="0"/>
      </c:catAx>
      <c:valAx>
        <c:axId val="209533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4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solutionFile.xlsx]Customer Service Sol!PivotTable20</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Service Sol'!$R$44</c:f>
              <c:strCache>
                <c:ptCount val="1"/>
                <c:pt idx="0">
                  <c:v>Total</c:v>
                </c:pt>
              </c:strCache>
            </c:strRef>
          </c:tx>
          <c:spPr>
            <a:ln w="28575" cap="rnd">
              <a:solidFill>
                <a:schemeClr val="accent1"/>
              </a:solidFill>
              <a:round/>
            </a:ln>
            <a:effectLst/>
          </c:spPr>
          <c:marker>
            <c:symbol val="none"/>
          </c:marker>
          <c:cat>
            <c:strRef>
              <c:f>'Customer Service Sol'!$Q$45:$Q$129</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'Customer Service Sol'!$R$45:$R$129</c:f>
              <c:numCache>
                <c:formatCode>General</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smooth val="0"/>
          <c:extLst>
            <c:ext xmlns:c16="http://schemas.microsoft.com/office/drawing/2014/chart" uri="{C3380CC4-5D6E-409C-BE32-E72D297353CC}">
              <c16:uniqueId val="{00000000-C11A-4C32-82A8-0CB7232C9524}"/>
            </c:ext>
          </c:extLst>
        </c:ser>
        <c:dLbls>
          <c:showLegendKey val="0"/>
          <c:showVal val="0"/>
          <c:showCatName val="0"/>
          <c:showSerName val="0"/>
          <c:showPercent val="0"/>
          <c:showBubbleSize val="0"/>
        </c:dLbls>
        <c:smooth val="0"/>
        <c:axId val="287790464"/>
        <c:axId val="287793344"/>
      </c:lineChart>
      <c:catAx>
        <c:axId val="28779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793344"/>
        <c:crosses val="autoZero"/>
        <c:auto val="1"/>
        <c:lblAlgn val="ctr"/>
        <c:lblOffset val="100"/>
        <c:noMultiLvlLbl val="0"/>
      </c:catAx>
      <c:valAx>
        <c:axId val="28779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79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solutionFile.xlsx]Customer Service Sol!PivotTable21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Service Sol'!$B$45</c:f>
              <c:strCache>
                <c:ptCount val="1"/>
                <c:pt idx="0">
                  <c:v>Total</c:v>
                </c:pt>
              </c:strCache>
            </c:strRef>
          </c:tx>
          <c:spPr>
            <a:ln w="28575" cap="rnd">
              <a:solidFill>
                <a:schemeClr val="accent1"/>
              </a:solidFill>
              <a:round/>
            </a:ln>
            <a:effectLst/>
          </c:spPr>
          <c:marker>
            <c:symbol val="none"/>
          </c:marker>
          <c:cat>
            <c:strRef>
              <c:f>'Customer Service Sol'!$A$46:$A$130</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'Customer Service Sol'!$B$46:$B$130</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smooth val="0"/>
          <c:extLst>
            <c:ext xmlns:c16="http://schemas.microsoft.com/office/drawing/2014/chart" uri="{C3380CC4-5D6E-409C-BE32-E72D297353CC}">
              <c16:uniqueId val="{00000000-CDF4-4FE2-A7E8-A650C589BB13}"/>
            </c:ext>
          </c:extLst>
        </c:ser>
        <c:dLbls>
          <c:showLegendKey val="0"/>
          <c:showVal val="0"/>
          <c:showCatName val="0"/>
          <c:showSerName val="0"/>
          <c:showPercent val="0"/>
          <c:showBubbleSize val="0"/>
        </c:dLbls>
        <c:smooth val="0"/>
        <c:axId val="287806784"/>
        <c:axId val="287808704"/>
      </c:lineChart>
      <c:catAx>
        <c:axId val="28780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808704"/>
        <c:crosses val="autoZero"/>
        <c:auto val="1"/>
        <c:lblAlgn val="ctr"/>
        <c:lblOffset val="100"/>
        <c:noMultiLvlLbl val="0"/>
      </c:catAx>
      <c:valAx>
        <c:axId val="28780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80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solutionFile.xlsx]Finance Sol!PivotTable23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 Sol'!$T$5</c:f>
              <c:strCache>
                <c:ptCount val="1"/>
                <c:pt idx="0">
                  <c:v>Total</c:v>
                </c:pt>
              </c:strCache>
            </c:strRef>
          </c:tx>
          <c:spPr>
            <a:ln w="28575" cap="rnd">
              <a:solidFill>
                <a:schemeClr val="accent1"/>
              </a:solidFill>
              <a:round/>
            </a:ln>
            <a:effectLst/>
          </c:spPr>
          <c:marker>
            <c:symbol val="none"/>
          </c:marker>
          <c:cat>
            <c:strRef>
              <c:f>'Finance Sol'!$S$6:$S$90</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'Finance Sol'!$T$6:$T$90</c:f>
              <c:numCache>
                <c:formatCode>General</c:formatCode>
                <c:ptCount val="84"/>
                <c:pt idx="0">
                  <c:v>617.53846153846155</c:v>
                </c:pt>
                <c:pt idx="1">
                  <c:v>550</c:v>
                </c:pt>
                <c:pt idx="2">
                  <c:v>543.22222222222217</c:v>
                </c:pt>
                <c:pt idx="3">
                  <c:v>527.42857142857144</c:v>
                </c:pt>
                <c:pt idx="4">
                  <c:v>665.41666666666663</c:v>
                </c:pt>
                <c:pt idx="5">
                  <c:v>550.33333333333337</c:v>
                </c:pt>
                <c:pt idx="6">
                  <c:v>578.92307692307691</c:v>
                </c:pt>
                <c:pt idx="7">
                  <c:v>524.875</c:v>
                </c:pt>
                <c:pt idx="8">
                  <c:v>429</c:v>
                </c:pt>
                <c:pt idx="9">
                  <c:v>595.38235294117646</c:v>
                </c:pt>
                <c:pt idx="10">
                  <c:v>517.72413793103453</c:v>
                </c:pt>
                <c:pt idx="11">
                  <c:v>506.92307692307691</c:v>
                </c:pt>
                <c:pt idx="12">
                  <c:v>504.88461538461536</c:v>
                </c:pt>
                <c:pt idx="13">
                  <c:v>630.94117647058829</c:v>
                </c:pt>
                <c:pt idx="14">
                  <c:v>523.36363636363637</c:v>
                </c:pt>
                <c:pt idx="15">
                  <c:v>546.62962962962968</c:v>
                </c:pt>
                <c:pt idx="16">
                  <c:v>605.5</c:v>
                </c:pt>
                <c:pt idx="17">
                  <c:v>516.6</c:v>
                </c:pt>
                <c:pt idx="18">
                  <c:v>540.6</c:v>
                </c:pt>
                <c:pt idx="19">
                  <c:v>505.2</c:v>
                </c:pt>
                <c:pt idx="20">
                  <c:v>498.0625</c:v>
                </c:pt>
                <c:pt idx="21">
                  <c:v>539.29999999999995</c:v>
                </c:pt>
                <c:pt idx="22">
                  <c:v>566.29999999999995</c:v>
                </c:pt>
                <c:pt idx="23">
                  <c:v>690.6</c:v>
                </c:pt>
                <c:pt idx="24">
                  <c:v>563.79999999999995</c:v>
                </c:pt>
                <c:pt idx="25">
                  <c:v>556.20000000000005</c:v>
                </c:pt>
                <c:pt idx="26">
                  <c:v>539.26666666666665</c:v>
                </c:pt>
                <c:pt idx="27">
                  <c:v>584.70000000000005</c:v>
                </c:pt>
                <c:pt idx="28">
                  <c:v>545.70000000000005</c:v>
                </c:pt>
                <c:pt idx="29">
                  <c:v>547.19230769230774</c:v>
                </c:pt>
                <c:pt idx="30">
                  <c:v>562.28571428571433</c:v>
                </c:pt>
                <c:pt idx="31">
                  <c:v>529.07142857142856</c:v>
                </c:pt>
                <c:pt idx="32">
                  <c:v>447.85714285714283</c:v>
                </c:pt>
                <c:pt idx="33">
                  <c:v>494.0625</c:v>
                </c:pt>
                <c:pt idx="34">
                  <c:v>622.57142857142856</c:v>
                </c:pt>
                <c:pt idx="35">
                  <c:v>643.75</c:v>
                </c:pt>
                <c:pt idx="36">
                  <c:v>582.38461538461536</c:v>
                </c:pt>
                <c:pt idx="37">
                  <c:v>556.15789473684208</c:v>
                </c:pt>
                <c:pt idx="38">
                  <c:v>594.8125</c:v>
                </c:pt>
                <c:pt idx="39">
                  <c:v>623.28571428571433</c:v>
                </c:pt>
                <c:pt idx="40">
                  <c:v>527.4</c:v>
                </c:pt>
                <c:pt idx="41">
                  <c:v>608.66666666666663</c:v>
                </c:pt>
                <c:pt idx="42">
                  <c:v>576.11111111111109</c:v>
                </c:pt>
                <c:pt idx="43">
                  <c:v>583.29999999999995</c:v>
                </c:pt>
                <c:pt idx="44">
                  <c:v>665.5</c:v>
                </c:pt>
                <c:pt idx="45">
                  <c:v>499.16666666666669</c:v>
                </c:pt>
                <c:pt idx="46">
                  <c:v>478</c:v>
                </c:pt>
                <c:pt idx="47">
                  <c:v>636.625</c:v>
                </c:pt>
                <c:pt idx="48">
                  <c:v>521.66666666666663</c:v>
                </c:pt>
                <c:pt idx="49">
                  <c:v>629.75</c:v>
                </c:pt>
                <c:pt idx="50">
                  <c:v>343</c:v>
                </c:pt>
                <c:pt idx="51">
                  <c:v>406.6</c:v>
                </c:pt>
                <c:pt idx="52">
                  <c:v>426.33333333333331</c:v>
                </c:pt>
                <c:pt idx="53">
                  <c:v>420</c:v>
                </c:pt>
                <c:pt idx="54">
                  <c:v>753</c:v>
                </c:pt>
                <c:pt idx="55">
                  <c:v>598.125</c:v>
                </c:pt>
                <c:pt idx="56">
                  <c:v>602</c:v>
                </c:pt>
                <c:pt idx="57">
                  <c:v>590.33333333333337</c:v>
                </c:pt>
                <c:pt idx="58">
                  <c:v>521.16666666666663</c:v>
                </c:pt>
                <c:pt idx="59">
                  <c:v>452.66666666666669</c:v>
                </c:pt>
                <c:pt idx="60">
                  <c:v>533.83333333333337</c:v>
                </c:pt>
                <c:pt idx="61">
                  <c:v>530.20000000000005</c:v>
                </c:pt>
                <c:pt idx="62">
                  <c:v>677.2</c:v>
                </c:pt>
                <c:pt idx="63">
                  <c:v>550.83333333333337</c:v>
                </c:pt>
                <c:pt idx="64">
                  <c:v>558.28571428571433</c:v>
                </c:pt>
                <c:pt idx="65">
                  <c:v>392.25</c:v>
                </c:pt>
                <c:pt idx="66">
                  <c:v>540.875</c:v>
                </c:pt>
                <c:pt idx="67">
                  <c:v>538</c:v>
                </c:pt>
                <c:pt idx="68">
                  <c:v>518.66666666666663</c:v>
                </c:pt>
                <c:pt idx="69">
                  <c:v>547.66666666666663</c:v>
                </c:pt>
                <c:pt idx="70">
                  <c:v>544.5</c:v>
                </c:pt>
                <c:pt idx="71">
                  <c:v>519</c:v>
                </c:pt>
                <c:pt idx="72">
                  <c:v>605.44444444444446</c:v>
                </c:pt>
                <c:pt idx="73">
                  <c:v>589.29999999999995</c:v>
                </c:pt>
                <c:pt idx="74">
                  <c:v>512.66666666666663</c:v>
                </c:pt>
                <c:pt idx="75">
                  <c:v>543.71428571428567</c:v>
                </c:pt>
                <c:pt idx="76">
                  <c:v>472</c:v>
                </c:pt>
                <c:pt idx="77">
                  <c:v>514</c:v>
                </c:pt>
                <c:pt idx="78">
                  <c:v>385</c:v>
                </c:pt>
                <c:pt idx="79">
                  <c:v>505.25</c:v>
                </c:pt>
                <c:pt idx="80">
                  <c:v>475.16666666666669</c:v>
                </c:pt>
                <c:pt idx="81">
                  <c:v>540.55555555555554</c:v>
                </c:pt>
                <c:pt idx="82">
                  <c:v>515.16666666666663</c:v>
                </c:pt>
                <c:pt idx="83">
                  <c:v>481.4</c:v>
                </c:pt>
              </c:numCache>
            </c:numRef>
          </c:val>
          <c:smooth val="0"/>
          <c:extLst>
            <c:ext xmlns:c16="http://schemas.microsoft.com/office/drawing/2014/chart" uri="{C3380CC4-5D6E-409C-BE32-E72D297353CC}">
              <c16:uniqueId val="{00000000-7ED9-4A48-AC5C-685BC40C1EEA}"/>
            </c:ext>
          </c:extLst>
        </c:ser>
        <c:dLbls>
          <c:showLegendKey val="0"/>
          <c:showVal val="0"/>
          <c:showCatName val="0"/>
          <c:showSerName val="0"/>
          <c:showPercent val="0"/>
          <c:showBubbleSize val="0"/>
        </c:dLbls>
        <c:smooth val="0"/>
        <c:axId val="2095361856"/>
        <c:axId val="2095371456"/>
      </c:lineChart>
      <c:catAx>
        <c:axId val="209536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71456"/>
        <c:crosses val="autoZero"/>
        <c:auto val="1"/>
        <c:lblAlgn val="ctr"/>
        <c:lblOffset val="100"/>
        <c:noMultiLvlLbl val="0"/>
      </c:catAx>
      <c:valAx>
        <c:axId val="209537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6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solutionFile.xlsx]Finance Sol!PivotTable27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'Finance Sol'!$B$101</c:f>
              <c:strCache>
                <c:ptCount val="1"/>
                <c:pt idx="0">
                  <c:v>Sum of Rounded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E0-4CFB-9837-4244BE470C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E0-4CFB-9837-4244BE470C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E0-4CFB-9837-4244BE470C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E0-4CFB-9837-4244BE470CDE}"/>
              </c:ext>
            </c:extLst>
          </c:dPt>
          <c:cat>
            <c:strRef>
              <c:f>'Finance Sol'!$A$102:$A$106</c:f>
              <c:strCache>
                <c:ptCount val="4"/>
                <c:pt idx="0">
                  <c:v>Jun</c:v>
                </c:pt>
                <c:pt idx="1">
                  <c:v>Jul</c:v>
                </c:pt>
                <c:pt idx="2">
                  <c:v>Aug</c:v>
                </c:pt>
                <c:pt idx="3">
                  <c:v>Sep</c:v>
                </c:pt>
              </c:strCache>
            </c:strRef>
          </c:cat>
          <c:val>
            <c:numRef>
              <c:f>'Finance Sol'!$B$102:$B$106</c:f>
              <c:numCache>
                <c:formatCode>General</c:formatCode>
                <c:ptCount val="4"/>
                <c:pt idx="0">
                  <c:v>145805</c:v>
                </c:pt>
                <c:pt idx="1">
                  <c:v>189190</c:v>
                </c:pt>
                <c:pt idx="2">
                  <c:v>87865</c:v>
                </c:pt>
                <c:pt idx="3">
                  <c:v>16005</c:v>
                </c:pt>
              </c:numCache>
            </c:numRef>
          </c:val>
          <c:extLst>
            <c:ext xmlns:c16="http://schemas.microsoft.com/office/drawing/2014/chart" uri="{C3380CC4-5D6E-409C-BE32-E72D297353CC}">
              <c16:uniqueId val="{00000008-D1E0-4CFB-9837-4244BE470CDE}"/>
            </c:ext>
          </c:extLst>
        </c:ser>
        <c:ser>
          <c:idx val="1"/>
          <c:order val="1"/>
          <c:tx>
            <c:strRef>
              <c:f>'Finance Sol'!$C$101</c:f>
              <c:strCache>
                <c:ptCount val="1"/>
                <c:pt idx="0">
                  <c:v>Sum of Amount in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D1E0-4CFB-9837-4244BE470C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D1E0-4CFB-9837-4244BE470C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D1E0-4CFB-9837-4244BE470C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D1E0-4CFB-9837-4244BE470CDE}"/>
              </c:ext>
            </c:extLst>
          </c:dPt>
          <c:cat>
            <c:strRef>
              <c:f>'Finance Sol'!$A$102:$A$106</c:f>
              <c:strCache>
                <c:ptCount val="4"/>
                <c:pt idx="0">
                  <c:v>Jun</c:v>
                </c:pt>
                <c:pt idx="1">
                  <c:v>Jul</c:v>
                </c:pt>
                <c:pt idx="2">
                  <c:v>Aug</c:v>
                </c:pt>
                <c:pt idx="3">
                  <c:v>Sep</c:v>
                </c:pt>
              </c:strCache>
            </c:strRef>
          </c:cat>
          <c:val>
            <c:numRef>
              <c:f>'Finance Sol'!$C$102:$C$106</c:f>
              <c:numCache>
                <c:formatCode>General</c:formatCode>
                <c:ptCount val="4"/>
                <c:pt idx="0">
                  <c:v>145834</c:v>
                </c:pt>
                <c:pt idx="1">
                  <c:v>189271</c:v>
                </c:pt>
                <c:pt idx="2">
                  <c:v>87858</c:v>
                </c:pt>
                <c:pt idx="3">
                  <c:v>16005</c:v>
                </c:pt>
              </c:numCache>
            </c:numRef>
          </c:val>
          <c:extLst>
            <c:ext xmlns:c16="http://schemas.microsoft.com/office/drawing/2014/chart" uri="{C3380CC4-5D6E-409C-BE32-E72D297353CC}">
              <c16:uniqueId val="{00000011-D1E0-4CFB-9837-4244BE470C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solutionFile.xlsx]Finance Sol!PivotTable28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'Finance Sol'!$S$101</c:f>
              <c:strCache>
                <c:ptCount val="1"/>
                <c:pt idx="0">
                  <c:v>Total</c:v>
                </c:pt>
              </c:strCache>
            </c:strRef>
          </c:tx>
          <c:spPr>
            <a:solidFill>
              <a:schemeClr val="accent1"/>
            </a:solidFill>
            <a:ln>
              <a:noFill/>
            </a:ln>
            <a:effectLst/>
            <a:sp3d/>
          </c:spPr>
          <c:invertIfNegative val="0"/>
          <c:cat>
            <c:strRef>
              <c:f>'Finance Sol'!$R$102:$R$106</c:f>
              <c:strCache>
                <c:ptCount val="4"/>
                <c:pt idx="0">
                  <c:v>&lt;300</c:v>
                </c:pt>
                <c:pt idx="1">
                  <c:v>300-499</c:v>
                </c:pt>
                <c:pt idx="2">
                  <c:v>500-699</c:v>
                </c:pt>
                <c:pt idx="3">
                  <c:v>700-899</c:v>
                </c:pt>
              </c:strCache>
            </c:strRef>
          </c:cat>
          <c:val>
            <c:numRef>
              <c:f>'Finance Sol'!$S$102:$S$106</c:f>
              <c:numCache>
                <c:formatCode>General</c:formatCode>
                <c:ptCount val="4"/>
                <c:pt idx="0">
                  <c:v>26900</c:v>
                </c:pt>
                <c:pt idx="1">
                  <c:v>93582</c:v>
                </c:pt>
                <c:pt idx="2">
                  <c:v>132315</c:v>
                </c:pt>
                <c:pt idx="3">
                  <c:v>186171</c:v>
                </c:pt>
              </c:numCache>
            </c:numRef>
          </c:val>
          <c:extLst>
            <c:ext xmlns:c16="http://schemas.microsoft.com/office/drawing/2014/chart" uri="{C3380CC4-5D6E-409C-BE32-E72D297353CC}">
              <c16:uniqueId val="{00000000-0924-4048-9BCA-C03A7F7BBABC}"/>
            </c:ext>
          </c:extLst>
        </c:ser>
        <c:dLbls>
          <c:showLegendKey val="0"/>
          <c:showVal val="0"/>
          <c:showCatName val="0"/>
          <c:showSerName val="0"/>
          <c:showPercent val="0"/>
          <c:showBubbleSize val="0"/>
        </c:dLbls>
        <c:gapWidth val="150"/>
        <c:shape val="box"/>
        <c:axId val="2095371936"/>
        <c:axId val="2095370496"/>
        <c:axId val="0"/>
      </c:bar3DChart>
      <c:catAx>
        <c:axId val="2095371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70496"/>
        <c:crosses val="autoZero"/>
        <c:auto val="1"/>
        <c:lblAlgn val="ctr"/>
        <c:lblOffset val="100"/>
        <c:noMultiLvlLbl val="0"/>
      </c:catAx>
      <c:valAx>
        <c:axId val="209537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7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solutionFile.xlsx]Finance Sol!PivotTable29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Sol'!$B$126</c:f>
              <c:strCache>
                <c:ptCount val="1"/>
                <c:pt idx="0">
                  <c:v>Total</c:v>
                </c:pt>
              </c:strCache>
            </c:strRef>
          </c:tx>
          <c:spPr>
            <a:solidFill>
              <a:schemeClr val="accent1"/>
            </a:solidFill>
            <a:ln>
              <a:noFill/>
            </a:ln>
            <a:effectLst/>
          </c:spPr>
          <c:invertIfNegative val="0"/>
          <c:cat>
            <c:strRef>
              <c:f>'Finance Sol'!$A$127:$A$131</c:f>
              <c:strCache>
                <c:ptCount val="4"/>
                <c:pt idx="0">
                  <c:v>&lt;300</c:v>
                </c:pt>
                <c:pt idx="1">
                  <c:v>300-499</c:v>
                </c:pt>
                <c:pt idx="2">
                  <c:v>500-699</c:v>
                </c:pt>
                <c:pt idx="3">
                  <c:v>700-899</c:v>
                </c:pt>
              </c:strCache>
            </c:strRef>
          </c:cat>
          <c:val>
            <c:numRef>
              <c:f>'Finance Sol'!$B$127:$B$131</c:f>
              <c:numCache>
                <c:formatCode>General</c:formatCode>
                <c:ptCount val="4"/>
                <c:pt idx="0">
                  <c:v>106</c:v>
                </c:pt>
                <c:pt idx="1">
                  <c:v>235</c:v>
                </c:pt>
                <c:pt idx="2">
                  <c:v>221</c:v>
                </c:pt>
                <c:pt idx="3">
                  <c:v>232</c:v>
                </c:pt>
              </c:numCache>
            </c:numRef>
          </c:val>
          <c:extLst>
            <c:ext xmlns:c16="http://schemas.microsoft.com/office/drawing/2014/chart" uri="{C3380CC4-5D6E-409C-BE32-E72D297353CC}">
              <c16:uniqueId val="{00000000-19AE-4E2D-A3C7-D6FBD395B17D}"/>
            </c:ext>
          </c:extLst>
        </c:ser>
        <c:dLbls>
          <c:showLegendKey val="0"/>
          <c:showVal val="0"/>
          <c:showCatName val="0"/>
          <c:showSerName val="0"/>
          <c:showPercent val="0"/>
          <c:showBubbleSize val="0"/>
        </c:dLbls>
        <c:gapWidth val="219"/>
        <c:overlap val="-27"/>
        <c:axId val="2031233312"/>
        <c:axId val="2031235232"/>
      </c:barChart>
      <c:catAx>
        <c:axId val="203123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235232"/>
        <c:crosses val="autoZero"/>
        <c:auto val="1"/>
        <c:lblAlgn val="ctr"/>
        <c:lblOffset val="100"/>
        <c:noMultiLvlLbl val="0"/>
      </c:catAx>
      <c:valAx>
        <c:axId val="203123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23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solutionFile.xlsx]Finance Sol!PivotTable30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'Finance Sol'!$Q$123</c:f>
              <c:strCache>
                <c:ptCount val="1"/>
                <c:pt idx="0">
                  <c:v>Total</c:v>
                </c:pt>
              </c:strCache>
            </c:strRef>
          </c:tx>
          <c:spPr>
            <a:solidFill>
              <a:schemeClr val="accent1"/>
            </a:solidFill>
            <a:ln>
              <a:noFill/>
            </a:ln>
            <a:effectLst/>
            <a:sp3d/>
          </c:spPr>
          <c:invertIfNegative val="0"/>
          <c:cat>
            <c:strRef>
              <c:f>'Finance Sol'!$P$124:$P$130</c:f>
              <c:strCache>
                <c:ptCount val="6"/>
                <c:pt idx="0">
                  <c:v>PIZB0001</c:v>
                </c:pt>
                <c:pt idx="1">
                  <c:v>PIZB0002</c:v>
                </c:pt>
                <c:pt idx="2">
                  <c:v>PIZB0003</c:v>
                </c:pt>
                <c:pt idx="3">
                  <c:v>PIZB0004</c:v>
                </c:pt>
                <c:pt idx="4">
                  <c:v>PIZB0005</c:v>
                </c:pt>
                <c:pt idx="5">
                  <c:v>PIZB0006</c:v>
                </c:pt>
              </c:strCache>
            </c:strRef>
          </c:cat>
          <c:val>
            <c:numRef>
              <c:f>'Finance Sol'!$Q$124:$Q$130</c:f>
              <c:numCache>
                <c:formatCode>General</c:formatCode>
                <c:ptCount val="6"/>
                <c:pt idx="0">
                  <c:v>551.73988439306356</c:v>
                </c:pt>
                <c:pt idx="1">
                  <c:v>557.49132947976875</c:v>
                </c:pt>
                <c:pt idx="2">
                  <c:v>554.54335260115602</c:v>
                </c:pt>
                <c:pt idx="3">
                  <c:v>544.6104651162791</c:v>
                </c:pt>
                <c:pt idx="4">
                  <c:v>584.44927536231887</c:v>
                </c:pt>
                <c:pt idx="5">
                  <c:v>503.97058823529414</c:v>
                </c:pt>
              </c:numCache>
            </c:numRef>
          </c:val>
          <c:extLst>
            <c:ext xmlns:c16="http://schemas.microsoft.com/office/drawing/2014/chart" uri="{C3380CC4-5D6E-409C-BE32-E72D297353CC}">
              <c16:uniqueId val="{00000000-CCD0-4BBC-9B5F-922D391DAC19}"/>
            </c:ext>
          </c:extLst>
        </c:ser>
        <c:dLbls>
          <c:showLegendKey val="0"/>
          <c:showVal val="0"/>
          <c:showCatName val="0"/>
          <c:showSerName val="0"/>
          <c:showPercent val="0"/>
          <c:showBubbleSize val="0"/>
        </c:dLbls>
        <c:gapWidth val="150"/>
        <c:shape val="box"/>
        <c:axId val="1889406896"/>
        <c:axId val="1889410256"/>
        <c:axId val="0"/>
      </c:bar3DChart>
      <c:catAx>
        <c:axId val="1889406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410256"/>
        <c:crosses val="autoZero"/>
        <c:auto val="1"/>
        <c:lblAlgn val="ctr"/>
        <c:lblOffset val="100"/>
        <c:noMultiLvlLbl val="0"/>
      </c:catAx>
      <c:valAx>
        <c:axId val="188941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40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solutionFile.xlsx]Finance Sol!PivotTable22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 Sol'!$B$3</c:f>
              <c:strCache>
                <c:ptCount val="1"/>
                <c:pt idx="0">
                  <c:v>Total</c:v>
                </c:pt>
              </c:strCache>
            </c:strRef>
          </c:tx>
          <c:spPr>
            <a:ln w="28575" cap="rnd">
              <a:solidFill>
                <a:schemeClr val="accent1"/>
              </a:solidFill>
              <a:round/>
            </a:ln>
            <a:effectLst/>
          </c:spPr>
          <c:marker>
            <c:symbol val="none"/>
          </c:marker>
          <c:cat>
            <c:strRef>
              <c:f>'Finance Sol'!$A$4:$A$88</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'Finance Sol'!$B$4:$B$88</c:f>
              <c:numCache>
                <c:formatCode>General</c:formatCode>
                <c:ptCount val="84"/>
                <c:pt idx="0">
                  <c:v>617.53846153846155</c:v>
                </c:pt>
                <c:pt idx="1">
                  <c:v>550</c:v>
                </c:pt>
                <c:pt idx="2">
                  <c:v>543.22222222222217</c:v>
                </c:pt>
                <c:pt idx="3">
                  <c:v>527.42857142857144</c:v>
                </c:pt>
                <c:pt idx="4">
                  <c:v>665.41666666666663</c:v>
                </c:pt>
                <c:pt idx="5">
                  <c:v>550.33333333333337</c:v>
                </c:pt>
                <c:pt idx="6">
                  <c:v>578.92307692307691</c:v>
                </c:pt>
                <c:pt idx="7">
                  <c:v>524.875</c:v>
                </c:pt>
                <c:pt idx="8">
                  <c:v>429</c:v>
                </c:pt>
                <c:pt idx="9">
                  <c:v>595.38235294117646</c:v>
                </c:pt>
                <c:pt idx="10">
                  <c:v>517.72413793103453</c:v>
                </c:pt>
                <c:pt idx="11">
                  <c:v>506.92307692307691</c:v>
                </c:pt>
                <c:pt idx="12">
                  <c:v>504.88461538461536</c:v>
                </c:pt>
                <c:pt idx="13">
                  <c:v>630.94117647058829</c:v>
                </c:pt>
                <c:pt idx="14">
                  <c:v>523.36363636363637</c:v>
                </c:pt>
                <c:pt idx="15">
                  <c:v>546.62962962962968</c:v>
                </c:pt>
                <c:pt idx="16">
                  <c:v>605.5</c:v>
                </c:pt>
                <c:pt idx="17">
                  <c:v>516.6</c:v>
                </c:pt>
                <c:pt idx="18">
                  <c:v>540.6</c:v>
                </c:pt>
                <c:pt idx="19">
                  <c:v>505.2</c:v>
                </c:pt>
                <c:pt idx="20">
                  <c:v>498.0625</c:v>
                </c:pt>
                <c:pt idx="21">
                  <c:v>539.29999999999995</c:v>
                </c:pt>
                <c:pt idx="22">
                  <c:v>566.29999999999995</c:v>
                </c:pt>
                <c:pt idx="23">
                  <c:v>690.6</c:v>
                </c:pt>
                <c:pt idx="24">
                  <c:v>563.79999999999995</c:v>
                </c:pt>
                <c:pt idx="25">
                  <c:v>556.20000000000005</c:v>
                </c:pt>
                <c:pt idx="26">
                  <c:v>539.26666666666665</c:v>
                </c:pt>
                <c:pt idx="27">
                  <c:v>584.70000000000005</c:v>
                </c:pt>
                <c:pt idx="28">
                  <c:v>545.70000000000005</c:v>
                </c:pt>
                <c:pt idx="29">
                  <c:v>547.19230769230774</c:v>
                </c:pt>
                <c:pt idx="30">
                  <c:v>562.28571428571433</c:v>
                </c:pt>
                <c:pt idx="31">
                  <c:v>529.07142857142856</c:v>
                </c:pt>
                <c:pt idx="32">
                  <c:v>447.85714285714283</c:v>
                </c:pt>
                <c:pt idx="33">
                  <c:v>494.0625</c:v>
                </c:pt>
                <c:pt idx="34">
                  <c:v>622.57142857142856</c:v>
                </c:pt>
                <c:pt idx="35">
                  <c:v>643.75</c:v>
                </c:pt>
                <c:pt idx="36">
                  <c:v>582.38461538461536</c:v>
                </c:pt>
                <c:pt idx="37">
                  <c:v>556.15789473684208</c:v>
                </c:pt>
                <c:pt idx="38">
                  <c:v>594.8125</c:v>
                </c:pt>
                <c:pt idx="39">
                  <c:v>623.28571428571433</c:v>
                </c:pt>
                <c:pt idx="40">
                  <c:v>527.4</c:v>
                </c:pt>
                <c:pt idx="41">
                  <c:v>608.66666666666663</c:v>
                </c:pt>
                <c:pt idx="42">
                  <c:v>576.11111111111109</c:v>
                </c:pt>
                <c:pt idx="43">
                  <c:v>583.29999999999995</c:v>
                </c:pt>
                <c:pt idx="44">
                  <c:v>665.5</c:v>
                </c:pt>
                <c:pt idx="45">
                  <c:v>499.16666666666669</c:v>
                </c:pt>
                <c:pt idx="46">
                  <c:v>478</c:v>
                </c:pt>
                <c:pt idx="47">
                  <c:v>636.625</c:v>
                </c:pt>
                <c:pt idx="48">
                  <c:v>521.66666666666663</c:v>
                </c:pt>
                <c:pt idx="49">
                  <c:v>629.75</c:v>
                </c:pt>
                <c:pt idx="50">
                  <c:v>343</c:v>
                </c:pt>
                <c:pt idx="51">
                  <c:v>406.6</c:v>
                </c:pt>
                <c:pt idx="52">
                  <c:v>426.33333333333331</c:v>
                </c:pt>
                <c:pt idx="53">
                  <c:v>420</c:v>
                </c:pt>
                <c:pt idx="54">
                  <c:v>753</c:v>
                </c:pt>
                <c:pt idx="55">
                  <c:v>598.125</c:v>
                </c:pt>
                <c:pt idx="56">
                  <c:v>602</c:v>
                </c:pt>
                <c:pt idx="57">
                  <c:v>590.33333333333337</c:v>
                </c:pt>
                <c:pt idx="58">
                  <c:v>521.16666666666663</c:v>
                </c:pt>
                <c:pt idx="59">
                  <c:v>452.66666666666669</c:v>
                </c:pt>
                <c:pt idx="60">
                  <c:v>533.83333333333337</c:v>
                </c:pt>
                <c:pt idx="61">
                  <c:v>530.20000000000005</c:v>
                </c:pt>
                <c:pt idx="62">
                  <c:v>677.2</c:v>
                </c:pt>
                <c:pt idx="63">
                  <c:v>550.83333333333337</c:v>
                </c:pt>
                <c:pt idx="64">
                  <c:v>558.28571428571433</c:v>
                </c:pt>
                <c:pt idx="65">
                  <c:v>392.25</c:v>
                </c:pt>
                <c:pt idx="66">
                  <c:v>540.875</c:v>
                </c:pt>
                <c:pt idx="67">
                  <c:v>538</c:v>
                </c:pt>
                <c:pt idx="68">
                  <c:v>518.66666666666663</c:v>
                </c:pt>
                <c:pt idx="69">
                  <c:v>547.66666666666663</c:v>
                </c:pt>
                <c:pt idx="70">
                  <c:v>544.5</c:v>
                </c:pt>
                <c:pt idx="71">
                  <c:v>519</c:v>
                </c:pt>
                <c:pt idx="72">
                  <c:v>605.44444444444446</c:v>
                </c:pt>
                <c:pt idx="73">
                  <c:v>589.29999999999995</c:v>
                </c:pt>
                <c:pt idx="74">
                  <c:v>512.66666666666663</c:v>
                </c:pt>
                <c:pt idx="75">
                  <c:v>543.71428571428567</c:v>
                </c:pt>
                <c:pt idx="76">
                  <c:v>472</c:v>
                </c:pt>
                <c:pt idx="77">
                  <c:v>514</c:v>
                </c:pt>
                <c:pt idx="78">
                  <c:v>385</c:v>
                </c:pt>
                <c:pt idx="79">
                  <c:v>505.25</c:v>
                </c:pt>
                <c:pt idx="80">
                  <c:v>475.16666666666669</c:v>
                </c:pt>
                <c:pt idx="81">
                  <c:v>540.55555555555554</c:v>
                </c:pt>
                <c:pt idx="82">
                  <c:v>515.16666666666663</c:v>
                </c:pt>
                <c:pt idx="83">
                  <c:v>481.4</c:v>
                </c:pt>
              </c:numCache>
            </c:numRef>
          </c:val>
          <c:smooth val="0"/>
          <c:extLst>
            <c:ext xmlns:c16="http://schemas.microsoft.com/office/drawing/2014/chart" uri="{C3380CC4-5D6E-409C-BE32-E72D297353CC}">
              <c16:uniqueId val="{00000000-416D-40B1-8BF7-0971CF97158B}"/>
            </c:ext>
          </c:extLst>
        </c:ser>
        <c:dLbls>
          <c:showLegendKey val="0"/>
          <c:showVal val="0"/>
          <c:showCatName val="0"/>
          <c:showSerName val="0"/>
          <c:showPercent val="0"/>
          <c:showBubbleSize val="0"/>
        </c:dLbls>
        <c:smooth val="0"/>
        <c:axId val="1956031856"/>
        <c:axId val="1956028976"/>
      </c:lineChart>
      <c:catAx>
        <c:axId val="195603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028976"/>
        <c:crosses val="autoZero"/>
        <c:auto val="1"/>
        <c:lblAlgn val="ctr"/>
        <c:lblOffset val="100"/>
        <c:noMultiLvlLbl val="0"/>
      </c:catAx>
      <c:valAx>
        <c:axId val="195602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03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solutionFile.xlsx]Finance Sol!PivotTable23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 Sol'!$T$5</c:f>
              <c:strCache>
                <c:ptCount val="1"/>
                <c:pt idx="0">
                  <c:v>Total</c:v>
                </c:pt>
              </c:strCache>
            </c:strRef>
          </c:tx>
          <c:spPr>
            <a:ln w="28575" cap="rnd">
              <a:solidFill>
                <a:schemeClr val="accent1"/>
              </a:solidFill>
              <a:round/>
            </a:ln>
            <a:effectLst/>
          </c:spPr>
          <c:marker>
            <c:symbol val="none"/>
          </c:marker>
          <c:cat>
            <c:strRef>
              <c:f>'Finance Sol'!$S$6:$S$90</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'Finance Sol'!$T$6:$T$90</c:f>
              <c:numCache>
                <c:formatCode>General</c:formatCode>
                <c:ptCount val="84"/>
                <c:pt idx="0">
                  <c:v>617.53846153846155</c:v>
                </c:pt>
                <c:pt idx="1">
                  <c:v>550</c:v>
                </c:pt>
                <c:pt idx="2">
                  <c:v>543.22222222222217</c:v>
                </c:pt>
                <c:pt idx="3">
                  <c:v>527.42857142857144</c:v>
                </c:pt>
                <c:pt idx="4">
                  <c:v>665.41666666666663</c:v>
                </c:pt>
                <c:pt idx="5">
                  <c:v>550.33333333333337</c:v>
                </c:pt>
                <c:pt idx="6">
                  <c:v>578.92307692307691</c:v>
                </c:pt>
                <c:pt idx="7">
                  <c:v>524.875</c:v>
                </c:pt>
                <c:pt idx="8">
                  <c:v>429</c:v>
                </c:pt>
                <c:pt idx="9">
                  <c:v>595.38235294117646</c:v>
                </c:pt>
                <c:pt idx="10">
                  <c:v>517.72413793103453</c:v>
                </c:pt>
                <c:pt idx="11">
                  <c:v>506.92307692307691</c:v>
                </c:pt>
                <c:pt idx="12">
                  <c:v>504.88461538461536</c:v>
                </c:pt>
                <c:pt idx="13">
                  <c:v>630.94117647058829</c:v>
                </c:pt>
                <c:pt idx="14">
                  <c:v>523.36363636363637</c:v>
                </c:pt>
                <c:pt idx="15">
                  <c:v>546.62962962962968</c:v>
                </c:pt>
                <c:pt idx="16">
                  <c:v>605.5</c:v>
                </c:pt>
                <c:pt idx="17">
                  <c:v>516.6</c:v>
                </c:pt>
                <c:pt idx="18">
                  <c:v>540.6</c:v>
                </c:pt>
                <c:pt idx="19">
                  <c:v>505.2</c:v>
                </c:pt>
                <c:pt idx="20">
                  <c:v>498.0625</c:v>
                </c:pt>
                <c:pt idx="21">
                  <c:v>539.29999999999995</c:v>
                </c:pt>
                <c:pt idx="22">
                  <c:v>566.29999999999995</c:v>
                </c:pt>
                <c:pt idx="23">
                  <c:v>690.6</c:v>
                </c:pt>
                <c:pt idx="24">
                  <c:v>563.79999999999995</c:v>
                </c:pt>
                <c:pt idx="25">
                  <c:v>556.20000000000005</c:v>
                </c:pt>
                <c:pt idx="26">
                  <c:v>539.26666666666665</c:v>
                </c:pt>
                <c:pt idx="27">
                  <c:v>584.70000000000005</c:v>
                </c:pt>
                <c:pt idx="28">
                  <c:v>545.70000000000005</c:v>
                </c:pt>
                <c:pt idx="29">
                  <c:v>547.19230769230774</c:v>
                </c:pt>
                <c:pt idx="30">
                  <c:v>562.28571428571433</c:v>
                </c:pt>
                <c:pt idx="31">
                  <c:v>529.07142857142856</c:v>
                </c:pt>
                <c:pt idx="32">
                  <c:v>447.85714285714283</c:v>
                </c:pt>
                <c:pt idx="33">
                  <c:v>494.0625</c:v>
                </c:pt>
                <c:pt idx="34">
                  <c:v>622.57142857142856</c:v>
                </c:pt>
                <c:pt idx="35">
                  <c:v>643.75</c:v>
                </c:pt>
                <c:pt idx="36">
                  <c:v>582.38461538461536</c:v>
                </c:pt>
                <c:pt idx="37">
                  <c:v>556.15789473684208</c:v>
                </c:pt>
                <c:pt idx="38">
                  <c:v>594.8125</c:v>
                </c:pt>
                <c:pt idx="39">
                  <c:v>623.28571428571433</c:v>
                </c:pt>
                <c:pt idx="40">
                  <c:v>527.4</c:v>
                </c:pt>
                <c:pt idx="41">
                  <c:v>608.66666666666663</c:v>
                </c:pt>
                <c:pt idx="42">
                  <c:v>576.11111111111109</c:v>
                </c:pt>
                <c:pt idx="43">
                  <c:v>583.29999999999995</c:v>
                </c:pt>
                <c:pt idx="44">
                  <c:v>665.5</c:v>
                </c:pt>
                <c:pt idx="45">
                  <c:v>499.16666666666669</c:v>
                </c:pt>
                <c:pt idx="46">
                  <c:v>478</c:v>
                </c:pt>
                <c:pt idx="47">
                  <c:v>636.625</c:v>
                </c:pt>
                <c:pt idx="48">
                  <c:v>521.66666666666663</c:v>
                </c:pt>
                <c:pt idx="49">
                  <c:v>629.75</c:v>
                </c:pt>
                <c:pt idx="50">
                  <c:v>343</c:v>
                </c:pt>
                <c:pt idx="51">
                  <c:v>406.6</c:v>
                </c:pt>
                <c:pt idx="52">
                  <c:v>426.33333333333331</c:v>
                </c:pt>
                <c:pt idx="53">
                  <c:v>420</c:v>
                </c:pt>
                <c:pt idx="54">
                  <c:v>753</c:v>
                </c:pt>
                <c:pt idx="55">
                  <c:v>598.125</c:v>
                </c:pt>
                <c:pt idx="56">
                  <c:v>602</c:v>
                </c:pt>
                <c:pt idx="57">
                  <c:v>590.33333333333337</c:v>
                </c:pt>
                <c:pt idx="58">
                  <c:v>521.16666666666663</c:v>
                </c:pt>
                <c:pt idx="59">
                  <c:v>452.66666666666669</c:v>
                </c:pt>
                <c:pt idx="60">
                  <c:v>533.83333333333337</c:v>
                </c:pt>
                <c:pt idx="61">
                  <c:v>530.20000000000005</c:v>
                </c:pt>
                <c:pt idx="62">
                  <c:v>677.2</c:v>
                </c:pt>
                <c:pt idx="63">
                  <c:v>550.83333333333337</c:v>
                </c:pt>
                <c:pt idx="64">
                  <c:v>558.28571428571433</c:v>
                </c:pt>
                <c:pt idx="65">
                  <c:v>392.25</c:v>
                </c:pt>
                <c:pt idx="66">
                  <c:v>540.875</c:v>
                </c:pt>
                <c:pt idx="67">
                  <c:v>538</c:v>
                </c:pt>
                <c:pt idx="68">
                  <c:v>518.66666666666663</c:v>
                </c:pt>
                <c:pt idx="69">
                  <c:v>547.66666666666663</c:v>
                </c:pt>
                <c:pt idx="70">
                  <c:v>544.5</c:v>
                </c:pt>
                <c:pt idx="71">
                  <c:v>519</c:v>
                </c:pt>
                <c:pt idx="72">
                  <c:v>605.44444444444446</c:v>
                </c:pt>
                <c:pt idx="73">
                  <c:v>589.29999999999995</c:v>
                </c:pt>
                <c:pt idx="74">
                  <c:v>512.66666666666663</c:v>
                </c:pt>
                <c:pt idx="75">
                  <c:v>543.71428571428567</c:v>
                </c:pt>
                <c:pt idx="76">
                  <c:v>472</c:v>
                </c:pt>
                <c:pt idx="77">
                  <c:v>514</c:v>
                </c:pt>
                <c:pt idx="78">
                  <c:v>385</c:v>
                </c:pt>
                <c:pt idx="79">
                  <c:v>505.25</c:v>
                </c:pt>
                <c:pt idx="80">
                  <c:v>475.16666666666669</c:v>
                </c:pt>
                <c:pt idx="81">
                  <c:v>540.55555555555554</c:v>
                </c:pt>
                <c:pt idx="82">
                  <c:v>515.16666666666663</c:v>
                </c:pt>
                <c:pt idx="83">
                  <c:v>481.4</c:v>
                </c:pt>
              </c:numCache>
            </c:numRef>
          </c:val>
          <c:smooth val="0"/>
          <c:extLst>
            <c:ext xmlns:c16="http://schemas.microsoft.com/office/drawing/2014/chart" uri="{C3380CC4-5D6E-409C-BE32-E72D297353CC}">
              <c16:uniqueId val="{00000000-80C1-4374-A42B-61E1DA0C78C2}"/>
            </c:ext>
          </c:extLst>
        </c:ser>
        <c:dLbls>
          <c:showLegendKey val="0"/>
          <c:showVal val="0"/>
          <c:showCatName val="0"/>
          <c:showSerName val="0"/>
          <c:showPercent val="0"/>
          <c:showBubbleSize val="0"/>
        </c:dLbls>
        <c:smooth val="0"/>
        <c:axId val="2095361856"/>
        <c:axId val="2095371456"/>
      </c:lineChart>
      <c:catAx>
        <c:axId val="209536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71456"/>
        <c:crosses val="autoZero"/>
        <c:auto val="1"/>
        <c:lblAlgn val="ctr"/>
        <c:lblOffset val="100"/>
        <c:noMultiLvlLbl val="0"/>
      </c:catAx>
      <c:valAx>
        <c:axId val="209537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6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solutionFile.xlsx]Finance Sol!PivotTable27</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pieChart>
        <c:varyColors val="1"/>
        <c:ser>
          <c:idx val="0"/>
          <c:order val="0"/>
          <c:tx>
            <c:strRef>
              <c:f>'Finance Sol'!$B$101</c:f>
              <c:strCache>
                <c:ptCount val="1"/>
                <c:pt idx="0">
                  <c:v>Sum of Rounded Sales</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FB-4462-99C5-649DC2425A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FB-4462-99C5-649DC2425A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FB-4462-99C5-649DC2425A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FB-4462-99C5-649DC2425A10}"/>
              </c:ext>
            </c:extLst>
          </c:dPt>
          <c:cat>
            <c:strRef>
              <c:f>'Finance Sol'!$A$102:$A$106</c:f>
              <c:strCache>
                <c:ptCount val="4"/>
                <c:pt idx="0">
                  <c:v>Jun</c:v>
                </c:pt>
                <c:pt idx="1">
                  <c:v>Jul</c:v>
                </c:pt>
                <c:pt idx="2">
                  <c:v>Aug</c:v>
                </c:pt>
                <c:pt idx="3">
                  <c:v>Sep</c:v>
                </c:pt>
              </c:strCache>
            </c:strRef>
          </c:cat>
          <c:val>
            <c:numRef>
              <c:f>'Finance Sol'!$B$102:$B$106</c:f>
              <c:numCache>
                <c:formatCode>General</c:formatCode>
                <c:ptCount val="4"/>
                <c:pt idx="0">
                  <c:v>145805</c:v>
                </c:pt>
                <c:pt idx="1">
                  <c:v>189190</c:v>
                </c:pt>
                <c:pt idx="2">
                  <c:v>87865</c:v>
                </c:pt>
                <c:pt idx="3">
                  <c:v>16005</c:v>
                </c:pt>
              </c:numCache>
            </c:numRef>
          </c:val>
          <c:extLst>
            <c:ext xmlns:c16="http://schemas.microsoft.com/office/drawing/2014/chart" uri="{C3380CC4-5D6E-409C-BE32-E72D297353CC}">
              <c16:uniqueId val="{00000008-1BFB-4462-99C5-649DC2425A10}"/>
            </c:ext>
          </c:extLst>
        </c:ser>
        <c:ser>
          <c:idx val="1"/>
          <c:order val="1"/>
          <c:tx>
            <c:strRef>
              <c:f>'Finance Sol'!$C$101</c:f>
              <c:strCache>
                <c:ptCount val="1"/>
                <c:pt idx="0">
                  <c:v>Sum of Amount in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1BFB-4462-99C5-649DC2425A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1BFB-4462-99C5-649DC2425A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1BFB-4462-99C5-649DC2425A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1BFB-4462-99C5-649DC2425A10}"/>
              </c:ext>
            </c:extLst>
          </c:dPt>
          <c:cat>
            <c:strRef>
              <c:f>'Finance Sol'!$A$102:$A$106</c:f>
              <c:strCache>
                <c:ptCount val="4"/>
                <c:pt idx="0">
                  <c:v>Jun</c:v>
                </c:pt>
                <c:pt idx="1">
                  <c:v>Jul</c:v>
                </c:pt>
                <c:pt idx="2">
                  <c:v>Aug</c:v>
                </c:pt>
                <c:pt idx="3">
                  <c:v>Sep</c:v>
                </c:pt>
              </c:strCache>
            </c:strRef>
          </c:cat>
          <c:val>
            <c:numRef>
              <c:f>'Finance Sol'!$C$102:$C$106</c:f>
              <c:numCache>
                <c:formatCode>General</c:formatCode>
                <c:ptCount val="4"/>
                <c:pt idx="0">
                  <c:v>145834</c:v>
                </c:pt>
                <c:pt idx="1">
                  <c:v>189271</c:v>
                </c:pt>
                <c:pt idx="2">
                  <c:v>87858</c:v>
                </c:pt>
                <c:pt idx="3">
                  <c:v>16005</c:v>
                </c:pt>
              </c:numCache>
            </c:numRef>
          </c:val>
          <c:extLst>
            <c:ext xmlns:c16="http://schemas.microsoft.com/office/drawing/2014/chart" uri="{C3380CC4-5D6E-409C-BE32-E72D297353CC}">
              <c16:uniqueId val="{00000011-1BFB-4462-99C5-649DC2425A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solutionFile.xlsx]Finance Sol!PivotTable28</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'Finance Sol'!$S$101</c:f>
              <c:strCache>
                <c:ptCount val="1"/>
                <c:pt idx="0">
                  <c:v>Total</c:v>
                </c:pt>
              </c:strCache>
            </c:strRef>
          </c:tx>
          <c:spPr>
            <a:solidFill>
              <a:schemeClr val="accent1"/>
            </a:solidFill>
            <a:ln>
              <a:noFill/>
            </a:ln>
            <a:effectLst/>
            <a:sp3d/>
          </c:spPr>
          <c:invertIfNegative val="0"/>
          <c:cat>
            <c:strRef>
              <c:f>'Finance Sol'!$R$102:$R$106</c:f>
              <c:strCache>
                <c:ptCount val="4"/>
                <c:pt idx="0">
                  <c:v>&lt;300</c:v>
                </c:pt>
                <c:pt idx="1">
                  <c:v>300-499</c:v>
                </c:pt>
                <c:pt idx="2">
                  <c:v>500-699</c:v>
                </c:pt>
                <c:pt idx="3">
                  <c:v>700-899</c:v>
                </c:pt>
              </c:strCache>
            </c:strRef>
          </c:cat>
          <c:val>
            <c:numRef>
              <c:f>'Finance Sol'!$S$102:$S$106</c:f>
              <c:numCache>
                <c:formatCode>General</c:formatCode>
                <c:ptCount val="4"/>
                <c:pt idx="0">
                  <c:v>26900</c:v>
                </c:pt>
                <c:pt idx="1">
                  <c:v>93582</c:v>
                </c:pt>
                <c:pt idx="2">
                  <c:v>132315</c:v>
                </c:pt>
                <c:pt idx="3">
                  <c:v>186171</c:v>
                </c:pt>
              </c:numCache>
            </c:numRef>
          </c:val>
          <c:extLst>
            <c:ext xmlns:c16="http://schemas.microsoft.com/office/drawing/2014/chart" uri="{C3380CC4-5D6E-409C-BE32-E72D297353CC}">
              <c16:uniqueId val="{00000000-1D34-4FD2-AFEF-A0928E491D2F}"/>
            </c:ext>
          </c:extLst>
        </c:ser>
        <c:dLbls>
          <c:showLegendKey val="0"/>
          <c:showVal val="0"/>
          <c:showCatName val="0"/>
          <c:showSerName val="0"/>
          <c:showPercent val="0"/>
          <c:showBubbleSize val="0"/>
        </c:dLbls>
        <c:gapWidth val="150"/>
        <c:shape val="box"/>
        <c:axId val="2095371936"/>
        <c:axId val="2095370496"/>
        <c:axId val="0"/>
      </c:bar3DChart>
      <c:catAx>
        <c:axId val="2095371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70496"/>
        <c:crosses val="autoZero"/>
        <c:auto val="1"/>
        <c:lblAlgn val="ctr"/>
        <c:lblOffset val="100"/>
        <c:noMultiLvlLbl val="0"/>
      </c:catAx>
      <c:valAx>
        <c:axId val="209537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37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solutionFile.xlsx]Finance Sol!PivotTable29</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Sol'!$B$126</c:f>
              <c:strCache>
                <c:ptCount val="1"/>
                <c:pt idx="0">
                  <c:v>Total</c:v>
                </c:pt>
              </c:strCache>
            </c:strRef>
          </c:tx>
          <c:spPr>
            <a:solidFill>
              <a:schemeClr val="accent1"/>
            </a:solidFill>
            <a:ln>
              <a:noFill/>
            </a:ln>
            <a:effectLst/>
          </c:spPr>
          <c:invertIfNegative val="0"/>
          <c:cat>
            <c:strRef>
              <c:f>'Finance Sol'!$A$127:$A$131</c:f>
              <c:strCache>
                <c:ptCount val="4"/>
                <c:pt idx="0">
                  <c:v>&lt;300</c:v>
                </c:pt>
                <c:pt idx="1">
                  <c:v>300-499</c:v>
                </c:pt>
                <c:pt idx="2">
                  <c:v>500-699</c:v>
                </c:pt>
                <c:pt idx="3">
                  <c:v>700-899</c:v>
                </c:pt>
              </c:strCache>
            </c:strRef>
          </c:cat>
          <c:val>
            <c:numRef>
              <c:f>'Finance Sol'!$B$127:$B$131</c:f>
              <c:numCache>
                <c:formatCode>General</c:formatCode>
                <c:ptCount val="4"/>
                <c:pt idx="0">
                  <c:v>106</c:v>
                </c:pt>
                <c:pt idx="1">
                  <c:v>235</c:v>
                </c:pt>
                <c:pt idx="2">
                  <c:v>221</c:v>
                </c:pt>
                <c:pt idx="3">
                  <c:v>232</c:v>
                </c:pt>
              </c:numCache>
            </c:numRef>
          </c:val>
          <c:extLst>
            <c:ext xmlns:c16="http://schemas.microsoft.com/office/drawing/2014/chart" uri="{C3380CC4-5D6E-409C-BE32-E72D297353CC}">
              <c16:uniqueId val="{00000000-5971-4618-BEDB-F502656C53D5}"/>
            </c:ext>
          </c:extLst>
        </c:ser>
        <c:dLbls>
          <c:showLegendKey val="0"/>
          <c:showVal val="0"/>
          <c:showCatName val="0"/>
          <c:showSerName val="0"/>
          <c:showPercent val="0"/>
          <c:showBubbleSize val="0"/>
        </c:dLbls>
        <c:gapWidth val="219"/>
        <c:overlap val="-27"/>
        <c:axId val="2031233312"/>
        <c:axId val="2031235232"/>
      </c:barChart>
      <c:catAx>
        <c:axId val="203123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235232"/>
        <c:crosses val="autoZero"/>
        <c:auto val="1"/>
        <c:lblAlgn val="ctr"/>
        <c:lblOffset val="100"/>
        <c:noMultiLvlLbl val="0"/>
      </c:catAx>
      <c:valAx>
        <c:axId val="203123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23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solutionFile.xlsx]Finance Sol!PivotTable30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'Finance Sol'!$Q$123</c:f>
              <c:strCache>
                <c:ptCount val="1"/>
                <c:pt idx="0">
                  <c:v>Total</c:v>
                </c:pt>
              </c:strCache>
            </c:strRef>
          </c:tx>
          <c:spPr>
            <a:solidFill>
              <a:schemeClr val="accent1"/>
            </a:solidFill>
            <a:ln>
              <a:noFill/>
            </a:ln>
            <a:effectLst/>
            <a:sp3d/>
          </c:spPr>
          <c:invertIfNegative val="0"/>
          <c:cat>
            <c:strRef>
              <c:f>'Finance Sol'!$P$124:$P$130</c:f>
              <c:strCache>
                <c:ptCount val="6"/>
                <c:pt idx="0">
                  <c:v>PIZB0001</c:v>
                </c:pt>
                <c:pt idx="1">
                  <c:v>PIZB0002</c:v>
                </c:pt>
                <c:pt idx="2">
                  <c:v>PIZB0003</c:v>
                </c:pt>
                <c:pt idx="3">
                  <c:v>PIZB0004</c:v>
                </c:pt>
                <c:pt idx="4">
                  <c:v>PIZB0005</c:v>
                </c:pt>
                <c:pt idx="5">
                  <c:v>PIZB0006</c:v>
                </c:pt>
              </c:strCache>
            </c:strRef>
          </c:cat>
          <c:val>
            <c:numRef>
              <c:f>'Finance Sol'!$Q$124:$Q$130</c:f>
              <c:numCache>
                <c:formatCode>General</c:formatCode>
                <c:ptCount val="6"/>
                <c:pt idx="0">
                  <c:v>551.73988439306356</c:v>
                </c:pt>
                <c:pt idx="1">
                  <c:v>557.49132947976875</c:v>
                </c:pt>
                <c:pt idx="2">
                  <c:v>554.54335260115602</c:v>
                </c:pt>
                <c:pt idx="3">
                  <c:v>544.6104651162791</c:v>
                </c:pt>
                <c:pt idx="4">
                  <c:v>584.44927536231887</c:v>
                </c:pt>
                <c:pt idx="5">
                  <c:v>503.97058823529414</c:v>
                </c:pt>
              </c:numCache>
            </c:numRef>
          </c:val>
          <c:extLst>
            <c:ext xmlns:c16="http://schemas.microsoft.com/office/drawing/2014/chart" uri="{C3380CC4-5D6E-409C-BE32-E72D297353CC}">
              <c16:uniqueId val="{00000000-4F57-4615-9F40-EF49D6BC0C33}"/>
            </c:ext>
          </c:extLst>
        </c:ser>
        <c:dLbls>
          <c:showLegendKey val="0"/>
          <c:showVal val="0"/>
          <c:showCatName val="0"/>
          <c:showSerName val="0"/>
          <c:showPercent val="0"/>
          <c:showBubbleSize val="0"/>
        </c:dLbls>
        <c:gapWidth val="150"/>
        <c:shape val="box"/>
        <c:axId val="1889406896"/>
        <c:axId val="1889410256"/>
        <c:axId val="0"/>
      </c:bar3DChart>
      <c:catAx>
        <c:axId val="1889406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410256"/>
        <c:crosses val="autoZero"/>
        <c:auto val="1"/>
        <c:lblAlgn val="ctr"/>
        <c:lblOffset val="100"/>
        <c:noMultiLvlLbl val="0"/>
      </c:catAx>
      <c:valAx>
        <c:axId val="188941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40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solutionFile.xlsx]order sol!PivotTable33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'order sol'!$L$7</c:f>
              <c:strCache>
                <c:ptCount val="1"/>
                <c:pt idx="0">
                  <c:v>Total</c:v>
                </c:pt>
              </c:strCache>
            </c:strRef>
          </c:tx>
          <c:spPr>
            <a:solidFill>
              <a:schemeClr val="accent1"/>
            </a:solidFill>
            <a:ln>
              <a:noFill/>
            </a:ln>
            <a:effectLst/>
            <a:sp3d/>
          </c:spPr>
          <c:invertIfNegative val="0"/>
          <c:cat>
            <c:strRef>
              <c:f>'order sol'!$K$8:$K$14</c:f>
              <c:strCache>
                <c:ptCount val="6"/>
                <c:pt idx="0">
                  <c:v>PIZB0001</c:v>
                </c:pt>
                <c:pt idx="1">
                  <c:v>PIZB0002</c:v>
                </c:pt>
                <c:pt idx="2">
                  <c:v>PIZB0003</c:v>
                </c:pt>
                <c:pt idx="3">
                  <c:v>PIZB0004</c:v>
                </c:pt>
                <c:pt idx="4">
                  <c:v>PIZB0005</c:v>
                </c:pt>
                <c:pt idx="5">
                  <c:v>PIZB0006</c:v>
                </c:pt>
              </c:strCache>
            </c:strRef>
          </c:cat>
          <c:val>
            <c:numRef>
              <c:f>'order sol'!$L$8:$L$14</c:f>
              <c:numCache>
                <c:formatCode>General</c:formatCode>
                <c:ptCount val="6"/>
                <c:pt idx="0">
                  <c:v>173</c:v>
                </c:pt>
                <c:pt idx="1">
                  <c:v>173</c:v>
                </c:pt>
                <c:pt idx="2">
                  <c:v>172</c:v>
                </c:pt>
                <c:pt idx="3">
                  <c:v>171</c:v>
                </c:pt>
                <c:pt idx="4">
                  <c:v>70</c:v>
                </c:pt>
                <c:pt idx="5">
                  <c:v>35</c:v>
                </c:pt>
              </c:numCache>
            </c:numRef>
          </c:val>
          <c:extLst>
            <c:ext xmlns:c16="http://schemas.microsoft.com/office/drawing/2014/chart" uri="{C3380CC4-5D6E-409C-BE32-E72D297353CC}">
              <c16:uniqueId val="{00000000-783F-4DB6-B699-1579D7C1D7A6}"/>
            </c:ext>
          </c:extLst>
        </c:ser>
        <c:dLbls>
          <c:showLegendKey val="0"/>
          <c:showVal val="0"/>
          <c:showCatName val="0"/>
          <c:showSerName val="0"/>
          <c:showPercent val="0"/>
          <c:showBubbleSize val="0"/>
        </c:dLbls>
        <c:gapWidth val="150"/>
        <c:shape val="box"/>
        <c:axId val="189959136"/>
        <c:axId val="189960096"/>
        <c:axId val="0"/>
      </c:bar3DChart>
      <c:catAx>
        <c:axId val="189959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60096"/>
        <c:crosses val="autoZero"/>
        <c:auto val="1"/>
        <c:lblAlgn val="ctr"/>
        <c:lblOffset val="100"/>
        <c:noMultiLvlLbl val="0"/>
      </c:catAx>
      <c:valAx>
        <c:axId val="18996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solutionFile.xlsx]order sol!PivotTable34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sol'!$B$15</c:f>
              <c:strCache>
                <c:ptCount val="1"/>
                <c:pt idx="0">
                  <c:v>Total</c:v>
                </c:pt>
              </c:strCache>
            </c:strRef>
          </c:tx>
          <c:spPr>
            <a:ln w="28575" cap="rnd">
              <a:solidFill>
                <a:schemeClr val="accent1"/>
              </a:solidFill>
              <a:round/>
            </a:ln>
            <a:effectLst/>
          </c:spPr>
          <c:marker>
            <c:symbol val="none"/>
          </c:marker>
          <c:cat>
            <c:strRef>
              <c:f>'order sol'!$A$16:$A$100</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'order sol'!$B$16:$B$100</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smooth val="0"/>
          <c:extLst>
            <c:ext xmlns:c16="http://schemas.microsoft.com/office/drawing/2014/chart" uri="{C3380CC4-5D6E-409C-BE32-E72D297353CC}">
              <c16:uniqueId val="{00000000-DB36-4B37-B098-D9E53DD1676B}"/>
            </c:ext>
          </c:extLst>
        </c:ser>
        <c:dLbls>
          <c:showLegendKey val="0"/>
          <c:showVal val="0"/>
          <c:showCatName val="0"/>
          <c:showSerName val="0"/>
          <c:showPercent val="0"/>
          <c:showBubbleSize val="0"/>
        </c:dLbls>
        <c:smooth val="0"/>
        <c:axId val="189964896"/>
        <c:axId val="189965376"/>
      </c:lineChart>
      <c:catAx>
        <c:axId val="18996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65376"/>
        <c:crosses val="autoZero"/>
        <c:auto val="1"/>
        <c:lblAlgn val="ctr"/>
        <c:lblOffset val="100"/>
        <c:noMultiLvlLbl val="0"/>
      </c:catAx>
      <c:valAx>
        <c:axId val="18996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6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solutionFile.xlsx]order sol!PivotTable35</c:name>
    <c:fmtId val="23"/>
  </c:pivotSource>
  <c:chart>
    <c:title>
      <c:layout>
        <c:manualLayout>
          <c:xMode val="edge"/>
          <c:yMode val="edge"/>
          <c:x val="0.47694723526602362"/>
          <c:y val="0.112531914437125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sol'!$P$29</c:f>
              <c:strCache>
                <c:ptCount val="1"/>
                <c:pt idx="0">
                  <c:v>Total</c:v>
                </c:pt>
              </c:strCache>
            </c:strRef>
          </c:tx>
          <c:spPr>
            <a:ln w="28575" cap="rnd">
              <a:solidFill>
                <a:schemeClr val="accent1"/>
              </a:solidFill>
              <a:round/>
            </a:ln>
            <a:effectLst/>
          </c:spPr>
          <c:marker>
            <c:symbol val="none"/>
          </c:marker>
          <c:cat>
            <c:strRef>
              <c:f>'order sol'!$O$30:$O$114</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'order sol'!$P$30:$P$114</c:f>
              <c:numCache>
                <c:formatCode>General</c:formatCode>
                <c:ptCount val="84"/>
                <c:pt idx="0">
                  <c:v>1803</c:v>
                </c:pt>
                <c:pt idx="1">
                  <c:v>1373</c:v>
                </c:pt>
                <c:pt idx="2">
                  <c:v>2306</c:v>
                </c:pt>
                <c:pt idx="3">
                  <c:v>719</c:v>
                </c:pt>
                <c:pt idx="4">
                  <c:v>1844</c:v>
                </c:pt>
                <c:pt idx="5">
                  <c:v>649</c:v>
                </c:pt>
                <c:pt idx="6">
                  <c:v>1444</c:v>
                </c:pt>
                <c:pt idx="7">
                  <c:v>742</c:v>
                </c:pt>
                <c:pt idx="8">
                  <c:v>733</c:v>
                </c:pt>
                <c:pt idx="9">
                  <c:v>4327</c:v>
                </c:pt>
                <c:pt idx="10">
                  <c:v>3712</c:v>
                </c:pt>
                <c:pt idx="11">
                  <c:v>1664</c:v>
                </c:pt>
                <c:pt idx="12">
                  <c:v>3356</c:v>
                </c:pt>
                <c:pt idx="13">
                  <c:v>2169</c:v>
                </c:pt>
                <c:pt idx="14">
                  <c:v>1189</c:v>
                </c:pt>
                <c:pt idx="15">
                  <c:v>3266</c:v>
                </c:pt>
                <c:pt idx="16">
                  <c:v>1281</c:v>
                </c:pt>
                <c:pt idx="17">
                  <c:v>1032</c:v>
                </c:pt>
                <c:pt idx="18">
                  <c:v>1841</c:v>
                </c:pt>
                <c:pt idx="19">
                  <c:v>512</c:v>
                </c:pt>
                <c:pt idx="20">
                  <c:v>1938</c:v>
                </c:pt>
                <c:pt idx="21">
                  <c:v>1224</c:v>
                </c:pt>
                <c:pt idx="22">
                  <c:v>1006</c:v>
                </c:pt>
                <c:pt idx="23">
                  <c:v>1164</c:v>
                </c:pt>
                <c:pt idx="24">
                  <c:v>1275</c:v>
                </c:pt>
                <c:pt idx="25">
                  <c:v>1421</c:v>
                </c:pt>
                <c:pt idx="26">
                  <c:v>1725</c:v>
                </c:pt>
                <c:pt idx="27">
                  <c:v>2436</c:v>
                </c:pt>
                <c:pt idx="28">
                  <c:v>969</c:v>
                </c:pt>
                <c:pt idx="29">
                  <c:v>3650</c:v>
                </c:pt>
                <c:pt idx="30">
                  <c:v>1278</c:v>
                </c:pt>
                <c:pt idx="31">
                  <c:v>1376</c:v>
                </c:pt>
                <c:pt idx="32">
                  <c:v>1112</c:v>
                </c:pt>
                <c:pt idx="33">
                  <c:v>2268</c:v>
                </c:pt>
                <c:pt idx="34">
                  <c:v>1803</c:v>
                </c:pt>
                <c:pt idx="35">
                  <c:v>1171</c:v>
                </c:pt>
                <c:pt idx="36">
                  <c:v>1505</c:v>
                </c:pt>
                <c:pt idx="37">
                  <c:v>2087</c:v>
                </c:pt>
                <c:pt idx="38">
                  <c:v>1741</c:v>
                </c:pt>
                <c:pt idx="39">
                  <c:v>957</c:v>
                </c:pt>
                <c:pt idx="40">
                  <c:v>531</c:v>
                </c:pt>
                <c:pt idx="41">
                  <c:v>202</c:v>
                </c:pt>
                <c:pt idx="42">
                  <c:v>1383</c:v>
                </c:pt>
                <c:pt idx="43">
                  <c:v>1009</c:v>
                </c:pt>
                <c:pt idx="44">
                  <c:v>281</c:v>
                </c:pt>
                <c:pt idx="45">
                  <c:v>649</c:v>
                </c:pt>
                <c:pt idx="46">
                  <c:v>310</c:v>
                </c:pt>
                <c:pt idx="47">
                  <c:v>977</c:v>
                </c:pt>
                <c:pt idx="48">
                  <c:v>380</c:v>
                </c:pt>
                <c:pt idx="49">
                  <c:v>517</c:v>
                </c:pt>
                <c:pt idx="50">
                  <c:v>575</c:v>
                </c:pt>
                <c:pt idx="51">
                  <c:v>642</c:v>
                </c:pt>
                <c:pt idx="52">
                  <c:v>225</c:v>
                </c:pt>
                <c:pt idx="53">
                  <c:v>405</c:v>
                </c:pt>
                <c:pt idx="54">
                  <c:v>380</c:v>
                </c:pt>
                <c:pt idx="55">
                  <c:v>1219</c:v>
                </c:pt>
                <c:pt idx="56">
                  <c:v>510</c:v>
                </c:pt>
                <c:pt idx="57">
                  <c:v>445</c:v>
                </c:pt>
                <c:pt idx="58">
                  <c:v>672</c:v>
                </c:pt>
                <c:pt idx="59">
                  <c:v>630</c:v>
                </c:pt>
                <c:pt idx="60">
                  <c:v>649</c:v>
                </c:pt>
                <c:pt idx="61">
                  <c:v>462</c:v>
                </c:pt>
                <c:pt idx="62">
                  <c:v>422</c:v>
                </c:pt>
                <c:pt idx="63">
                  <c:v>482</c:v>
                </c:pt>
                <c:pt idx="64">
                  <c:v>839</c:v>
                </c:pt>
                <c:pt idx="65">
                  <c:v>575</c:v>
                </c:pt>
                <c:pt idx="66">
                  <c:v>1029</c:v>
                </c:pt>
                <c:pt idx="67">
                  <c:v>962</c:v>
                </c:pt>
                <c:pt idx="68">
                  <c:v>582</c:v>
                </c:pt>
                <c:pt idx="69">
                  <c:v>962</c:v>
                </c:pt>
                <c:pt idx="70">
                  <c:v>815</c:v>
                </c:pt>
                <c:pt idx="71">
                  <c:v>582</c:v>
                </c:pt>
                <c:pt idx="72">
                  <c:v>867</c:v>
                </c:pt>
                <c:pt idx="73">
                  <c:v>911</c:v>
                </c:pt>
                <c:pt idx="74">
                  <c:v>517</c:v>
                </c:pt>
                <c:pt idx="75">
                  <c:v>892</c:v>
                </c:pt>
                <c:pt idx="76">
                  <c:v>716</c:v>
                </c:pt>
                <c:pt idx="77">
                  <c:v>130</c:v>
                </c:pt>
                <c:pt idx="78">
                  <c:v>195</c:v>
                </c:pt>
                <c:pt idx="79">
                  <c:v>640</c:v>
                </c:pt>
                <c:pt idx="80">
                  <c:v>749</c:v>
                </c:pt>
                <c:pt idx="81">
                  <c:v>1149</c:v>
                </c:pt>
                <c:pt idx="82">
                  <c:v>857</c:v>
                </c:pt>
                <c:pt idx="83">
                  <c:v>524</c:v>
                </c:pt>
              </c:numCache>
            </c:numRef>
          </c:val>
          <c:smooth val="0"/>
          <c:extLst>
            <c:ext xmlns:c16="http://schemas.microsoft.com/office/drawing/2014/chart" uri="{C3380CC4-5D6E-409C-BE32-E72D297353CC}">
              <c16:uniqueId val="{00000000-C9C3-4523-9F93-1FA29AA86D2C}"/>
            </c:ext>
          </c:extLst>
        </c:ser>
        <c:dLbls>
          <c:showLegendKey val="0"/>
          <c:showVal val="0"/>
          <c:showCatName val="0"/>
          <c:showSerName val="0"/>
          <c:showPercent val="0"/>
          <c:showBubbleSize val="0"/>
        </c:dLbls>
        <c:smooth val="0"/>
        <c:axId val="189972576"/>
        <c:axId val="189973056"/>
      </c:lineChart>
      <c:catAx>
        <c:axId val="18997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73056"/>
        <c:crosses val="autoZero"/>
        <c:auto val="1"/>
        <c:lblAlgn val="ctr"/>
        <c:lblOffset val="100"/>
        <c:noMultiLvlLbl val="0"/>
      </c:catAx>
      <c:valAx>
        <c:axId val="18997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7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solutionFile.xlsx]order sol!PivotTable36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'order sol'!$C$111</c:f>
              <c:strCache>
                <c:ptCount val="1"/>
                <c:pt idx="0">
                  <c:v>Total</c:v>
                </c:pt>
              </c:strCache>
            </c:strRef>
          </c:tx>
          <c:spPr>
            <a:solidFill>
              <a:schemeClr val="accent1"/>
            </a:solidFill>
            <a:ln>
              <a:noFill/>
            </a:ln>
            <a:effectLst/>
            <a:sp3d/>
          </c:spPr>
          <c:invertIfNegative val="0"/>
          <c:cat>
            <c:strRef>
              <c:f>'order sol'!$B$112:$B$118</c:f>
              <c:strCache>
                <c:ptCount val="6"/>
                <c:pt idx="0">
                  <c:v>PIZB0001</c:v>
                </c:pt>
                <c:pt idx="1">
                  <c:v>PIZB0002</c:v>
                </c:pt>
                <c:pt idx="2">
                  <c:v>PIZB0003</c:v>
                </c:pt>
                <c:pt idx="3">
                  <c:v>PIZB0004</c:v>
                </c:pt>
                <c:pt idx="4">
                  <c:v>PIZB0005</c:v>
                </c:pt>
                <c:pt idx="5">
                  <c:v>PIZB0006</c:v>
                </c:pt>
              </c:strCache>
            </c:strRef>
          </c:cat>
          <c:val>
            <c:numRef>
              <c:f>'order sol'!$C$112:$C$118</c:f>
              <c:numCache>
                <c:formatCode>General</c:formatCode>
                <c:ptCount val="6"/>
                <c:pt idx="0">
                  <c:v>12155</c:v>
                </c:pt>
                <c:pt idx="1">
                  <c:v>19200</c:v>
                </c:pt>
                <c:pt idx="2">
                  <c:v>37960</c:v>
                </c:pt>
                <c:pt idx="3">
                  <c:v>19462</c:v>
                </c:pt>
                <c:pt idx="4">
                  <c:v>4623</c:v>
                </c:pt>
                <c:pt idx="5">
                  <c:v>3118</c:v>
                </c:pt>
              </c:numCache>
            </c:numRef>
          </c:val>
          <c:extLst>
            <c:ext xmlns:c16="http://schemas.microsoft.com/office/drawing/2014/chart" uri="{C3380CC4-5D6E-409C-BE32-E72D297353CC}">
              <c16:uniqueId val="{00000000-76DB-4950-8CD1-ACC6E1486CDE}"/>
            </c:ext>
          </c:extLst>
        </c:ser>
        <c:dLbls>
          <c:showLegendKey val="0"/>
          <c:showVal val="0"/>
          <c:showCatName val="0"/>
          <c:showSerName val="0"/>
          <c:showPercent val="0"/>
          <c:showBubbleSize val="0"/>
        </c:dLbls>
        <c:gapWidth val="150"/>
        <c:shape val="box"/>
        <c:axId val="189974016"/>
        <c:axId val="189976896"/>
        <c:axId val="0"/>
      </c:bar3DChart>
      <c:catAx>
        <c:axId val="189974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76896"/>
        <c:crosses val="autoZero"/>
        <c:auto val="1"/>
        <c:lblAlgn val="ctr"/>
        <c:lblOffset val="100"/>
        <c:noMultiLvlLbl val="0"/>
      </c:catAx>
      <c:valAx>
        <c:axId val="18997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7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 solutionFile.xlsx]order sol!PivotTable37</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sol'!$R$126</c:f>
              <c:strCache>
                <c:ptCount val="1"/>
                <c:pt idx="0">
                  <c:v>Total</c:v>
                </c:pt>
              </c:strCache>
            </c:strRef>
          </c:tx>
          <c:spPr>
            <a:solidFill>
              <a:schemeClr val="accent1"/>
            </a:solidFill>
            <a:ln>
              <a:noFill/>
            </a:ln>
            <a:effectLst/>
          </c:spPr>
          <c:invertIfNegative val="0"/>
          <c:cat>
            <c:strRef>
              <c:f>'order sol'!$Q$127:$Q$133</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 sol'!$R$127:$R$133</c:f>
              <c:numCache>
                <c:formatCode>General</c:formatCode>
                <c:ptCount val="6"/>
                <c:pt idx="0">
                  <c:v>35</c:v>
                </c:pt>
                <c:pt idx="1">
                  <c:v>173</c:v>
                </c:pt>
                <c:pt idx="2">
                  <c:v>173</c:v>
                </c:pt>
                <c:pt idx="3">
                  <c:v>169</c:v>
                </c:pt>
                <c:pt idx="4">
                  <c:v>70</c:v>
                </c:pt>
                <c:pt idx="5">
                  <c:v>174</c:v>
                </c:pt>
              </c:numCache>
            </c:numRef>
          </c:val>
          <c:extLst>
            <c:ext xmlns:c16="http://schemas.microsoft.com/office/drawing/2014/chart" uri="{C3380CC4-5D6E-409C-BE32-E72D297353CC}">
              <c16:uniqueId val="{00000000-3E3D-489D-9D5C-CDC5F1A004AC}"/>
            </c:ext>
          </c:extLst>
        </c:ser>
        <c:dLbls>
          <c:showLegendKey val="0"/>
          <c:showVal val="0"/>
          <c:showCatName val="0"/>
          <c:showSerName val="0"/>
          <c:showPercent val="0"/>
          <c:showBubbleSize val="0"/>
        </c:dLbls>
        <c:gapWidth val="219"/>
        <c:overlap val="-27"/>
        <c:axId val="189920736"/>
        <c:axId val="189922656"/>
      </c:barChart>
      <c:catAx>
        <c:axId val="18992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22656"/>
        <c:crosses val="autoZero"/>
        <c:auto val="1"/>
        <c:lblAlgn val="ctr"/>
        <c:lblOffset val="100"/>
        <c:noMultiLvlLbl val="0"/>
      </c:catAx>
      <c:valAx>
        <c:axId val="18992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2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5" Type="http://schemas.openxmlformats.org/officeDocument/2006/relationships/chart" Target="../charts/chart30.xml"/><Relationship Id="rId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oneCellAnchor>
    <xdr:from>
      <xdr:col>1</xdr:col>
      <xdr:colOff>276225</xdr:colOff>
      <xdr:row>4</xdr:row>
      <xdr:rowOff>114300</xdr:rowOff>
    </xdr:from>
    <xdr:ext cx="3238500" cy="253365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276225</xdr:colOff>
      <xdr:row>19</xdr:row>
      <xdr:rowOff>38100</xdr:rowOff>
    </xdr:from>
    <xdr:ext cx="3248025" cy="25908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47625</xdr:colOff>
      <xdr:row>19</xdr:row>
      <xdr:rowOff>57150</xdr:rowOff>
    </xdr:from>
    <xdr:ext cx="2657475" cy="257175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38100</xdr:colOff>
      <xdr:row>4</xdr:row>
      <xdr:rowOff>114300</xdr:rowOff>
    </xdr:from>
    <xdr:ext cx="2667000" cy="2543175"/>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11</xdr:col>
      <xdr:colOff>476250</xdr:colOff>
      <xdr:row>4</xdr:row>
      <xdr:rowOff>114300</xdr:rowOff>
    </xdr:from>
    <xdr:ext cx="6696075" cy="2533650"/>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11</xdr:col>
      <xdr:colOff>495300</xdr:colOff>
      <xdr:row>19</xdr:row>
      <xdr:rowOff>38100</xdr:rowOff>
    </xdr:from>
    <xdr:ext cx="6686550" cy="2600325"/>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7</xdr:col>
      <xdr:colOff>523875</xdr:colOff>
      <xdr:row>1</xdr:row>
      <xdr:rowOff>123825</xdr:rowOff>
    </xdr:from>
    <xdr:ext cx="7181850" cy="361950"/>
    <xdr:sp macro="" textlink="">
      <xdr:nvSpPr>
        <xdr:cNvPr id="8" name="Shape 3">
          <a:extLst>
            <a:ext uri="{FF2B5EF4-FFF2-40B4-BE49-F238E27FC236}">
              <a16:creationId xmlns:a16="http://schemas.microsoft.com/office/drawing/2014/main" id="{00000000-0008-0000-0200-000008000000}"/>
            </a:ext>
          </a:extLst>
        </xdr:cNvPr>
        <xdr:cNvSpPr txBox="1"/>
      </xdr:nvSpPr>
      <xdr:spPr>
        <a:xfrm>
          <a:off x="1759838" y="3603788"/>
          <a:ext cx="7172325" cy="352425"/>
        </a:xfrm>
        <a:prstGeom prst="rect">
          <a:avLst/>
        </a:prstGeom>
        <a:gradFill>
          <a:gsLst>
            <a:gs pos="0">
              <a:srgbClr val="B4D4A5"/>
            </a:gs>
            <a:gs pos="50000">
              <a:srgbClr val="A8CD97"/>
            </a:gs>
            <a:gs pos="100000">
              <a:srgbClr val="9BC985"/>
            </a:gs>
          </a:gsLst>
          <a:lin ang="5400000" scaled="0"/>
        </a:gradFill>
        <a:ln w="9525"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800">
              <a:solidFill>
                <a:schemeClr val="dk2"/>
              </a:solidFill>
              <a:latin typeface="Calibri"/>
              <a:ea typeface="Calibri"/>
              <a:cs typeface="Calibri"/>
              <a:sym typeface="Calibri"/>
            </a:rPr>
            <a:t>Customer Data Dashboard</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xdr:from>
      <xdr:col>16</xdr:col>
      <xdr:colOff>91440</xdr:colOff>
      <xdr:row>2</xdr:row>
      <xdr:rowOff>102870</xdr:rowOff>
    </xdr:from>
    <xdr:to>
      <xdr:col>21</xdr:col>
      <xdr:colOff>571500</xdr:colOff>
      <xdr:row>18</xdr:row>
      <xdr:rowOff>41910</xdr:rowOff>
    </xdr:to>
    <xdr:graphicFrame macro="">
      <xdr:nvGraphicFramePr>
        <xdr:cNvPr id="3" name="Chart 2">
          <a:extLst>
            <a:ext uri="{FF2B5EF4-FFF2-40B4-BE49-F238E27FC236}">
              <a16:creationId xmlns:a16="http://schemas.microsoft.com/office/drawing/2014/main" id="{AEC061BA-F03C-49FD-9A5F-2C825C2B1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91440</xdr:colOff>
      <xdr:row>20</xdr:row>
      <xdr:rowOff>171450</xdr:rowOff>
    </xdr:from>
    <xdr:to>
      <xdr:col>10</xdr:col>
      <xdr:colOff>358140</xdr:colOff>
      <xdr:row>36</xdr:row>
      <xdr:rowOff>110490</xdr:rowOff>
    </xdr:to>
    <xdr:graphicFrame macro="">
      <xdr:nvGraphicFramePr>
        <xdr:cNvPr id="4" name="Chart 3">
          <a:extLst>
            <a:ext uri="{FF2B5EF4-FFF2-40B4-BE49-F238E27FC236}">
              <a16:creationId xmlns:a16="http://schemas.microsoft.com/office/drawing/2014/main" id="{2D64A2C5-FD69-465C-8155-D6D06DE96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21771</xdr:colOff>
      <xdr:row>11</xdr:row>
      <xdr:rowOff>0</xdr:rowOff>
    </xdr:from>
    <xdr:to>
      <xdr:col>9</xdr:col>
      <xdr:colOff>424542</xdr:colOff>
      <xdr:row>25</xdr:row>
      <xdr:rowOff>5444</xdr:rowOff>
    </xdr:to>
    <xdr:graphicFrame macro="">
      <xdr:nvGraphicFramePr>
        <xdr:cNvPr id="2" name="Chart 1">
          <a:extLst>
            <a:ext uri="{FF2B5EF4-FFF2-40B4-BE49-F238E27FC236}">
              <a16:creationId xmlns:a16="http://schemas.microsoft.com/office/drawing/2014/main" id="{D9B179EE-E019-4379-8659-CF95B14E6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69668</xdr:colOff>
      <xdr:row>11</xdr:row>
      <xdr:rowOff>15785</xdr:rowOff>
    </xdr:from>
    <xdr:to>
      <xdr:col>18</xdr:col>
      <xdr:colOff>97971</xdr:colOff>
      <xdr:row>25</xdr:row>
      <xdr:rowOff>87086</xdr:rowOff>
    </xdr:to>
    <xdr:graphicFrame macro="">
      <xdr:nvGraphicFramePr>
        <xdr:cNvPr id="3" name="Chart 2">
          <a:extLst>
            <a:ext uri="{FF2B5EF4-FFF2-40B4-BE49-F238E27FC236}">
              <a16:creationId xmlns:a16="http://schemas.microsoft.com/office/drawing/2014/main" id="{B180F1B8-D799-4B04-9EF9-9B2742036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450667</xdr:colOff>
      <xdr:row>11</xdr:row>
      <xdr:rowOff>0</xdr:rowOff>
    </xdr:from>
    <xdr:to>
      <xdr:col>30</xdr:col>
      <xdr:colOff>337456</xdr:colOff>
      <xdr:row>25</xdr:row>
      <xdr:rowOff>87086</xdr:rowOff>
    </xdr:to>
    <xdr:graphicFrame macro="">
      <xdr:nvGraphicFramePr>
        <xdr:cNvPr id="4" name="Chart 3">
          <a:extLst>
            <a:ext uri="{FF2B5EF4-FFF2-40B4-BE49-F238E27FC236}">
              <a16:creationId xmlns:a16="http://schemas.microsoft.com/office/drawing/2014/main" id="{2B7158F1-5946-4772-8B55-51C4ED2A5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427808</xdr:colOff>
      <xdr:row>26</xdr:row>
      <xdr:rowOff>76746</xdr:rowOff>
    </xdr:from>
    <xdr:to>
      <xdr:col>9</xdr:col>
      <xdr:colOff>283029</xdr:colOff>
      <xdr:row>42</xdr:row>
      <xdr:rowOff>156755</xdr:rowOff>
    </xdr:to>
    <xdr:graphicFrame macro="">
      <xdr:nvGraphicFramePr>
        <xdr:cNvPr id="5" name="Chart 4">
          <a:extLst>
            <a:ext uri="{FF2B5EF4-FFF2-40B4-BE49-F238E27FC236}">
              <a16:creationId xmlns:a16="http://schemas.microsoft.com/office/drawing/2014/main" id="{B1645139-24D9-4EE1-BA09-40E196FA1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523602</xdr:colOff>
      <xdr:row>26</xdr:row>
      <xdr:rowOff>106136</xdr:rowOff>
    </xdr:from>
    <xdr:to>
      <xdr:col>18</xdr:col>
      <xdr:colOff>152399</xdr:colOff>
      <xdr:row>42</xdr:row>
      <xdr:rowOff>45175</xdr:rowOff>
    </xdr:to>
    <xdr:graphicFrame macro="">
      <xdr:nvGraphicFramePr>
        <xdr:cNvPr id="6" name="Chart 5">
          <a:extLst>
            <a:ext uri="{FF2B5EF4-FFF2-40B4-BE49-F238E27FC236}">
              <a16:creationId xmlns:a16="http://schemas.microsoft.com/office/drawing/2014/main" id="{E6EA3D52-060B-4E30-BD6E-E104DCE04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391886</xdr:colOff>
      <xdr:row>26</xdr:row>
      <xdr:rowOff>94162</xdr:rowOff>
    </xdr:from>
    <xdr:to>
      <xdr:col>31</xdr:col>
      <xdr:colOff>185057</xdr:colOff>
      <xdr:row>42</xdr:row>
      <xdr:rowOff>33201</xdr:rowOff>
    </xdr:to>
    <xdr:graphicFrame macro="">
      <xdr:nvGraphicFramePr>
        <xdr:cNvPr id="7" name="Chart 6">
          <a:extLst>
            <a:ext uri="{FF2B5EF4-FFF2-40B4-BE49-F238E27FC236}">
              <a16:creationId xmlns:a16="http://schemas.microsoft.com/office/drawing/2014/main" id="{6C1ED5EF-3227-4E30-836C-A25AD4ED0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21</xdr:col>
      <xdr:colOff>167640</xdr:colOff>
      <xdr:row>4</xdr:row>
      <xdr:rowOff>80010</xdr:rowOff>
    </xdr:from>
    <xdr:to>
      <xdr:col>30</xdr:col>
      <xdr:colOff>160020</xdr:colOff>
      <xdr:row>20</xdr:row>
      <xdr:rowOff>19050</xdr:rowOff>
    </xdr:to>
    <xdr:graphicFrame macro="">
      <xdr:nvGraphicFramePr>
        <xdr:cNvPr id="4" name="Chart 3">
          <a:extLst>
            <a:ext uri="{FF2B5EF4-FFF2-40B4-BE49-F238E27FC236}">
              <a16:creationId xmlns:a16="http://schemas.microsoft.com/office/drawing/2014/main" id="{16B240B4-1EC3-42C6-A5D5-0A3E83786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xdr:colOff>
      <xdr:row>97</xdr:row>
      <xdr:rowOff>133350</xdr:rowOff>
    </xdr:from>
    <xdr:to>
      <xdr:col>10</xdr:col>
      <xdr:colOff>472440</xdr:colOff>
      <xdr:row>113</xdr:row>
      <xdr:rowOff>72390</xdr:rowOff>
    </xdr:to>
    <xdr:graphicFrame macro="">
      <xdr:nvGraphicFramePr>
        <xdr:cNvPr id="5" name="Chart 4">
          <a:extLst>
            <a:ext uri="{FF2B5EF4-FFF2-40B4-BE49-F238E27FC236}">
              <a16:creationId xmlns:a16="http://schemas.microsoft.com/office/drawing/2014/main" id="{F474B80E-4BAE-4EE3-9393-4E64D75A5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457200</xdr:colOff>
      <xdr:row>99</xdr:row>
      <xdr:rowOff>34290</xdr:rowOff>
    </xdr:from>
    <xdr:to>
      <xdr:col>24</xdr:col>
      <xdr:colOff>548640</xdr:colOff>
      <xdr:row>114</xdr:row>
      <xdr:rowOff>148590</xdr:rowOff>
    </xdr:to>
    <xdr:graphicFrame macro="">
      <xdr:nvGraphicFramePr>
        <xdr:cNvPr id="6" name="Chart 5">
          <a:extLst>
            <a:ext uri="{FF2B5EF4-FFF2-40B4-BE49-F238E27FC236}">
              <a16:creationId xmlns:a16="http://schemas.microsoft.com/office/drawing/2014/main" id="{0F8BA0F3-4971-445F-B7BE-5D79D2FA2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129540</xdr:colOff>
      <xdr:row>119</xdr:row>
      <xdr:rowOff>72390</xdr:rowOff>
    </xdr:from>
    <xdr:to>
      <xdr:col>7</xdr:col>
      <xdr:colOff>220980</xdr:colOff>
      <xdr:row>135</xdr:row>
      <xdr:rowOff>11430</xdr:rowOff>
    </xdr:to>
    <xdr:graphicFrame macro="">
      <xdr:nvGraphicFramePr>
        <xdr:cNvPr id="7" name="Chart 6">
          <a:extLst>
            <a:ext uri="{FF2B5EF4-FFF2-40B4-BE49-F238E27FC236}">
              <a16:creationId xmlns:a16="http://schemas.microsoft.com/office/drawing/2014/main" id="{5F9028B6-7EAC-486F-A8B5-6AFEFB633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144780</xdr:colOff>
      <xdr:row>121</xdr:row>
      <xdr:rowOff>34290</xdr:rowOff>
    </xdr:from>
    <xdr:to>
      <xdr:col>20</xdr:col>
      <xdr:colOff>91440</xdr:colOff>
      <xdr:row>136</xdr:row>
      <xdr:rowOff>148590</xdr:rowOff>
    </xdr:to>
    <xdr:graphicFrame macro="">
      <xdr:nvGraphicFramePr>
        <xdr:cNvPr id="8" name="Chart 7">
          <a:extLst>
            <a:ext uri="{FF2B5EF4-FFF2-40B4-BE49-F238E27FC236}">
              <a16:creationId xmlns:a16="http://schemas.microsoft.com/office/drawing/2014/main" id="{A23B8F9C-D057-424F-9CEA-EF1AF2BE8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8427</xdr:rowOff>
    </xdr:from>
    <xdr:to>
      <xdr:col>13</xdr:col>
      <xdr:colOff>0</xdr:colOff>
      <xdr:row>19</xdr:row>
      <xdr:rowOff>142874</xdr:rowOff>
    </xdr:to>
    <xdr:graphicFrame macro="">
      <xdr:nvGraphicFramePr>
        <xdr:cNvPr id="2" name="Chart 1">
          <a:extLst>
            <a:ext uri="{FF2B5EF4-FFF2-40B4-BE49-F238E27FC236}">
              <a16:creationId xmlns:a16="http://schemas.microsoft.com/office/drawing/2014/main" id="{AA5F6436-F4EE-45D6-8123-835528D5C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343066</xdr:colOff>
      <xdr:row>2</xdr:row>
      <xdr:rowOff>27675</xdr:rowOff>
    </xdr:from>
    <xdr:to>
      <xdr:col>24</xdr:col>
      <xdr:colOff>369094</xdr:colOff>
      <xdr:row>21</xdr:row>
      <xdr:rowOff>119062</xdr:rowOff>
    </xdr:to>
    <xdr:graphicFrame macro="">
      <xdr:nvGraphicFramePr>
        <xdr:cNvPr id="3" name="Chart 2">
          <a:extLst>
            <a:ext uri="{FF2B5EF4-FFF2-40B4-BE49-F238E27FC236}">
              <a16:creationId xmlns:a16="http://schemas.microsoft.com/office/drawing/2014/main" id="{C6D1CC6A-8628-454F-95FC-FA58F4365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88894</xdr:colOff>
      <xdr:row>2</xdr:row>
      <xdr:rowOff>61452</xdr:rowOff>
    </xdr:from>
    <xdr:to>
      <xdr:col>35</xdr:col>
      <xdr:colOff>98321</xdr:colOff>
      <xdr:row>21</xdr:row>
      <xdr:rowOff>49162</xdr:rowOff>
    </xdr:to>
    <xdr:graphicFrame macro="">
      <xdr:nvGraphicFramePr>
        <xdr:cNvPr id="4" name="Chart 3">
          <a:extLst>
            <a:ext uri="{FF2B5EF4-FFF2-40B4-BE49-F238E27FC236}">
              <a16:creationId xmlns:a16="http://schemas.microsoft.com/office/drawing/2014/main" id="{3DC100E4-905D-4972-B489-6B5953F5C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61067</xdr:rowOff>
    </xdr:from>
    <xdr:to>
      <xdr:col>8</xdr:col>
      <xdr:colOff>212560</xdr:colOff>
      <xdr:row>40</xdr:row>
      <xdr:rowOff>132504</xdr:rowOff>
    </xdr:to>
    <xdr:graphicFrame macro="">
      <xdr:nvGraphicFramePr>
        <xdr:cNvPr id="5" name="Chart 4">
          <a:extLst>
            <a:ext uri="{FF2B5EF4-FFF2-40B4-BE49-F238E27FC236}">
              <a16:creationId xmlns:a16="http://schemas.microsoft.com/office/drawing/2014/main" id="{CABB6BBE-C0E9-44EB-AEC4-97D4410AD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601073</xdr:colOff>
      <xdr:row>22</xdr:row>
      <xdr:rowOff>96019</xdr:rowOff>
    </xdr:from>
    <xdr:to>
      <xdr:col>19</xdr:col>
      <xdr:colOff>479323</xdr:colOff>
      <xdr:row>43</xdr:row>
      <xdr:rowOff>107925</xdr:rowOff>
    </xdr:to>
    <xdr:graphicFrame macro="">
      <xdr:nvGraphicFramePr>
        <xdr:cNvPr id="6" name="Chart 5">
          <a:extLst>
            <a:ext uri="{FF2B5EF4-FFF2-40B4-BE49-F238E27FC236}">
              <a16:creationId xmlns:a16="http://schemas.microsoft.com/office/drawing/2014/main" id="{E6DEB1E7-0D22-4D98-AE44-EDD2DBE7B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208936</xdr:colOff>
      <xdr:row>22</xdr:row>
      <xdr:rowOff>69242</xdr:rowOff>
    </xdr:from>
    <xdr:to>
      <xdr:col>34</xdr:col>
      <xdr:colOff>24580</xdr:colOff>
      <xdr:row>42</xdr:row>
      <xdr:rowOff>86033</xdr:rowOff>
    </xdr:to>
    <xdr:graphicFrame macro="">
      <xdr:nvGraphicFramePr>
        <xdr:cNvPr id="7" name="Chart 6">
          <a:extLst>
            <a:ext uri="{FF2B5EF4-FFF2-40B4-BE49-F238E27FC236}">
              <a16:creationId xmlns:a16="http://schemas.microsoft.com/office/drawing/2014/main" id="{1ECB806A-E78C-4420-BA2E-CDA413708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4152900" cy="3733800"/>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twoCellAnchor>
    <xdr:from>
      <xdr:col>0</xdr:col>
      <xdr:colOff>211930</xdr:colOff>
      <xdr:row>5</xdr:row>
      <xdr:rowOff>35718</xdr:rowOff>
    </xdr:from>
    <xdr:to>
      <xdr:col>8</xdr:col>
      <xdr:colOff>523875</xdr:colOff>
      <xdr:row>20</xdr:row>
      <xdr:rowOff>153352</xdr:rowOff>
    </xdr:to>
    <xdr:graphicFrame macro="">
      <xdr:nvGraphicFramePr>
        <xdr:cNvPr id="2" name="Chart 1">
          <a:extLst>
            <a:ext uri="{FF2B5EF4-FFF2-40B4-BE49-F238E27FC236}">
              <a16:creationId xmlns:a16="http://schemas.microsoft.com/office/drawing/2014/main" id="{F07984F9-5597-45B8-B614-3211AADDB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76677</xdr:colOff>
      <xdr:row>5</xdr:row>
      <xdr:rowOff>10954</xdr:rowOff>
    </xdr:from>
    <xdr:to>
      <xdr:col>19</xdr:col>
      <xdr:colOff>500063</xdr:colOff>
      <xdr:row>20</xdr:row>
      <xdr:rowOff>128588</xdr:rowOff>
    </xdr:to>
    <xdr:graphicFrame macro="">
      <xdr:nvGraphicFramePr>
        <xdr:cNvPr id="3" name="Chart 2">
          <a:extLst>
            <a:ext uri="{FF2B5EF4-FFF2-40B4-BE49-F238E27FC236}">
              <a16:creationId xmlns:a16="http://schemas.microsoft.com/office/drawing/2014/main" id="{518C86B6-F159-43ED-B427-5EC1DEDA8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134302</xdr:colOff>
      <xdr:row>4</xdr:row>
      <xdr:rowOff>25241</xdr:rowOff>
    </xdr:from>
    <xdr:to>
      <xdr:col>35</xdr:col>
      <xdr:colOff>226219</xdr:colOff>
      <xdr:row>21</xdr:row>
      <xdr:rowOff>35718</xdr:rowOff>
    </xdr:to>
    <xdr:graphicFrame macro="">
      <xdr:nvGraphicFramePr>
        <xdr:cNvPr id="6" name="Chart 5">
          <a:extLst>
            <a:ext uri="{FF2B5EF4-FFF2-40B4-BE49-F238E27FC236}">
              <a16:creationId xmlns:a16="http://schemas.microsoft.com/office/drawing/2014/main" id="{E1976684-06EA-4C0E-B9D0-E5DBE9F53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97632</xdr:colOff>
      <xdr:row>22</xdr:row>
      <xdr:rowOff>476</xdr:rowOff>
    </xdr:from>
    <xdr:to>
      <xdr:col>13</xdr:col>
      <xdr:colOff>369094</xdr:colOff>
      <xdr:row>43</xdr:row>
      <xdr:rowOff>130970</xdr:rowOff>
    </xdr:to>
    <xdr:graphicFrame macro="">
      <xdr:nvGraphicFramePr>
        <xdr:cNvPr id="7" name="Chart 6">
          <a:extLst>
            <a:ext uri="{FF2B5EF4-FFF2-40B4-BE49-F238E27FC236}">
              <a16:creationId xmlns:a16="http://schemas.microsoft.com/office/drawing/2014/main" id="{C92C4249-FE9E-4617-B899-B3FC509FE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47625</xdr:colOff>
      <xdr:row>21</xdr:row>
      <xdr:rowOff>162400</xdr:rowOff>
    </xdr:from>
    <xdr:to>
      <xdr:col>26</xdr:col>
      <xdr:colOff>273843</xdr:colOff>
      <xdr:row>44</xdr:row>
      <xdr:rowOff>71438</xdr:rowOff>
    </xdr:to>
    <xdr:graphicFrame macro="">
      <xdr:nvGraphicFramePr>
        <xdr:cNvPr id="8" name="Chart 7">
          <a:extLst>
            <a:ext uri="{FF2B5EF4-FFF2-40B4-BE49-F238E27FC236}">
              <a16:creationId xmlns:a16="http://schemas.microsoft.com/office/drawing/2014/main" id="{9A4619EF-01C4-477C-A047-4D278420B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26</xdr:col>
      <xdr:colOff>442911</xdr:colOff>
      <xdr:row>22</xdr:row>
      <xdr:rowOff>11907</xdr:rowOff>
    </xdr:from>
    <xdr:ext cx="1828800" cy="2466975"/>
    <mc:AlternateContent xmlns:mc="http://schemas.openxmlformats.org/markup-compatibility/2006">
      <mc:Choice xmlns:a14="http://schemas.microsoft.com/office/drawing/2010/main" Requires="a14">
        <xdr:graphicFrame macro="">
          <xdr:nvGraphicFramePr>
            <xdr:cNvPr id="10" name="Order Type">
              <a:extLst>
                <a:ext uri="{FF2B5EF4-FFF2-40B4-BE49-F238E27FC236}">
                  <a16:creationId xmlns:a16="http://schemas.microsoft.com/office/drawing/2014/main" id="{983A8EC2-18F6-45DF-9E1C-1A2001D78CDC}"/>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dr:sp macro="" textlink="">
          <xdr:nvSpPr>
            <xdr:cNvPr id="0" name=""/>
            <xdr:cNvSpPr>
              <a:spLocks noTextEdit="1"/>
            </xdr:cNvSpPr>
          </xdr:nvSpPr>
          <xdr:spPr>
            <a:xfrm>
              <a:off x="16197031" y="463899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Kumar" refreshedDate="46225.601473958333" createdVersion="8" refreshedVersion="8" minRefreshableVersion="3" recordCount="794" xr:uid="{637E878C-22B8-4098-BAD4-63CA3F8C2E0A}">
  <cacheSource type="worksheet">
    <worksheetSource name="Table_1"/>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acheField>
    <cacheField name="Customer Name" numFmtId="0">
      <sharedItems count="39">
        <s v="Sam"/>
        <s v="Simma Raj"/>
        <s v="Aditya Singh"/>
        <s v="Julian Richard Samson"/>
        <s v="Savitri Kala"/>
        <s v="Pratyush Trivedi"/>
        <s v="Adhya Garg"/>
        <s v="Pranav Bhatnagar"/>
        <s v="Apurva Suri"/>
        <s v="Lata Chokshi"/>
        <s v="Aalia Desai"/>
        <s v="Roshan Bath"/>
        <s v="Dinesh Sharma"/>
        <s v="Nitya Sandhu"/>
        <s v="Shanta Swamy"/>
        <s v="Viaan Kale"/>
        <s v="Disha Tank"/>
        <s v="Aaloak Naidu"/>
        <s v="Nirmal Bahl"/>
        <s v="Saral Narang"/>
        <s v="Priya Aurora"/>
        <s v="Sharma Kar"/>
        <s v="Lakshmi Boase"/>
        <s v="Jagan Choudhury"/>
        <s v="Anit Sachdev"/>
        <s v="Ritu Manne"/>
        <s v="Aditya Ganesh"/>
        <s v="Rajni Sood"/>
        <s v="Lavanya Agate"/>
        <s v="Dhruv Sengupta"/>
        <s v="Akshay Oak"/>
        <s v="Malini Murty"/>
        <s v="Akshay Bal"/>
        <s v="Kavika Lall"/>
        <s v="Avinash Kale"/>
        <s v="Valini Grover"/>
        <s v="Anjali Dora"/>
        <s v="Kalpana Bali"/>
        <s v="Kirtida Raval"/>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ount="10">
        <n v="9"/>
        <n v="7"/>
        <n v="8"/>
        <n v="6"/>
        <n v="2"/>
        <n v="4"/>
        <n v="1"/>
        <n v="3"/>
        <n v="10"/>
        <n v="5"/>
      </sharedItems>
    </cacheField>
    <cacheField name="Days (Contact Date)" numFmtId="0" databaseField="0">
      <fieldGroup base="4">
        <rangePr groupBy="days" startDate="2022-06-13T00:00:00" endDate="2022-09-07T00:00:00"/>
        <groupItems count="368">
          <s v="&lt;6/13/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7/2022"/>
        </groupItems>
      </fieldGroup>
    </cacheField>
    <cacheField name="Months (Contact Date)" numFmtId="0" databaseField="0">
      <fieldGroup base="4">
        <rangePr groupBy="months" startDate="2022-06-13T00:00:00" endDate="2022-09-07T00:00:00"/>
        <groupItems count="14">
          <s v="&lt;6/13/2022"/>
          <s v="Jan"/>
          <s v="Feb"/>
          <s v="Mar"/>
          <s v="Apr"/>
          <s v="May"/>
          <s v="Jun"/>
          <s v="Jul"/>
          <s v="Aug"/>
          <s v="Sep"/>
          <s v="Oct"/>
          <s v="Nov"/>
          <s v="Dec"/>
          <s v="&gt;9/7/2022"/>
        </groupItems>
      </fieldGroup>
    </cacheField>
  </cacheFields>
  <extLst>
    <ext xmlns:x14="http://schemas.microsoft.com/office/spreadsheetml/2009/9/main" uri="{725AE2AE-9491-48be-B2B4-4EB974FC3084}">
      <x14:pivotCacheDefinition pivotCacheId="4863450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Kumar" refreshedDate="46225.624924537035" createdVersion="8" refreshedVersion="8" minRefreshableVersion="3" recordCount="794" xr:uid="{46FA0F70-B879-4782-8220-D26979BF70EC}">
  <cacheSource type="worksheet">
    <worksheetSource name="Table_2"/>
  </cacheSource>
  <cacheFields count="9">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8"/>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base="3">
        <rangePr autoStart="0" autoEnd="0" startNum="300" endNum="1300" groupInterval="200"/>
        <groupItems count="7">
          <s v="&lt;300"/>
          <s v="300-499"/>
          <s v="500-699"/>
          <s v="700-899"/>
          <s v="900-1099"/>
          <s v="1100-1300"/>
          <s v="&gt;1300"/>
        </groupItems>
      </fieldGroup>
    </cacheField>
    <cacheField name="Discounted Value" numFmtId="0">
      <sharedItems containsSemiMixedTypes="0" containsString="0" containsNumber="1" minValue="0.4" maxValue="849.24"/>
    </cacheField>
    <cacheField name="Region" numFmtId="0">
      <sharedItems/>
    </cacheField>
    <cacheField name="Rounded Sales" numFmtId="0">
      <sharedItems containsSemiMixedTypes="0" containsString="0" containsNumber="1" containsInteger="1" minValue="195" maxValue="900"/>
    </cacheField>
    <cacheField name="Days (Sale Date)" numFmtId="0" databaseField="0">
      <fieldGroup base="2">
        <rangePr groupBy="days" startDate="2022-06-13T00:00:00" endDate="2022-09-07T00:00:00"/>
        <groupItems count="368">
          <s v="&lt;6/13/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7/2022"/>
        </groupItems>
      </fieldGroup>
    </cacheField>
    <cacheField name="Months (Sale Date)" numFmtId="0" databaseField="0">
      <fieldGroup base="2">
        <rangePr groupBy="months" startDate="2022-06-13T00:00:00" endDate="2022-09-07T00:00:00"/>
        <groupItems count="14">
          <s v="&lt;6/13/2022"/>
          <s v="Jan"/>
          <s v="Feb"/>
          <s v="Mar"/>
          <s v="Apr"/>
          <s v="May"/>
          <s v="Jun"/>
          <s v="Jul"/>
          <s v="Aug"/>
          <s v="Sep"/>
          <s v="Oct"/>
          <s v="Nov"/>
          <s v="Dec"/>
          <s v="&gt;9/7/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Kumar" refreshedDate="46225.635887962962" createdVersion="8" refreshedVersion="8" minRefreshableVersion="3" recordCount="794" xr:uid="{2695E52F-A804-485E-A12B-B4226C1E3499}">
  <cacheSource type="worksheet">
    <worksheetSource name="Table_3"/>
  </cacheSource>
  <cacheFields count="11">
    <cacheField name="Ord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0"/>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acheField>
    <cacheField name="Agent" numFmtId="0">
      <sharedItems/>
    </cacheField>
    <cacheField name="No of Products in one Sale" numFmtId="0">
      <sharedItems containsSemiMixedTypes="0" containsString="0" containsNumber="1" containsInteger="1" minValue="1" maxValue="15" count="15">
        <n v="8"/>
        <n v="7"/>
        <n v="3"/>
        <n v="5"/>
        <n v="4"/>
        <n v="6"/>
        <n v="9"/>
        <n v="12"/>
        <n v="13"/>
        <n v="2"/>
        <n v="14"/>
        <n v="1"/>
        <n v="11"/>
        <n v="15"/>
        <n v="10"/>
      </sharedItems>
    </cacheField>
    <cacheField name="Discount" numFmtId="9">
      <sharedItems containsSemiMixedTypes="0" containsString="0" containsNumber="1" minValue="4.5012478047171678E-3" maxValue="0.99968358923813705"/>
    </cacheField>
    <cacheField name="Days (Sale Date)" numFmtId="0" databaseField="0">
      <fieldGroup base="2">
        <rangePr groupBy="days" startDate="2022-06-13T00:00:00" endDate="2022-09-07T00:00:00"/>
        <groupItems count="368">
          <s v="&lt;6/13/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7/2022"/>
        </groupItems>
      </fieldGroup>
    </cacheField>
    <cacheField name="Months (Sale Date)" numFmtId="0" databaseField="0">
      <fieldGroup base="2">
        <rangePr groupBy="months" startDate="2022-06-13T00:00:00" endDate="2022-09-07T00:00:00"/>
        <groupItems count="14">
          <s v="&lt;6/13/2022"/>
          <s v="Jan"/>
          <s v="Feb"/>
          <s v="Mar"/>
          <s v="Apr"/>
          <s v="May"/>
          <s v="Jun"/>
          <s v="Jul"/>
          <s v="Aug"/>
          <s v="Sep"/>
          <s v="Oct"/>
          <s v="Nov"/>
          <s v="Dec"/>
          <s v="&gt;9/7/2022"/>
        </groupItems>
      </fieldGroup>
    </cacheField>
  </cacheFields>
  <extLst>
    <ext xmlns:x14="http://schemas.microsoft.com/office/spreadsheetml/2009/9/main" uri="{725AE2AE-9491-48be-B2B4-4EB974FC3084}">
      <x14:pivotCacheDefinition pivotCacheId="1564352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x v="0"/>
    <x v="0"/>
    <x v="0"/>
    <s v="Yes"/>
    <s v="PBCS0001"/>
    <x v="0"/>
    <x v="0"/>
  </r>
  <r>
    <n v="2"/>
    <s v="PBOR00002"/>
    <s v="PBOR00002"/>
    <x v="1"/>
    <x v="1"/>
    <x v="1"/>
    <s v="Yes"/>
    <s v="PBCS0002"/>
    <x v="1"/>
    <x v="1"/>
  </r>
  <r>
    <n v="3"/>
    <s v="PBOR00003"/>
    <s v="PBOR00003"/>
    <x v="2"/>
    <x v="2"/>
    <x v="2"/>
    <s v="No"/>
    <s v="PBCS0003"/>
    <x v="2"/>
    <x v="2"/>
  </r>
  <r>
    <n v="4"/>
    <s v="PBOR00004"/>
    <s v="PBOR00004"/>
    <x v="3"/>
    <x v="3"/>
    <x v="0"/>
    <s v="Yes"/>
    <s v="PBCS0004"/>
    <x v="0"/>
    <x v="3"/>
  </r>
  <r>
    <n v="5"/>
    <s v="PBOR00005"/>
    <s v="PBOR00005"/>
    <x v="4"/>
    <x v="4"/>
    <x v="1"/>
    <s v="Yes"/>
    <s v="PBCS0005"/>
    <x v="1"/>
    <x v="4"/>
  </r>
  <r>
    <n v="6"/>
    <s v="PBOR00006"/>
    <s v="PBOR00006"/>
    <x v="5"/>
    <x v="5"/>
    <x v="1"/>
    <s v="Yes"/>
    <s v="PBCS0006"/>
    <x v="2"/>
    <x v="5"/>
  </r>
  <r>
    <n v="7"/>
    <s v="PBOR00007"/>
    <s v="PBOR00007"/>
    <x v="6"/>
    <x v="1"/>
    <x v="0"/>
    <s v="Yes"/>
    <s v="PBCS0007"/>
    <x v="0"/>
    <x v="6"/>
  </r>
  <r>
    <n v="8"/>
    <s v="PBOR00009"/>
    <s v="PBOR00008"/>
    <x v="6"/>
    <x v="6"/>
    <x v="1"/>
    <s v="Yes"/>
    <s v="PBCS0008"/>
    <x v="1"/>
    <x v="0"/>
  </r>
  <r>
    <n v="9"/>
    <s v="PBOR00010"/>
    <s v="PBOR00009"/>
    <x v="7"/>
    <x v="7"/>
    <x v="1"/>
    <s v="No"/>
    <s v="PBCS0009"/>
    <x v="2"/>
    <x v="3"/>
  </r>
  <r>
    <n v="10"/>
    <s v="PBOR00011"/>
    <s v="PBOR00010"/>
    <x v="5"/>
    <x v="6"/>
    <x v="0"/>
    <s v="Yes"/>
    <s v="PBCS0010"/>
    <x v="0"/>
    <x v="0"/>
  </r>
  <r>
    <n v="11"/>
    <s v="PBOR00012"/>
    <s v="PBOR00011"/>
    <x v="8"/>
    <x v="2"/>
    <x v="1"/>
    <s v="Yes"/>
    <s v="PBCS0011"/>
    <x v="1"/>
    <x v="0"/>
  </r>
  <r>
    <n v="12"/>
    <s v="PBOR00013"/>
    <s v="PBOR00012"/>
    <x v="9"/>
    <x v="8"/>
    <x v="2"/>
    <s v="Yes"/>
    <s v="PBCS0012"/>
    <x v="2"/>
    <x v="7"/>
  </r>
  <r>
    <n v="13"/>
    <s v="PBOR00014"/>
    <s v="PBOR00013"/>
    <x v="10"/>
    <x v="9"/>
    <x v="0"/>
    <s v="Yes"/>
    <s v="PBCS0013"/>
    <x v="0"/>
    <x v="4"/>
  </r>
  <r>
    <n v="14"/>
    <s v="PBOR00015"/>
    <s v="PBOR00014"/>
    <x v="11"/>
    <x v="4"/>
    <x v="1"/>
    <s v="Yes"/>
    <s v="PBCS0014"/>
    <x v="1"/>
    <x v="7"/>
  </r>
  <r>
    <n v="15"/>
    <s v="PBOR00016"/>
    <s v="PBOR00015"/>
    <x v="5"/>
    <x v="10"/>
    <x v="2"/>
    <s v="No"/>
    <s v="PBCS0015"/>
    <x v="2"/>
    <x v="8"/>
  </r>
  <r>
    <n v="16"/>
    <s v="PBOR00017"/>
    <s v="PBOR00016"/>
    <x v="12"/>
    <x v="10"/>
    <x v="0"/>
    <s v="Yes"/>
    <s v="PBCS0016"/>
    <x v="0"/>
    <x v="7"/>
  </r>
  <r>
    <n v="17"/>
    <s v="PBOR00018"/>
    <s v="PBOR00017"/>
    <x v="9"/>
    <x v="6"/>
    <x v="1"/>
    <s v="Yes"/>
    <s v="PBCS0017"/>
    <x v="1"/>
    <x v="6"/>
  </r>
  <r>
    <n v="18"/>
    <s v="PBOR00019"/>
    <s v="PBOR00018"/>
    <x v="4"/>
    <x v="9"/>
    <x v="2"/>
    <s v="Yes"/>
    <s v="PBCS0018"/>
    <x v="2"/>
    <x v="9"/>
  </r>
  <r>
    <n v="19"/>
    <s v="PBOR00020"/>
    <s v="PBOR00019"/>
    <x v="13"/>
    <x v="10"/>
    <x v="0"/>
    <s v="Yes"/>
    <s v="PBCS0019"/>
    <x v="0"/>
    <x v="6"/>
  </r>
  <r>
    <n v="20"/>
    <s v="PBOR00021"/>
    <s v="PBOR00020"/>
    <x v="14"/>
    <x v="9"/>
    <x v="1"/>
    <s v="Yes"/>
    <s v="PBCS0020"/>
    <x v="1"/>
    <x v="9"/>
  </r>
  <r>
    <n v="21"/>
    <s v="PBOR00022"/>
    <s v="PBOR00021"/>
    <x v="15"/>
    <x v="10"/>
    <x v="1"/>
    <s v="No"/>
    <s v="PBCS0021"/>
    <x v="2"/>
    <x v="9"/>
  </r>
  <r>
    <n v="22"/>
    <s v="PBOR00023"/>
    <s v="PBOR00022"/>
    <x v="16"/>
    <x v="2"/>
    <x v="0"/>
    <s v="Yes"/>
    <s v="PBCS0022"/>
    <x v="0"/>
    <x v="7"/>
  </r>
  <r>
    <n v="23"/>
    <s v="PBOR00024"/>
    <s v="PBOR00023"/>
    <x v="17"/>
    <x v="11"/>
    <x v="1"/>
    <s v="Yes"/>
    <s v="PBCS0023"/>
    <x v="1"/>
    <x v="7"/>
  </r>
  <r>
    <n v="24"/>
    <s v="PBOR00025"/>
    <s v="PBOR00024"/>
    <x v="18"/>
    <x v="9"/>
    <x v="2"/>
    <s v="Yes"/>
    <s v="PBCS0024"/>
    <x v="2"/>
    <x v="1"/>
  </r>
  <r>
    <n v="25"/>
    <s v="PBOR00026"/>
    <s v="PBOR00025"/>
    <x v="19"/>
    <x v="12"/>
    <x v="0"/>
    <s v="Yes"/>
    <s v="PBCS0025"/>
    <x v="0"/>
    <x v="5"/>
  </r>
  <r>
    <n v="26"/>
    <s v="PBOR00027"/>
    <s v="PBOR00026"/>
    <x v="20"/>
    <x v="4"/>
    <x v="1"/>
    <s v="Yes"/>
    <s v="PBCS0026"/>
    <x v="1"/>
    <x v="7"/>
  </r>
  <r>
    <n v="27"/>
    <s v="PBOR00035"/>
    <s v="PBOR00027"/>
    <x v="21"/>
    <x v="10"/>
    <x v="2"/>
    <s v="No"/>
    <s v="PBCS0027"/>
    <x v="2"/>
    <x v="2"/>
  </r>
  <r>
    <n v="28"/>
    <s v="PBOR00029"/>
    <s v="PBOR00028"/>
    <x v="22"/>
    <x v="10"/>
    <x v="0"/>
    <s v="Yes"/>
    <s v="PBCS0028"/>
    <x v="0"/>
    <x v="4"/>
  </r>
  <r>
    <n v="29"/>
    <s v="PBOR00030"/>
    <s v="PBOR00029"/>
    <x v="23"/>
    <x v="2"/>
    <x v="1"/>
    <s v="Yes"/>
    <s v="PBCS0029"/>
    <x v="1"/>
    <x v="0"/>
  </r>
  <r>
    <n v="30"/>
    <s v="PBOR00031"/>
    <s v="PBOR00030"/>
    <x v="24"/>
    <x v="5"/>
    <x v="2"/>
    <s v="Yes"/>
    <s v="PBCS0030"/>
    <x v="2"/>
    <x v="3"/>
  </r>
  <r>
    <n v="31"/>
    <s v="PBOR00032"/>
    <s v="PBOR00031"/>
    <x v="25"/>
    <x v="11"/>
    <x v="0"/>
    <s v="Yes"/>
    <s v="PBCS0031"/>
    <x v="0"/>
    <x v="1"/>
  </r>
  <r>
    <n v="32"/>
    <s v="PBOR00033"/>
    <s v="PBOR00032"/>
    <x v="26"/>
    <x v="13"/>
    <x v="1"/>
    <s v="Yes"/>
    <s v="PBCS0032"/>
    <x v="1"/>
    <x v="0"/>
  </r>
  <r>
    <n v="33"/>
    <s v="PBOR00036"/>
    <s v="PBOR00033"/>
    <x v="11"/>
    <x v="14"/>
    <x v="1"/>
    <s v="No"/>
    <s v="PBCS0033"/>
    <x v="2"/>
    <x v="4"/>
  </r>
  <r>
    <n v="34"/>
    <s v="PBOR00037"/>
    <s v="PBOR00034"/>
    <x v="17"/>
    <x v="9"/>
    <x v="0"/>
    <s v="Yes"/>
    <s v="PBCS0034"/>
    <x v="0"/>
    <x v="0"/>
  </r>
  <r>
    <n v="35"/>
    <s v="PBOR00038"/>
    <s v="PBOR00035"/>
    <x v="22"/>
    <x v="7"/>
    <x v="1"/>
    <s v="Yes"/>
    <s v="PBCS0035"/>
    <x v="1"/>
    <x v="8"/>
  </r>
  <r>
    <n v="36"/>
    <s v="PBOR00040"/>
    <s v="PBOR00036"/>
    <x v="4"/>
    <x v="15"/>
    <x v="2"/>
    <s v="Yes"/>
    <s v="PBCS0036"/>
    <x v="2"/>
    <x v="6"/>
  </r>
  <r>
    <n v="37"/>
    <s v="PBOR00041"/>
    <s v="PBOR00037"/>
    <x v="12"/>
    <x v="15"/>
    <x v="0"/>
    <s v="Yes"/>
    <s v="PBCS0037"/>
    <x v="0"/>
    <x v="6"/>
  </r>
  <r>
    <n v="38"/>
    <s v="PBOR00042"/>
    <s v="PBOR00038"/>
    <x v="24"/>
    <x v="8"/>
    <x v="1"/>
    <s v="Yes"/>
    <s v="PBCS0038"/>
    <x v="1"/>
    <x v="8"/>
  </r>
  <r>
    <n v="39"/>
    <s v="PBOR00043"/>
    <s v="PBOR00039"/>
    <x v="25"/>
    <x v="4"/>
    <x v="1"/>
    <s v="No"/>
    <s v="PBCS0039"/>
    <x v="2"/>
    <x v="5"/>
  </r>
  <r>
    <n v="40"/>
    <s v="PBOR00044"/>
    <s v="PBOR00040"/>
    <x v="27"/>
    <x v="12"/>
    <x v="0"/>
    <s v="Yes"/>
    <s v="PBCS0040"/>
    <x v="0"/>
    <x v="1"/>
  </r>
  <r>
    <n v="41"/>
    <s v="PBOR00045"/>
    <s v="PBOR00041"/>
    <x v="8"/>
    <x v="5"/>
    <x v="1"/>
    <s v="Yes"/>
    <s v="PBCS0041"/>
    <x v="1"/>
    <x v="7"/>
  </r>
  <r>
    <n v="42"/>
    <s v="PBOR00046"/>
    <s v="PBOR00042"/>
    <x v="28"/>
    <x v="8"/>
    <x v="2"/>
    <s v="Yes"/>
    <s v="PBCS0042"/>
    <x v="2"/>
    <x v="3"/>
  </r>
  <r>
    <n v="43"/>
    <s v="PBOR00047"/>
    <s v="PBOR00043"/>
    <x v="29"/>
    <x v="15"/>
    <x v="0"/>
    <s v="Yes"/>
    <s v="PBCS0043"/>
    <x v="0"/>
    <x v="3"/>
  </r>
  <r>
    <n v="44"/>
    <s v="PBOR00048"/>
    <s v="PBOR00044"/>
    <x v="30"/>
    <x v="10"/>
    <x v="1"/>
    <s v="Yes"/>
    <s v="PBCS0044"/>
    <x v="1"/>
    <x v="9"/>
  </r>
  <r>
    <n v="45"/>
    <s v="PBOR00049"/>
    <s v="PBOR00045"/>
    <x v="31"/>
    <x v="9"/>
    <x v="2"/>
    <s v="No"/>
    <s v="PBCS0045"/>
    <x v="2"/>
    <x v="6"/>
  </r>
  <r>
    <n v="46"/>
    <s v="PBOR00050"/>
    <s v="PBOR00046"/>
    <x v="32"/>
    <x v="7"/>
    <x v="0"/>
    <s v="Yes"/>
    <s v="PBCS0046"/>
    <x v="0"/>
    <x v="0"/>
  </r>
  <r>
    <n v="47"/>
    <s v="PBOR00051"/>
    <s v="PBOR00047"/>
    <x v="33"/>
    <x v="14"/>
    <x v="1"/>
    <s v="Yes"/>
    <s v="PBCS0047"/>
    <x v="1"/>
    <x v="7"/>
  </r>
  <r>
    <n v="48"/>
    <s v="PBOR00052"/>
    <s v="PBOR00048"/>
    <x v="34"/>
    <x v="16"/>
    <x v="1"/>
    <s v="Yes"/>
    <s v="PBCS0048"/>
    <x v="2"/>
    <x v="5"/>
  </r>
  <r>
    <n v="49"/>
    <s v="PBOR00053"/>
    <s v="PBOR00049"/>
    <x v="35"/>
    <x v="17"/>
    <x v="0"/>
    <s v="Yes"/>
    <s v="PBCS0049"/>
    <x v="0"/>
    <x v="2"/>
  </r>
  <r>
    <n v="50"/>
    <s v="PBOR00054"/>
    <s v="PBOR00050"/>
    <x v="36"/>
    <x v="17"/>
    <x v="1"/>
    <s v="Yes"/>
    <s v="PBCS0050"/>
    <x v="0"/>
    <x v="3"/>
  </r>
  <r>
    <n v="51"/>
    <s v="PBOR00055"/>
    <s v="PBOR00051"/>
    <x v="0"/>
    <x v="5"/>
    <x v="0"/>
    <s v="Yes"/>
    <s v="PBCS0051"/>
    <x v="0"/>
    <x v="0"/>
  </r>
  <r>
    <n v="52"/>
    <s v="PBOR00056"/>
    <s v="PBOR00052"/>
    <x v="1"/>
    <x v="16"/>
    <x v="1"/>
    <s v="Yes"/>
    <s v="PBCS0052"/>
    <x v="1"/>
    <x v="1"/>
  </r>
  <r>
    <n v="53"/>
    <s v="PBOR00057"/>
    <s v="PBOR00053"/>
    <x v="2"/>
    <x v="1"/>
    <x v="2"/>
    <s v="No"/>
    <s v="PBCS0053"/>
    <x v="2"/>
    <x v="2"/>
  </r>
  <r>
    <n v="54"/>
    <s v="PBOR00058"/>
    <s v="PBOR00054"/>
    <x v="3"/>
    <x v="18"/>
    <x v="0"/>
    <s v="Yes"/>
    <s v="PBCS0054"/>
    <x v="0"/>
    <x v="3"/>
  </r>
  <r>
    <n v="55"/>
    <s v="PBOR00059"/>
    <s v="PBOR00055"/>
    <x v="4"/>
    <x v="3"/>
    <x v="1"/>
    <s v="Yes"/>
    <s v="PBCS0055"/>
    <x v="1"/>
    <x v="4"/>
  </r>
  <r>
    <n v="56"/>
    <s v="PBOR00060"/>
    <s v="PBOR00056"/>
    <x v="5"/>
    <x v="19"/>
    <x v="1"/>
    <s v="Yes"/>
    <s v="PBCS0056"/>
    <x v="2"/>
    <x v="5"/>
  </r>
  <r>
    <n v="57"/>
    <s v="PBOR00061"/>
    <s v="PBOR00057"/>
    <x v="6"/>
    <x v="20"/>
    <x v="0"/>
    <s v="Yes"/>
    <s v="PBCS0057"/>
    <x v="0"/>
    <x v="6"/>
  </r>
  <r>
    <n v="58"/>
    <s v="PBOR00062"/>
    <s v="PBOR00058"/>
    <x v="6"/>
    <x v="21"/>
    <x v="1"/>
    <s v="Yes"/>
    <s v="PBCS0058"/>
    <x v="1"/>
    <x v="0"/>
  </r>
  <r>
    <n v="59"/>
    <s v="PBOR00063"/>
    <s v="PBOR00059"/>
    <x v="7"/>
    <x v="22"/>
    <x v="0"/>
    <s v="No"/>
    <s v="PBCS0059"/>
    <x v="2"/>
    <x v="3"/>
  </r>
  <r>
    <n v="60"/>
    <s v="PBOR00064"/>
    <s v="PBOR00060"/>
    <x v="37"/>
    <x v="23"/>
    <x v="1"/>
    <s v="Yes"/>
    <s v="PBCS0060"/>
    <x v="0"/>
    <x v="0"/>
  </r>
  <r>
    <n v="61"/>
    <s v="PBOR00065"/>
    <s v="PBOR00061"/>
    <x v="8"/>
    <x v="24"/>
    <x v="1"/>
    <s v="Yes"/>
    <s v="PBCS0061"/>
    <x v="1"/>
    <x v="0"/>
  </r>
  <r>
    <n v="62"/>
    <s v="PBOR00066"/>
    <s v="PBOR00062"/>
    <x v="9"/>
    <x v="16"/>
    <x v="0"/>
    <s v="Yes"/>
    <s v="PBCS0062"/>
    <x v="2"/>
    <x v="7"/>
  </r>
  <r>
    <n v="63"/>
    <s v="PBOR00067"/>
    <s v="PBOR00063"/>
    <x v="10"/>
    <x v="25"/>
    <x v="1"/>
    <s v="Yes"/>
    <s v="PBCS0063"/>
    <x v="0"/>
    <x v="4"/>
  </r>
  <r>
    <n v="64"/>
    <s v="PBOR00068"/>
    <s v="PBOR00064"/>
    <x v="11"/>
    <x v="6"/>
    <x v="1"/>
    <s v="Yes"/>
    <s v="PBCS0064"/>
    <x v="1"/>
    <x v="7"/>
  </r>
  <r>
    <n v="65"/>
    <s v="PBOR00069"/>
    <s v="PBOR00065"/>
    <x v="36"/>
    <x v="2"/>
    <x v="0"/>
    <s v="No"/>
    <s v="PBCS0065"/>
    <x v="2"/>
    <x v="8"/>
  </r>
  <r>
    <n v="66"/>
    <s v="PBOR00070"/>
    <s v="PBOR00066"/>
    <x v="0"/>
    <x v="26"/>
    <x v="1"/>
    <s v="Yes"/>
    <s v="PBCS0066"/>
    <x v="0"/>
    <x v="7"/>
  </r>
  <r>
    <n v="67"/>
    <s v="PBOR00071"/>
    <s v="PBOR00067"/>
    <x v="1"/>
    <x v="4"/>
    <x v="0"/>
    <s v="Yes"/>
    <s v="PBCS0067"/>
    <x v="1"/>
    <x v="6"/>
  </r>
  <r>
    <n v="68"/>
    <s v="PBOR00072"/>
    <s v="PBOR00068"/>
    <x v="2"/>
    <x v="27"/>
    <x v="1"/>
    <s v="Yes"/>
    <s v="PBCS0068"/>
    <x v="2"/>
    <x v="9"/>
  </r>
  <r>
    <n v="69"/>
    <s v="PBOR00073"/>
    <s v="PBOR00069"/>
    <x v="3"/>
    <x v="15"/>
    <x v="0"/>
    <s v="Yes"/>
    <s v="PBCS0069"/>
    <x v="0"/>
    <x v="6"/>
  </r>
  <r>
    <n v="70"/>
    <s v="PBOR00074"/>
    <s v="PBOR00070"/>
    <x v="4"/>
    <x v="28"/>
    <x v="1"/>
    <s v="Yes"/>
    <s v="PBCS0070"/>
    <x v="1"/>
    <x v="9"/>
  </r>
  <r>
    <n v="71"/>
    <s v="PBOR00075"/>
    <s v="PBOR00071"/>
    <x v="5"/>
    <x v="8"/>
    <x v="2"/>
    <s v="No"/>
    <s v="PBCS0071"/>
    <x v="2"/>
    <x v="9"/>
  </r>
  <r>
    <n v="72"/>
    <s v="PBOR00076"/>
    <s v="PBOR00072"/>
    <x v="6"/>
    <x v="6"/>
    <x v="0"/>
    <s v="Yes"/>
    <s v="PBCS0072"/>
    <x v="0"/>
    <x v="7"/>
  </r>
  <r>
    <n v="73"/>
    <s v="PBOR00077"/>
    <s v="PBOR00073"/>
    <x v="6"/>
    <x v="27"/>
    <x v="1"/>
    <s v="Yes"/>
    <s v="PBCS0073"/>
    <x v="1"/>
    <x v="7"/>
  </r>
  <r>
    <n v="74"/>
    <s v="PBOR00078"/>
    <s v="PBOR00074"/>
    <x v="7"/>
    <x v="10"/>
    <x v="1"/>
    <s v="Yes"/>
    <s v="PBCS0074"/>
    <x v="2"/>
    <x v="1"/>
  </r>
  <r>
    <n v="75"/>
    <s v="PBOR00079"/>
    <s v="PBOR00075"/>
    <x v="5"/>
    <x v="29"/>
    <x v="0"/>
    <s v="Yes"/>
    <s v="PBCS0075"/>
    <x v="0"/>
    <x v="5"/>
  </r>
  <r>
    <n v="76"/>
    <s v="PBOR00080"/>
    <s v="PBOR00076"/>
    <x v="8"/>
    <x v="30"/>
    <x v="1"/>
    <s v="Yes"/>
    <s v="PBCS0076"/>
    <x v="1"/>
    <x v="7"/>
  </r>
  <r>
    <n v="77"/>
    <s v="PBOR00081"/>
    <s v="PBOR00077"/>
    <x v="9"/>
    <x v="31"/>
    <x v="0"/>
    <s v="No"/>
    <s v="PBCS0077"/>
    <x v="2"/>
    <x v="2"/>
  </r>
  <r>
    <n v="78"/>
    <s v="PBOR00082"/>
    <s v="PBOR00078"/>
    <x v="10"/>
    <x v="27"/>
    <x v="1"/>
    <s v="Yes"/>
    <s v="PBCS0078"/>
    <x v="0"/>
    <x v="4"/>
  </r>
  <r>
    <n v="79"/>
    <s v="PBOR00083"/>
    <s v="PBOR00079"/>
    <x v="11"/>
    <x v="29"/>
    <x v="1"/>
    <s v="Yes"/>
    <s v="PBCS0079"/>
    <x v="1"/>
    <x v="0"/>
  </r>
  <r>
    <n v="80"/>
    <s v="PBOR00084"/>
    <s v="PBOR00080"/>
    <x v="5"/>
    <x v="1"/>
    <x v="0"/>
    <s v="Yes"/>
    <s v="PBCS0080"/>
    <x v="2"/>
    <x v="3"/>
  </r>
  <r>
    <n v="81"/>
    <s v="PBOR00085"/>
    <s v="PBOR00081"/>
    <x v="12"/>
    <x v="11"/>
    <x v="1"/>
    <s v="Yes"/>
    <s v="PBCS0081"/>
    <x v="0"/>
    <x v="1"/>
  </r>
  <r>
    <n v="82"/>
    <s v="PBOR00086"/>
    <s v="PBOR00082"/>
    <x v="9"/>
    <x v="5"/>
    <x v="1"/>
    <s v="Yes"/>
    <s v="PBCS0082"/>
    <x v="1"/>
    <x v="0"/>
  </r>
  <r>
    <n v="83"/>
    <s v="PBOR00087"/>
    <s v="PBOR00083"/>
    <x v="4"/>
    <x v="2"/>
    <x v="0"/>
    <s v="No"/>
    <s v="PBCS0083"/>
    <x v="2"/>
    <x v="4"/>
  </r>
  <r>
    <n v="84"/>
    <s v="PBOR00088"/>
    <s v="PBOR00084"/>
    <x v="8"/>
    <x v="31"/>
    <x v="1"/>
    <s v="Yes"/>
    <s v="PBCS0084"/>
    <x v="0"/>
    <x v="0"/>
  </r>
  <r>
    <n v="85"/>
    <s v="PBOR00089"/>
    <s v="PBOR00085"/>
    <x v="14"/>
    <x v="3"/>
    <x v="0"/>
    <s v="Yes"/>
    <s v="PBCS0085"/>
    <x v="1"/>
    <x v="8"/>
  </r>
  <r>
    <n v="86"/>
    <s v="PBOR00090"/>
    <s v="PBOR00086"/>
    <x v="15"/>
    <x v="25"/>
    <x v="1"/>
    <s v="Yes"/>
    <s v="PBCS0086"/>
    <x v="2"/>
    <x v="6"/>
  </r>
  <r>
    <n v="87"/>
    <s v="PBOR00091"/>
    <s v="PBOR00087"/>
    <x v="16"/>
    <x v="7"/>
    <x v="0"/>
    <s v="Yes"/>
    <s v="PBCS0087"/>
    <x v="0"/>
    <x v="6"/>
  </r>
  <r>
    <n v="88"/>
    <s v="PBOR00092"/>
    <s v="PBOR00088"/>
    <x v="17"/>
    <x v="25"/>
    <x v="1"/>
    <s v="Yes"/>
    <s v="PBCS0088"/>
    <x v="1"/>
    <x v="8"/>
  </r>
  <r>
    <n v="89"/>
    <s v="PBOR00093"/>
    <s v="PBOR00089"/>
    <x v="18"/>
    <x v="32"/>
    <x v="2"/>
    <s v="No"/>
    <s v="PBCS0089"/>
    <x v="2"/>
    <x v="5"/>
  </r>
  <r>
    <n v="90"/>
    <s v="PBOR00094"/>
    <s v="PBOR00090"/>
    <x v="19"/>
    <x v="33"/>
    <x v="0"/>
    <s v="Yes"/>
    <s v="PBCS0090"/>
    <x v="0"/>
    <x v="1"/>
  </r>
  <r>
    <n v="91"/>
    <s v="PBOR00095"/>
    <s v="PBOR00091"/>
    <x v="20"/>
    <x v="33"/>
    <x v="1"/>
    <s v="Yes"/>
    <s v="PBCS0091"/>
    <x v="1"/>
    <x v="7"/>
  </r>
  <r>
    <n v="92"/>
    <s v="PBOR00096"/>
    <s v="PBOR00092"/>
    <x v="21"/>
    <x v="22"/>
    <x v="1"/>
    <s v="Yes"/>
    <s v="PBCS0092"/>
    <x v="2"/>
    <x v="3"/>
  </r>
  <r>
    <n v="93"/>
    <s v="PBOR00097"/>
    <s v="PBOR00093"/>
    <x v="22"/>
    <x v="34"/>
    <x v="0"/>
    <s v="Yes"/>
    <s v="PBCS0093"/>
    <x v="0"/>
    <x v="3"/>
  </r>
  <r>
    <n v="94"/>
    <s v="PBOR00098"/>
    <s v="PBOR00094"/>
    <x v="23"/>
    <x v="7"/>
    <x v="1"/>
    <s v="Yes"/>
    <s v="PBCS0094"/>
    <x v="1"/>
    <x v="9"/>
  </r>
  <r>
    <n v="95"/>
    <s v="PBOR00099"/>
    <s v="PBOR00095"/>
    <x v="24"/>
    <x v="3"/>
    <x v="0"/>
    <s v="No"/>
    <s v="PBCS0095"/>
    <x v="2"/>
    <x v="6"/>
  </r>
  <r>
    <n v="96"/>
    <s v="PBOR00100"/>
    <s v="PBOR00096"/>
    <x v="25"/>
    <x v="31"/>
    <x v="1"/>
    <s v="Yes"/>
    <s v="PBCS0096"/>
    <x v="0"/>
    <x v="0"/>
  </r>
  <r>
    <n v="97"/>
    <s v="PBOR00101"/>
    <s v="PBOR00097"/>
    <x v="26"/>
    <x v="4"/>
    <x v="1"/>
    <s v="Yes"/>
    <s v="PBCS0097"/>
    <x v="1"/>
    <x v="7"/>
  </r>
  <r>
    <n v="98"/>
    <s v="PBOR00102"/>
    <s v="PBOR00098"/>
    <x v="11"/>
    <x v="34"/>
    <x v="0"/>
    <s v="Yes"/>
    <s v="PBCS0098"/>
    <x v="2"/>
    <x v="5"/>
  </r>
  <r>
    <n v="99"/>
    <s v="PBOR00103"/>
    <s v="PBOR00099"/>
    <x v="17"/>
    <x v="13"/>
    <x v="1"/>
    <s v="Yes"/>
    <s v="PBCS0099"/>
    <x v="0"/>
    <x v="2"/>
  </r>
  <r>
    <n v="100"/>
    <s v="PBOR00104"/>
    <s v="PBOR00100"/>
    <x v="22"/>
    <x v="35"/>
    <x v="1"/>
    <s v="Yes"/>
    <s v="PBCS0100"/>
    <x v="0"/>
    <x v="3"/>
  </r>
  <r>
    <n v="101"/>
    <s v="PBOR00105"/>
    <s v="PBOR00101"/>
    <x v="4"/>
    <x v="2"/>
    <x v="0"/>
    <s v="Yes"/>
    <s v="PBCS0101"/>
    <x v="0"/>
    <x v="8"/>
  </r>
  <r>
    <n v="102"/>
    <s v="PBOR00106"/>
    <s v="PBOR00102"/>
    <x v="12"/>
    <x v="13"/>
    <x v="1"/>
    <s v="Yes"/>
    <s v="PBCS0102"/>
    <x v="1"/>
    <x v="0"/>
  </r>
  <r>
    <n v="103"/>
    <s v="PBOR00107"/>
    <s v="PBOR00103"/>
    <x v="24"/>
    <x v="18"/>
    <x v="0"/>
    <s v="Yes"/>
    <s v="PBCS0103"/>
    <x v="2"/>
    <x v="1"/>
  </r>
  <r>
    <n v="104"/>
    <s v="PBOR00108"/>
    <s v="PBOR00104"/>
    <x v="25"/>
    <x v="23"/>
    <x v="1"/>
    <s v="Yes"/>
    <s v="PBCS0104"/>
    <x v="0"/>
    <x v="1"/>
  </r>
  <r>
    <n v="105"/>
    <s v="PBOR00109"/>
    <s v="PBOR00105"/>
    <x v="27"/>
    <x v="36"/>
    <x v="0"/>
    <s v="Yes"/>
    <s v="PBCS0105"/>
    <x v="1"/>
    <x v="1"/>
  </r>
  <r>
    <n v="106"/>
    <s v="PBOR00110"/>
    <s v="PBOR00106"/>
    <x v="38"/>
    <x v="37"/>
    <x v="1"/>
    <s v="Yes"/>
    <s v="PBCS0106"/>
    <x v="2"/>
    <x v="1"/>
  </r>
  <r>
    <n v="107"/>
    <s v="PBOR00111"/>
    <s v="PBOR00107"/>
    <x v="28"/>
    <x v="4"/>
    <x v="2"/>
    <s v="Yes"/>
    <s v="PBCS0107"/>
    <x v="0"/>
    <x v="2"/>
  </r>
  <r>
    <n v="108"/>
    <s v="PBOR00112"/>
    <s v="PBOR00108"/>
    <x v="29"/>
    <x v="3"/>
    <x v="0"/>
    <s v="Yes"/>
    <s v="PBCS0108"/>
    <x v="1"/>
    <x v="8"/>
  </r>
  <r>
    <n v="109"/>
    <s v="PBOR00113"/>
    <s v="PBOR00109"/>
    <x v="30"/>
    <x v="35"/>
    <x v="1"/>
    <s v="Yes"/>
    <s v="PBCS0109"/>
    <x v="2"/>
    <x v="8"/>
  </r>
  <r>
    <n v="110"/>
    <s v="PBOR00114"/>
    <s v="PBOR00110"/>
    <x v="31"/>
    <x v="11"/>
    <x v="1"/>
    <s v="Yes"/>
    <s v="PBCS0110"/>
    <x v="0"/>
    <x v="8"/>
  </r>
  <r>
    <n v="111"/>
    <s v="PBOR00115"/>
    <s v="PBOR00111"/>
    <x v="32"/>
    <x v="10"/>
    <x v="0"/>
    <s v="Yes"/>
    <s v="PBCS0111"/>
    <x v="1"/>
    <x v="8"/>
  </r>
  <r>
    <n v="112"/>
    <s v="PBOR00116"/>
    <s v="PBOR00112"/>
    <x v="33"/>
    <x v="1"/>
    <x v="1"/>
    <s v="Yes"/>
    <s v="PBCS0112"/>
    <x v="2"/>
    <x v="2"/>
  </r>
  <r>
    <n v="113"/>
    <s v="PBOR00117"/>
    <s v="PBOR00113"/>
    <x v="16"/>
    <x v="17"/>
    <x v="0"/>
    <s v="Yes"/>
    <s v="PBCS0113"/>
    <x v="0"/>
    <x v="1"/>
  </r>
  <r>
    <n v="114"/>
    <s v="PBOR00118"/>
    <s v="PBOR00114"/>
    <x v="17"/>
    <x v="17"/>
    <x v="1"/>
    <s v="Yes"/>
    <s v="PBCS0114"/>
    <x v="1"/>
    <x v="1"/>
  </r>
  <r>
    <n v="115"/>
    <s v="PBOR00119"/>
    <s v="PBOR00115"/>
    <x v="18"/>
    <x v="37"/>
    <x v="1"/>
    <s v="Yes"/>
    <s v="PBCS0115"/>
    <x v="2"/>
    <x v="0"/>
  </r>
  <r>
    <n v="116"/>
    <s v="PBOR00120"/>
    <s v="PBOR00116"/>
    <x v="8"/>
    <x v="4"/>
    <x v="0"/>
    <s v="Yes"/>
    <s v="PBCS0116"/>
    <x v="0"/>
    <x v="2"/>
  </r>
  <r>
    <n v="117"/>
    <s v="PBOR00121"/>
    <s v="PBOR00117"/>
    <x v="20"/>
    <x v="2"/>
    <x v="1"/>
    <s v="No"/>
    <s v="PBCS0117"/>
    <x v="1"/>
    <x v="2"/>
  </r>
  <r>
    <n v="118"/>
    <s v="PBOR00122"/>
    <s v="PBOR00118"/>
    <x v="21"/>
    <x v="12"/>
    <x v="1"/>
    <s v="Yes"/>
    <s v="PBCS0118"/>
    <x v="2"/>
    <x v="1"/>
  </r>
  <r>
    <n v="119"/>
    <s v="PBOR00123"/>
    <s v="PBOR00119"/>
    <x v="22"/>
    <x v="0"/>
    <x v="0"/>
    <s v="Yes"/>
    <s v="PBCS0119"/>
    <x v="0"/>
    <x v="2"/>
  </r>
  <r>
    <n v="120"/>
    <s v="PBOR00124"/>
    <s v="PBOR00120"/>
    <x v="23"/>
    <x v="38"/>
    <x v="1"/>
    <s v="Yes"/>
    <s v="PBCS0120"/>
    <x v="1"/>
    <x v="2"/>
  </r>
  <r>
    <n v="121"/>
    <s v="PBOR00125"/>
    <s v="PBOR00121"/>
    <x v="24"/>
    <x v="1"/>
    <x v="0"/>
    <s v="Yes"/>
    <s v="PBCS0121"/>
    <x v="2"/>
    <x v="0"/>
  </r>
  <r>
    <n v="122"/>
    <s v="PBOR00126"/>
    <s v="PBOR00122"/>
    <x v="25"/>
    <x v="2"/>
    <x v="1"/>
    <s v="Yes"/>
    <s v="PBCS0122"/>
    <x v="0"/>
    <x v="0"/>
  </r>
  <r>
    <n v="123"/>
    <s v="PBOR00127"/>
    <s v="PBOR00123"/>
    <x v="0"/>
    <x v="5"/>
    <x v="0"/>
    <s v="No"/>
    <s v="PBCS0123"/>
    <x v="1"/>
    <x v="2"/>
  </r>
  <r>
    <n v="124"/>
    <s v="PBOR00128"/>
    <s v="PBOR00124"/>
    <x v="1"/>
    <x v="3"/>
    <x v="1"/>
    <s v="Yes"/>
    <s v="PBCS0124"/>
    <x v="2"/>
    <x v="2"/>
  </r>
  <r>
    <n v="125"/>
    <s v="PBOR00129"/>
    <s v="PBOR00125"/>
    <x v="2"/>
    <x v="36"/>
    <x v="2"/>
    <s v="Yes"/>
    <s v="PBCS0125"/>
    <x v="0"/>
    <x v="1"/>
  </r>
  <r>
    <n v="126"/>
    <s v="PBOR00130"/>
    <s v="PBOR00126"/>
    <x v="3"/>
    <x v="24"/>
    <x v="0"/>
    <s v="Yes"/>
    <s v="PBCS0126"/>
    <x v="1"/>
    <x v="2"/>
  </r>
  <r>
    <n v="127"/>
    <s v="PBOR00131"/>
    <s v="PBOR00127"/>
    <x v="4"/>
    <x v="21"/>
    <x v="1"/>
    <s v="Yes"/>
    <s v="PBCS0127"/>
    <x v="2"/>
    <x v="0"/>
  </r>
  <r>
    <n v="128"/>
    <s v="PBOR00132"/>
    <s v="PBOR00128"/>
    <x v="5"/>
    <x v="32"/>
    <x v="1"/>
    <s v="Yes"/>
    <s v="PBCS0128"/>
    <x v="0"/>
    <x v="1"/>
  </r>
  <r>
    <n v="129"/>
    <s v="PBOR00133"/>
    <s v="PBOR00129"/>
    <x v="6"/>
    <x v="4"/>
    <x v="0"/>
    <s v="Yes"/>
    <s v="PBCS0129"/>
    <x v="1"/>
    <x v="2"/>
  </r>
  <r>
    <n v="130"/>
    <s v="PBOR00134"/>
    <s v="PBOR00130"/>
    <x v="6"/>
    <x v="2"/>
    <x v="1"/>
    <s v="Yes"/>
    <s v="PBCS0130"/>
    <x v="2"/>
    <x v="0"/>
  </r>
  <r>
    <n v="131"/>
    <s v="PBOR00135"/>
    <s v="PBOR00131"/>
    <x v="7"/>
    <x v="27"/>
    <x v="0"/>
    <s v="Yes"/>
    <s v="PBCS0131"/>
    <x v="0"/>
    <x v="2"/>
  </r>
  <r>
    <n v="132"/>
    <s v="PBOR00136"/>
    <s v="PBOR00132"/>
    <x v="5"/>
    <x v="0"/>
    <x v="1"/>
    <s v="Yes"/>
    <s v="PBCS0132"/>
    <x v="1"/>
    <x v="1"/>
  </r>
  <r>
    <n v="133"/>
    <s v="PBOR00137"/>
    <s v="PBOR00133"/>
    <x v="8"/>
    <x v="1"/>
    <x v="1"/>
    <s v="Yes"/>
    <s v="PBCS0133"/>
    <x v="2"/>
    <x v="8"/>
  </r>
  <r>
    <n v="134"/>
    <s v="PBOR00138"/>
    <s v="PBOR00134"/>
    <x v="9"/>
    <x v="28"/>
    <x v="0"/>
    <s v="Yes"/>
    <s v="PBCS0134"/>
    <x v="0"/>
    <x v="1"/>
  </r>
  <r>
    <n v="135"/>
    <s v="PBOR00139"/>
    <s v="PBOR00135"/>
    <x v="10"/>
    <x v="8"/>
    <x v="1"/>
    <s v="Yes"/>
    <s v="PBCS0135"/>
    <x v="1"/>
    <x v="2"/>
  </r>
  <r>
    <n v="136"/>
    <s v="PBOR00140"/>
    <s v="PBOR00136"/>
    <x v="11"/>
    <x v="33"/>
    <x v="1"/>
    <s v="Yes"/>
    <s v="PBCS0136"/>
    <x v="2"/>
    <x v="1"/>
  </r>
  <r>
    <n v="137"/>
    <s v="PBOR00141"/>
    <s v="PBOR00137"/>
    <x v="5"/>
    <x v="14"/>
    <x v="0"/>
    <s v="Yes"/>
    <s v="PBCS0137"/>
    <x v="0"/>
    <x v="0"/>
  </r>
  <r>
    <n v="138"/>
    <s v="PBOR00142"/>
    <s v="PBOR00138"/>
    <x v="12"/>
    <x v="16"/>
    <x v="1"/>
    <s v="Yes"/>
    <s v="PBCS0138"/>
    <x v="1"/>
    <x v="2"/>
  </r>
  <r>
    <n v="139"/>
    <s v="PBOR00143"/>
    <s v="PBOR00139"/>
    <x v="9"/>
    <x v="17"/>
    <x v="0"/>
    <s v="Yes"/>
    <s v="PBCS0139"/>
    <x v="2"/>
    <x v="0"/>
  </r>
  <r>
    <n v="140"/>
    <s v="PBOR00144"/>
    <s v="PBOR00140"/>
    <x v="4"/>
    <x v="17"/>
    <x v="1"/>
    <s v="Yes"/>
    <s v="PBCS0140"/>
    <x v="0"/>
    <x v="0"/>
  </r>
  <r>
    <n v="141"/>
    <s v="PBOR00145"/>
    <s v="PBOR00141"/>
    <x v="13"/>
    <x v="5"/>
    <x v="0"/>
    <s v="Yes"/>
    <s v="PBCS0141"/>
    <x v="1"/>
    <x v="0"/>
  </r>
  <r>
    <n v="142"/>
    <s v="PBOR00146"/>
    <s v="PBOR00142"/>
    <x v="14"/>
    <x v="16"/>
    <x v="1"/>
    <s v="Yes"/>
    <s v="PBCS0142"/>
    <x v="2"/>
    <x v="0"/>
  </r>
  <r>
    <n v="143"/>
    <s v="PBOR00147"/>
    <s v="PBOR00143"/>
    <x v="15"/>
    <x v="1"/>
    <x v="2"/>
    <s v="Yes"/>
    <s v="PBCS0143"/>
    <x v="0"/>
    <x v="0"/>
  </r>
  <r>
    <n v="144"/>
    <s v="PBOR00148"/>
    <s v="PBOR00144"/>
    <x v="8"/>
    <x v="18"/>
    <x v="0"/>
    <s v="Yes"/>
    <s v="PBCS0144"/>
    <x v="1"/>
    <x v="2"/>
  </r>
  <r>
    <n v="145"/>
    <s v="PBOR00149"/>
    <s v="PBOR00145"/>
    <x v="17"/>
    <x v="3"/>
    <x v="1"/>
    <s v="No"/>
    <s v="PBCS0145"/>
    <x v="2"/>
    <x v="2"/>
  </r>
  <r>
    <n v="146"/>
    <s v="PBOR00150"/>
    <s v="PBOR00146"/>
    <x v="18"/>
    <x v="19"/>
    <x v="1"/>
    <s v="Yes"/>
    <s v="PBCS0146"/>
    <x v="0"/>
    <x v="1"/>
  </r>
  <r>
    <n v="147"/>
    <s v="PBOR00151"/>
    <s v="PBOR00147"/>
    <x v="19"/>
    <x v="20"/>
    <x v="0"/>
    <s v="Yes"/>
    <s v="PBCS0147"/>
    <x v="1"/>
    <x v="1"/>
  </r>
  <r>
    <n v="148"/>
    <s v="PBOR00152"/>
    <s v="PBOR00148"/>
    <x v="20"/>
    <x v="21"/>
    <x v="1"/>
    <s v="Yes"/>
    <s v="PBCS0148"/>
    <x v="2"/>
    <x v="0"/>
  </r>
  <r>
    <n v="149"/>
    <s v="PBOR00153"/>
    <s v="PBOR00149"/>
    <x v="21"/>
    <x v="22"/>
    <x v="0"/>
    <s v="Yes"/>
    <s v="PBCS0149"/>
    <x v="0"/>
    <x v="2"/>
  </r>
  <r>
    <n v="150"/>
    <s v="PBOR00154"/>
    <s v="PBOR00150"/>
    <x v="22"/>
    <x v="23"/>
    <x v="1"/>
    <s v="Yes"/>
    <s v="PBCS0150"/>
    <x v="0"/>
    <x v="2"/>
  </r>
  <r>
    <n v="151"/>
    <s v="PBOR00155"/>
    <s v="PBOR00151"/>
    <x v="23"/>
    <x v="24"/>
    <x v="1"/>
    <s v="No"/>
    <s v="PBCS0151"/>
    <x v="0"/>
    <x v="8"/>
  </r>
  <r>
    <n v="152"/>
    <s v="PBOR00156"/>
    <s v="PBOR00152"/>
    <x v="24"/>
    <x v="16"/>
    <x v="0"/>
    <s v="Yes"/>
    <s v="PBCS0152"/>
    <x v="1"/>
    <x v="2"/>
  </r>
  <r>
    <n v="153"/>
    <s v="PBOR00157"/>
    <s v="PBOR00153"/>
    <x v="25"/>
    <x v="25"/>
    <x v="1"/>
    <s v="Yes"/>
    <s v="PBCS0153"/>
    <x v="2"/>
    <x v="2"/>
  </r>
  <r>
    <n v="154"/>
    <s v="PBOR00158"/>
    <s v="PBOR00154"/>
    <x v="26"/>
    <x v="6"/>
    <x v="1"/>
    <s v="Yes"/>
    <s v="PBCS0154"/>
    <x v="0"/>
    <x v="2"/>
  </r>
  <r>
    <n v="155"/>
    <s v="PBOR00159"/>
    <s v="PBOR00155"/>
    <x v="11"/>
    <x v="2"/>
    <x v="0"/>
    <s v="Yes"/>
    <s v="PBCS0155"/>
    <x v="1"/>
    <x v="2"/>
  </r>
  <r>
    <n v="156"/>
    <s v="PBOR00160"/>
    <s v="PBOR00156"/>
    <x v="17"/>
    <x v="26"/>
    <x v="1"/>
    <s v="Yes"/>
    <s v="PBCS0156"/>
    <x v="2"/>
    <x v="1"/>
  </r>
  <r>
    <n v="157"/>
    <s v="PBOR00161"/>
    <s v="PBOR00157"/>
    <x v="22"/>
    <x v="4"/>
    <x v="0"/>
    <s v="Yes"/>
    <s v="PBCS0157"/>
    <x v="0"/>
    <x v="1"/>
  </r>
  <r>
    <n v="158"/>
    <s v="PBOR00162"/>
    <s v="PBOR00158"/>
    <x v="4"/>
    <x v="27"/>
    <x v="1"/>
    <s v="Yes"/>
    <s v="PBCS0158"/>
    <x v="1"/>
    <x v="0"/>
  </r>
  <r>
    <n v="159"/>
    <s v="PBOR00163"/>
    <s v="PBOR00159"/>
    <x v="12"/>
    <x v="15"/>
    <x v="0"/>
    <s v="Yes"/>
    <s v="PBCS0159"/>
    <x v="2"/>
    <x v="1"/>
  </r>
  <r>
    <n v="160"/>
    <s v="PBOR00164"/>
    <s v="PBOR00160"/>
    <x v="24"/>
    <x v="28"/>
    <x v="1"/>
    <s v="Yes"/>
    <s v="PBCS0160"/>
    <x v="0"/>
    <x v="0"/>
  </r>
  <r>
    <n v="161"/>
    <s v="PBOR00165"/>
    <s v="PBOR00161"/>
    <x v="25"/>
    <x v="8"/>
    <x v="2"/>
    <s v="Yes"/>
    <s v="PBCS0161"/>
    <x v="1"/>
    <x v="8"/>
  </r>
  <r>
    <n v="162"/>
    <s v="PBOR00166"/>
    <s v="PBOR00162"/>
    <x v="27"/>
    <x v="6"/>
    <x v="0"/>
    <s v="Yes"/>
    <s v="PBCS0162"/>
    <x v="2"/>
    <x v="1"/>
  </r>
  <r>
    <n v="163"/>
    <s v="PBOR00167"/>
    <s v="PBOR00163"/>
    <x v="38"/>
    <x v="27"/>
    <x v="1"/>
    <s v="Yes"/>
    <s v="PBCS0163"/>
    <x v="0"/>
    <x v="8"/>
  </r>
  <r>
    <n v="164"/>
    <s v="PBOR00168"/>
    <s v="PBOR00164"/>
    <x v="28"/>
    <x v="10"/>
    <x v="1"/>
    <s v="Yes"/>
    <s v="PBCS0164"/>
    <x v="1"/>
    <x v="0"/>
  </r>
  <r>
    <n v="165"/>
    <s v="PBOR00169"/>
    <s v="PBOR00165"/>
    <x v="29"/>
    <x v="29"/>
    <x v="0"/>
    <s v="Yes"/>
    <s v="PBCS0165"/>
    <x v="2"/>
    <x v="2"/>
  </r>
  <r>
    <n v="166"/>
    <s v="PBOR00170"/>
    <s v="PBOR00166"/>
    <x v="30"/>
    <x v="30"/>
    <x v="1"/>
    <s v="Yes"/>
    <s v="PBCS0166"/>
    <x v="0"/>
    <x v="1"/>
  </r>
  <r>
    <n v="167"/>
    <s v="PBOR00171"/>
    <s v="PBOR00167"/>
    <x v="8"/>
    <x v="31"/>
    <x v="0"/>
    <s v="Yes"/>
    <s v="PBCS0167"/>
    <x v="1"/>
    <x v="1"/>
  </r>
  <r>
    <n v="168"/>
    <s v="PBOR00172"/>
    <s v="PBOR00168"/>
    <x v="32"/>
    <x v="27"/>
    <x v="1"/>
    <s v="Yes"/>
    <s v="PBCS0168"/>
    <x v="2"/>
    <x v="1"/>
  </r>
  <r>
    <n v="169"/>
    <s v="PBOR00173"/>
    <s v="PBOR00169"/>
    <x v="33"/>
    <x v="29"/>
    <x v="1"/>
    <s v="Yes"/>
    <s v="PBCS0169"/>
    <x v="0"/>
    <x v="8"/>
  </r>
  <r>
    <n v="170"/>
    <s v="PBOR00174"/>
    <s v="PBOR00170"/>
    <x v="34"/>
    <x v="1"/>
    <x v="0"/>
    <s v="Yes"/>
    <s v="PBCS0170"/>
    <x v="1"/>
    <x v="1"/>
  </r>
  <r>
    <n v="171"/>
    <s v="PBOR00175"/>
    <s v="PBOR00171"/>
    <x v="35"/>
    <x v="11"/>
    <x v="1"/>
    <s v="Yes"/>
    <s v="PBCS0171"/>
    <x v="2"/>
    <x v="8"/>
  </r>
  <r>
    <n v="172"/>
    <s v="PBOR00176"/>
    <s v="PBOR00172"/>
    <x v="36"/>
    <x v="5"/>
    <x v="1"/>
    <s v="Yes"/>
    <s v="PBCS0172"/>
    <x v="0"/>
    <x v="0"/>
  </r>
  <r>
    <n v="173"/>
    <s v="PBOR00177"/>
    <s v="PBOR00173"/>
    <x v="0"/>
    <x v="2"/>
    <x v="0"/>
    <s v="No"/>
    <s v="PBCS0173"/>
    <x v="1"/>
    <x v="8"/>
  </r>
  <r>
    <n v="174"/>
    <s v="PBOR00178"/>
    <s v="PBOR00174"/>
    <x v="1"/>
    <x v="31"/>
    <x v="1"/>
    <s v="Yes"/>
    <s v="PBCS0174"/>
    <x v="2"/>
    <x v="2"/>
  </r>
  <r>
    <n v="175"/>
    <s v="PBOR00179"/>
    <s v="PBOR00175"/>
    <x v="2"/>
    <x v="3"/>
    <x v="0"/>
    <s v="Yes"/>
    <s v="PBCS0175"/>
    <x v="0"/>
    <x v="0"/>
  </r>
  <r>
    <n v="176"/>
    <s v="PBOR00180"/>
    <s v="PBOR00176"/>
    <x v="3"/>
    <x v="25"/>
    <x v="1"/>
    <s v="Yes"/>
    <s v="PBCS0176"/>
    <x v="1"/>
    <x v="0"/>
  </r>
  <r>
    <n v="177"/>
    <s v="PBOR00181"/>
    <s v="PBOR00177"/>
    <x v="4"/>
    <x v="7"/>
    <x v="0"/>
    <s v="Yes"/>
    <s v="PBCS0177"/>
    <x v="2"/>
    <x v="2"/>
  </r>
  <r>
    <n v="178"/>
    <s v="PBOR00182"/>
    <s v="PBOR00178"/>
    <x v="5"/>
    <x v="25"/>
    <x v="1"/>
    <s v="Yes"/>
    <s v="PBCS0178"/>
    <x v="0"/>
    <x v="1"/>
  </r>
  <r>
    <n v="179"/>
    <s v="PBOR00183"/>
    <s v="PBOR00179"/>
    <x v="6"/>
    <x v="32"/>
    <x v="2"/>
    <s v="No"/>
    <s v="PBCS0179"/>
    <x v="1"/>
    <x v="8"/>
  </r>
  <r>
    <n v="180"/>
    <s v="PBOR00184"/>
    <s v="PBOR00180"/>
    <x v="6"/>
    <x v="33"/>
    <x v="0"/>
    <s v="Yes"/>
    <s v="PBCS0180"/>
    <x v="2"/>
    <x v="2"/>
  </r>
  <r>
    <n v="181"/>
    <s v="PBOR00185"/>
    <s v="PBOR00181"/>
    <x v="7"/>
    <x v="33"/>
    <x v="1"/>
    <s v="Yes"/>
    <s v="PBCS0181"/>
    <x v="0"/>
    <x v="8"/>
  </r>
  <r>
    <n v="182"/>
    <s v="PBOR00186"/>
    <s v="PBOR00182"/>
    <x v="37"/>
    <x v="22"/>
    <x v="1"/>
    <s v="Yes"/>
    <s v="PBCS0182"/>
    <x v="1"/>
    <x v="1"/>
  </r>
  <r>
    <n v="183"/>
    <s v="PBOR00187"/>
    <s v="PBOR00183"/>
    <x v="8"/>
    <x v="34"/>
    <x v="0"/>
    <s v="Yes"/>
    <s v="PBCS0183"/>
    <x v="2"/>
    <x v="1"/>
  </r>
  <r>
    <n v="184"/>
    <s v="PBOR00188"/>
    <s v="PBOR00184"/>
    <x v="9"/>
    <x v="7"/>
    <x v="1"/>
    <s v="Yes"/>
    <s v="PBCS0184"/>
    <x v="0"/>
    <x v="8"/>
  </r>
  <r>
    <n v="185"/>
    <s v="PBOR00189"/>
    <s v="PBOR00185"/>
    <x v="10"/>
    <x v="3"/>
    <x v="0"/>
    <s v="Yes"/>
    <s v="PBCS0185"/>
    <x v="1"/>
    <x v="0"/>
  </r>
  <r>
    <n v="186"/>
    <s v="PBOR00190"/>
    <s v="PBOR00186"/>
    <x v="11"/>
    <x v="31"/>
    <x v="1"/>
    <s v="Yes"/>
    <s v="PBCS0186"/>
    <x v="2"/>
    <x v="0"/>
  </r>
  <r>
    <n v="187"/>
    <s v="PBOR00191"/>
    <s v="PBOR00187"/>
    <x v="36"/>
    <x v="4"/>
    <x v="1"/>
    <s v="Yes"/>
    <s v="PBCS0187"/>
    <x v="0"/>
    <x v="1"/>
  </r>
  <r>
    <n v="188"/>
    <s v="PBOR00192"/>
    <s v="PBOR00188"/>
    <x v="0"/>
    <x v="34"/>
    <x v="0"/>
    <s v="Yes"/>
    <s v="PBCS0188"/>
    <x v="1"/>
    <x v="8"/>
  </r>
  <r>
    <n v="189"/>
    <s v="PBOR00193"/>
    <s v="PBOR00189"/>
    <x v="1"/>
    <x v="13"/>
    <x v="1"/>
    <s v="Yes"/>
    <s v="PBCS0189"/>
    <x v="2"/>
    <x v="1"/>
  </r>
  <r>
    <n v="190"/>
    <s v="PBOR00194"/>
    <s v="PBOR00190"/>
    <x v="2"/>
    <x v="35"/>
    <x v="1"/>
    <s v="Yes"/>
    <s v="PBCS0190"/>
    <x v="0"/>
    <x v="1"/>
  </r>
  <r>
    <n v="191"/>
    <s v="PBOR00195"/>
    <s v="PBOR00191"/>
    <x v="3"/>
    <x v="2"/>
    <x v="0"/>
    <s v="Yes"/>
    <s v="PBCS0191"/>
    <x v="1"/>
    <x v="2"/>
  </r>
  <r>
    <n v="192"/>
    <s v="PBOR00196"/>
    <s v="PBOR00192"/>
    <x v="4"/>
    <x v="13"/>
    <x v="1"/>
    <s v="Yes"/>
    <s v="PBCS0192"/>
    <x v="2"/>
    <x v="1"/>
  </r>
  <r>
    <n v="193"/>
    <s v="PBOR00197"/>
    <s v="PBOR00193"/>
    <x v="5"/>
    <x v="18"/>
    <x v="0"/>
    <s v="Yes"/>
    <s v="PBCS0193"/>
    <x v="0"/>
    <x v="8"/>
  </r>
  <r>
    <n v="194"/>
    <s v="PBOR00198"/>
    <s v="PBOR00194"/>
    <x v="6"/>
    <x v="23"/>
    <x v="1"/>
    <s v="Yes"/>
    <s v="PBCS0194"/>
    <x v="1"/>
    <x v="1"/>
  </r>
  <r>
    <n v="195"/>
    <s v="PBOR00199"/>
    <s v="PBOR00195"/>
    <x v="6"/>
    <x v="36"/>
    <x v="0"/>
    <s v="Yes"/>
    <s v="PBCS0195"/>
    <x v="2"/>
    <x v="8"/>
  </r>
  <r>
    <n v="196"/>
    <s v="PBOR00200"/>
    <s v="PBOR00196"/>
    <x v="7"/>
    <x v="37"/>
    <x v="1"/>
    <s v="Yes"/>
    <s v="PBCS0196"/>
    <x v="0"/>
    <x v="1"/>
  </r>
  <r>
    <n v="197"/>
    <s v="PBOR00201"/>
    <s v="PBOR00197"/>
    <x v="5"/>
    <x v="4"/>
    <x v="2"/>
    <s v="Yes"/>
    <s v="PBCS0197"/>
    <x v="1"/>
    <x v="0"/>
  </r>
  <r>
    <n v="198"/>
    <s v="PBOR00202"/>
    <s v="PBOR00198"/>
    <x v="8"/>
    <x v="3"/>
    <x v="0"/>
    <s v="Yes"/>
    <s v="PBCS0198"/>
    <x v="2"/>
    <x v="1"/>
  </r>
  <r>
    <n v="199"/>
    <s v="PBOR00203"/>
    <s v="PBOR00199"/>
    <x v="9"/>
    <x v="35"/>
    <x v="1"/>
    <s v="Yes"/>
    <s v="PBCS0199"/>
    <x v="0"/>
    <x v="2"/>
  </r>
  <r>
    <n v="200"/>
    <s v="PBOR00204"/>
    <s v="PBOR00200"/>
    <x v="10"/>
    <x v="11"/>
    <x v="1"/>
    <s v="Yes"/>
    <s v="PBCS0200"/>
    <x v="0"/>
    <x v="8"/>
  </r>
  <r>
    <n v="201"/>
    <s v="PBOR00205"/>
    <s v="PBOR00201"/>
    <x v="11"/>
    <x v="10"/>
    <x v="0"/>
    <s v="No"/>
    <s v="PBCS0201"/>
    <x v="0"/>
    <x v="0"/>
  </r>
  <r>
    <n v="202"/>
    <s v="PBOR00206"/>
    <s v="PBOR00202"/>
    <x v="5"/>
    <x v="1"/>
    <x v="1"/>
    <s v="Yes"/>
    <s v="PBCS0202"/>
    <x v="1"/>
    <x v="1"/>
  </r>
  <r>
    <n v="203"/>
    <s v="PBOR00207"/>
    <s v="PBOR00203"/>
    <x v="12"/>
    <x v="17"/>
    <x v="0"/>
    <s v="Yes"/>
    <s v="PBCS0203"/>
    <x v="2"/>
    <x v="2"/>
  </r>
  <r>
    <n v="204"/>
    <s v="PBOR00208"/>
    <s v="PBOR00204"/>
    <x v="9"/>
    <x v="17"/>
    <x v="1"/>
    <s v="Yes"/>
    <s v="PBCS0204"/>
    <x v="0"/>
    <x v="1"/>
  </r>
  <r>
    <n v="205"/>
    <s v="PBOR00209"/>
    <s v="PBOR00205"/>
    <x v="4"/>
    <x v="37"/>
    <x v="1"/>
    <s v="Yes"/>
    <s v="PBCS0205"/>
    <x v="1"/>
    <x v="0"/>
  </r>
  <r>
    <n v="206"/>
    <s v="PBOR00210"/>
    <s v="PBOR00206"/>
    <x v="13"/>
    <x v="4"/>
    <x v="0"/>
    <s v="Yes"/>
    <s v="PBCS0206"/>
    <x v="2"/>
    <x v="8"/>
  </r>
  <r>
    <n v="207"/>
    <s v="PBOR00211"/>
    <s v="PBOR00207"/>
    <x v="14"/>
    <x v="2"/>
    <x v="1"/>
    <s v="No"/>
    <s v="PBCS0207"/>
    <x v="0"/>
    <x v="1"/>
  </r>
  <r>
    <n v="208"/>
    <s v="PBOR00212"/>
    <s v="PBOR00208"/>
    <x v="15"/>
    <x v="12"/>
    <x v="1"/>
    <s v="Yes"/>
    <s v="PBCS0208"/>
    <x v="1"/>
    <x v="1"/>
  </r>
  <r>
    <n v="209"/>
    <s v="PBOR00213"/>
    <s v="PBOR00209"/>
    <x v="16"/>
    <x v="0"/>
    <x v="0"/>
    <s v="Yes"/>
    <s v="PBCS0209"/>
    <x v="2"/>
    <x v="1"/>
  </r>
  <r>
    <n v="210"/>
    <s v="PBOR00214"/>
    <s v="PBOR00210"/>
    <x v="17"/>
    <x v="38"/>
    <x v="1"/>
    <s v="Yes"/>
    <s v="PBCS0210"/>
    <x v="0"/>
    <x v="0"/>
  </r>
  <r>
    <n v="211"/>
    <s v="PBOR00215"/>
    <s v="PBOR00211"/>
    <x v="18"/>
    <x v="1"/>
    <x v="0"/>
    <s v="Yes"/>
    <s v="PBCS0211"/>
    <x v="1"/>
    <x v="8"/>
  </r>
  <r>
    <n v="212"/>
    <s v="PBOR00216"/>
    <s v="PBOR00212"/>
    <x v="19"/>
    <x v="2"/>
    <x v="1"/>
    <s v="Yes"/>
    <s v="PBCS0212"/>
    <x v="2"/>
    <x v="1"/>
  </r>
  <r>
    <n v="213"/>
    <s v="PBOR00217"/>
    <s v="PBOR00213"/>
    <x v="20"/>
    <x v="5"/>
    <x v="0"/>
    <s v="Yes"/>
    <s v="PBCS0213"/>
    <x v="0"/>
    <x v="1"/>
  </r>
  <r>
    <n v="214"/>
    <s v="PBOR00218"/>
    <s v="PBOR00214"/>
    <x v="21"/>
    <x v="3"/>
    <x v="1"/>
    <s v="Yes"/>
    <s v="PBCS0214"/>
    <x v="1"/>
    <x v="2"/>
  </r>
  <r>
    <n v="215"/>
    <s v="PBOR00219"/>
    <s v="PBOR00215"/>
    <x v="22"/>
    <x v="36"/>
    <x v="2"/>
    <s v="Yes"/>
    <s v="PBCS0215"/>
    <x v="2"/>
    <x v="2"/>
  </r>
  <r>
    <n v="216"/>
    <s v="PBOR00220"/>
    <s v="PBOR00216"/>
    <x v="23"/>
    <x v="24"/>
    <x v="0"/>
    <s v="Yes"/>
    <s v="PBCS0216"/>
    <x v="0"/>
    <x v="8"/>
  </r>
  <r>
    <n v="217"/>
    <s v="PBOR00221"/>
    <s v="PBOR00217"/>
    <x v="24"/>
    <x v="21"/>
    <x v="1"/>
    <s v="Yes"/>
    <s v="PBCS0217"/>
    <x v="1"/>
    <x v="0"/>
  </r>
  <r>
    <n v="218"/>
    <s v="PBOR00222"/>
    <s v="PBOR00218"/>
    <x v="25"/>
    <x v="32"/>
    <x v="1"/>
    <s v="Yes"/>
    <s v="PBCS0218"/>
    <x v="2"/>
    <x v="0"/>
  </r>
  <r>
    <n v="219"/>
    <s v="PBOR00223"/>
    <s v="PBOR00219"/>
    <x v="26"/>
    <x v="4"/>
    <x v="0"/>
    <s v="Yes"/>
    <s v="PBCS0219"/>
    <x v="0"/>
    <x v="1"/>
  </r>
  <r>
    <n v="220"/>
    <s v="PBOR00224"/>
    <s v="PBOR00220"/>
    <x v="11"/>
    <x v="2"/>
    <x v="1"/>
    <s v="Yes"/>
    <s v="PBCS0220"/>
    <x v="1"/>
    <x v="8"/>
  </r>
  <r>
    <n v="221"/>
    <s v="PBOR00225"/>
    <s v="PBOR00221"/>
    <x v="17"/>
    <x v="27"/>
    <x v="0"/>
    <s v="Yes"/>
    <s v="PBCS0221"/>
    <x v="2"/>
    <x v="1"/>
  </r>
  <r>
    <n v="222"/>
    <s v="PBOR00226"/>
    <s v="PBOR00222"/>
    <x v="22"/>
    <x v="0"/>
    <x v="1"/>
    <s v="Yes"/>
    <s v="PBCS0222"/>
    <x v="0"/>
    <x v="1"/>
  </r>
  <r>
    <n v="223"/>
    <s v="PBOR00227"/>
    <s v="PBOR00223"/>
    <x v="4"/>
    <x v="1"/>
    <x v="1"/>
    <s v="Yes"/>
    <s v="PBCS0223"/>
    <x v="1"/>
    <x v="8"/>
  </r>
  <r>
    <n v="224"/>
    <s v="PBOR00228"/>
    <s v="PBOR00224"/>
    <x v="12"/>
    <x v="28"/>
    <x v="0"/>
    <s v="Yes"/>
    <s v="PBCS0224"/>
    <x v="2"/>
    <x v="1"/>
  </r>
  <r>
    <n v="225"/>
    <s v="PBOR00229"/>
    <s v="PBOR00225"/>
    <x v="24"/>
    <x v="8"/>
    <x v="1"/>
    <s v="Yes"/>
    <s v="PBCS0225"/>
    <x v="0"/>
    <x v="8"/>
  </r>
  <r>
    <n v="226"/>
    <s v="PBOR00230"/>
    <s v="PBOR00226"/>
    <x v="25"/>
    <x v="33"/>
    <x v="1"/>
    <s v="Yes"/>
    <s v="PBCS0226"/>
    <x v="1"/>
    <x v="0"/>
  </r>
  <r>
    <n v="227"/>
    <s v="PBOR00231"/>
    <s v="PBOR00227"/>
    <x v="27"/>
    <x v="14"/>
    <x v="0"/>
    <s v="Yes"/>
    <s v="PBCS0227"/>
    <x v="2"/>
    <x v="8"/>
  </r>
  <r>
    <n v="228"/>
    <s v="PBOR00232"/>
    <s v="PBOR00228"/>
    <x v="38"/>
    <x v="16"/>
    <x v="1"/>
    <s v="Yes"/>
    <s v="PBCS0228"/>
    <x v="0"/>
    <x v="1"/>
  </r>
  <r>
    <n v="229"/>
    <s v="PBOR00233"/>
    <s v="PBOR00229"/>
    <x v="28"/>
    <x v="17"/>
    <x v="0"/>
    <s v="No"/>
    <s v="PBCS0229"/>
    <x v="1"/>
    <x v="8"/>
  </r>
  <r>
    <n v="230"/>
    <s v="PBOR00234"/>
    <s v="PBOR00230"/>
    <x v="29"/>
    <x v="17"/>
    <x v="1"/>
    <s v="Yes"/>
    <s v="PBCS0230"/>
    <x v="2"/>
    <x v="8"/>
  </r>
  <r>
    <n v="231"/>
    <s v="PBOR00235"/>
    <s v="PBOR00231"/>
    <x v="30"/>
    <x v="5"/>
    <x v="0"/>
    <s v="Yes"/>
    <s v="PBCS0231"/>
    <x v="0"/>
    <x v="2"/>
  </r>
  <r>
    <n v="232"/>
    <s v="PBOR00236"/>
    <s v="PBOR00232"/>
    <x v="31"/>
    <x v="16"/>
    <x v="1"/>
    <s v="Yes"/>
    <s v="PBCS0232"/>
    <x v="1"/>
    <x v="8"/>
  </r>
  <r>
    <n v="233"/>
    <s v="PBOR00237"/>
    <s v="PBOR00233"/>
    <x v="32"/>
    <x v="1"/>
    <x v="1"/>
    <s v="Yes"/>
    <s v="PBCS0233"/>
    <x v="2"/>
    <x v="0"/>
  </r>
  <r>
    <n v="234"/>
    <s v="PBOR00238"/>
    <s v="PBOR00234"/>
    <x v="33"/>
    <x v="18"/>
    <x v="0"/>
    <s v="Yes"/>
    <s v="PBCS0234"/>
    <x v="0"/>
    <x v="0"/>
  </r>
  <r>
    <n v="235"/>
    <s v="PBOR00239"/>
    <s v="PBOR00235"/>
    <x v="16"/>
    <x v="3"/>
    <x v="1"/>
    <s v="No"/>
    <s v="PBCS0235"/>
    <x v="1"/>
    <x v="0"/>
  </r>
  <r>
    <n v="236"/>
    <s v="PBOR00240"/>
    <s v="PBOR00236"/>
    <x v="17"/>
    <x v="19"/>
    <x v="0"/>
    <s v="Yes"/>
    <s v="PBCS0236"/>
    <x v="2"/>
    <x v="8"/>
  </r>
  <r>
    <n v="237"/>
    <s v="PBOR00241"/>
    <s v="PBOR00237"/>
    <x v="18"/>
    <x v="20"/>
    <x v="1"/>
    <s v="Yes"/>
    <s v="PBCS0237"/>
    <x v="0"/>
    <x v="0"/>
  </r>
  <r>
    <n v="238"/>
    <s v="PBOR00242"/>
    <s v="PBOR00238"/>
    <x v="19"/>
    <x v="21"/>
    <x v="0"/>
    <s v="Yes"/>
    <s v="PBCS0238"/>
    <x v="1"/>
    <x v="8"/>
  </r>
  <r>
    <n v="239"/>
    <s v="PBOR00243"/>
    <s v="PBOR00239"/>
    <x v="20"/>
    <x v="22"/>
    <x v="1"/>
    <s v="Yes"/>
    <s v="PBCS0239"/>
    <x v="2"/>
    <x v="0"/>
  </r>
  <r>
    <n v="240"/>
    <s v="PBOR00244"/>
    <s v="PBOR00240"/>
    <x v="21"/>
    <x v="23"/>
    <x v="2"/>
    <s v="Yes"/>
    <s v="PBCS0240"/>
    <x v="0"/>
    <x v="2"/>
  </r>
  <r>
    <n v="241"/>
    <s v="PBOR00245"/>
    <s v="PBOR00241"/>
    <x v="22"/>
    <x v="24"/>
    <x v="0"/>
    <s v="Yes"/>
    <s v="PBCS0241"/>
    <x v="1"/>
    <x v="1"/>
  </r>
  <r>
    <n v="242"/>
    <s v="PBOR00246"/>
    <s v="PBOR00242"/>
    <x v="23"/>
    <x v="16"/>
    <x v="1"/>
    <s v="Yes"/>
    <s v="PBCS0242"/>
    <x v="2"/>
    <x v="8"/>
  </r>
  <r>
    <n v="243"/>
    <s v="PBOR00247"/>
    <s v="PBOR00243"/>
    <x v="24"/>
    <x v="25"/>
    <x v="1"/>
    <s v="Yes"/>
    <s v="PBCS0243"/>
    <x v="0"/>
    <x v="1"/>
  </r>
  <r>
    <n v="244"/>
    <s v="PBOR00248"/>
    <s v="PBOR00244"/>
    <x v="25"/>
    <x v="6"/>
    <x v="0"/>
    <s v="Yes"/>
    <s v="PBCS0244"/>
    <x v="1"/>
    <x v="2"/>
  </r>
  <r>
    <n v="245"/>
    <s v="PBOR00249"/>
    <s v="PBOR00245"/>
    <x v="0"/>
    <x v="2"/>
    <x v="1"/>
    <s v="Yes"/>
    <s v="PBCS0245"/>
    <x v="2"/>
    <x v="0"/>
  </r>
  <r>
    <n v="246"/>
    <s v="PBOR00250"/>
    <s v="PBOR00246"/>
    <x v="1"/>
    <x v="26"/>
    <x v="0"/>
    <s v="Yes"/>
    <s v="PBCS0246"/>
    <x v="0"/>
    <x v="0"/>
  </r>
  <r>
    <n v="247"/>
    <s v="PBOR00251"/>
    <s v="PBOR00247"/>
    <x v="2"/>
    <x v="4"/>
    <x v="1"/>
    <s v="Yes"/>
    <s v="PBCS0247"/>
    <x v="1"/>
    <x v="0"/>
  </r>
  <r>
    <n v="248"/>
    <s v="PBOR00252"/>
    <s v="PBOR00248"/>
    <x v="3"/>
    <x v="27"/>
    <x v="1"/>
    <s v="Yes"/>
    <s v="PBCS0248"/>
    <x v="2"/>
    <x v="0"/>
  </r>
  <r>
    <n v="249"/>
    <s v="PBOR00253"/>
    <s v="PBOR00249"/>
    <x v="4"/>
    <x v="15"/>
    <x v="0"/>
    <s v="Yes"/>
    <s v="PBCS0249"/>
    <x v="0"/>
    <x v="0"/>
  </r>
  <r>
    <n v="250"/>
    <s v="PBOR00254"/>
    <s v="PBOR00250"/>
    <x v="5"/>
    <x v="28"/>
    <x v="1"/>
    <s v="Yes"/>
    <s v="PBCS0250"/>
    <x v="0"/>
    <x v="1"/>
  </r>
  <r>
    <n v="251"/>
    <s v="PBOR00255"/>
    <s v="PBOR00251"/>
    <x v="0"/>
    <x v="8"/>
    <x v="0"/>
    <s v="Yes"/>
    <s v="PBCS0251"/>
    <x v="0"/>
    <x v="0"/>
  </r>
  <r>
    <n v="252"/>
    <s v="PBOR00256"/>
    <s v="PBOR00252"/>
    <x v="1"/>
    <x v="6"/>
    <x v="1"/>
    <s v="Yes"/>
    <s v="PBCS0252"/>
    <x v="1"/>
    <x v="1"/>
  </r>
  <r>
    <n v="253"/>
    <s v="PBOR00257"/>
    <s v="PBOR00253"/>
    <x v="2"/>
    <x v="27"/>
    <x v="2"/>
    <s v="No"/>
    <s v="PBCS0253"/>
    <x v="2"/>
    <x v="2"/>
  </r>
  <r>
    <n v="254"/>
    <s v="PBOR00258"/>
    <s v="PBOR00254"/>
    <x v="3"/>
    <x v="10"/>
    <x v="0"/>
    <s v="Yes"/>
    <s v="PBCS0254"/>
    <x v="0"/>
    <x v="3"/>
  </r>
  <r>
    <n v="255"/>
    <s v="PBOR00259"/>
    <s v="PBOR00255"/>
    <x v="4"/>
    <x v="29"/>
    <x v="1"/>
    <s v="Yes"/>
    <s v="PBCS0255"/>
    <x v="1"/>
    <x v="4"/>
  </r>
  <r>
    <n v="256"/>
    <s v="PBOR00260"/>
    <s v="PBOR00256"/>
    <x v="5"/>
    <x v="30"/>
    <x v="1"/>
    <s v="Yes"/>
    <s v="PBCS0256"/>
    <x v="2"/>
    <x v="5"/>
  </r>
  <r>
    <n v="257"/>
    <s v="PBOR00261"/>
    <s v="PBOR00257"/>
    <x v="6"/>
    <x v="31"/>
    <x v="0"/>
    <s v="Yes"/>
    <s v="PBCS0257"/>
    <x v="0"/>
    <x v="6"/>
  </r>
  <r>
    <n v="258"/>
    <s v="PBOR00262"/>
    <s v="PBOR00258"/>
    <x v="6"/>
    <x v="27"/>
    <x v="1"/>
    <s v="Yes"/>
    <s v="PBCS0258"/>
    <x v="1"/>
    <x v="0"/>
  </r>
  <r>
    <n v="259"/>
    <s v="PBOR00263"/>
    <s v="PBOR00259"/>
    <x v="7"/>
    <x v="29"/>
    <x v="1"/>
    <s v="No"/>
    <s v="PBCS0259"/>
    <x v="2"/>
    <x v="3"/>
  </r>
  <r>
    <n v="260"/>
    <s v="PBOR00264"/>
    <s v="PBOR00260"/>
    <x v="5"/>
    <x v="1"/>
    <x v="0"/>
    <s v="Yes"/>
    <s v="PBCS0260"/>
    <x v="0"/>
    <x v="0"/>
  </r>
  <r>
    <n v="261"/>
    <s v="PBOR00265"/>
    <s v="PBOR00261"/>
    <x v="8"/>
    <x v="11"/>
    <x v="1"/>
    <s v="Yes"/>
    <s v="PBCS0261"/>
    <x v="1"/>
    <x v="0"/>
  </r>
  <r>
    <n v="262"/>
    <s v="PBOR00266"/>
    <s v="PBOR00262"/>
    <x v="9"/>
    <x v="5"/>
    <x v="2"/>
    <s v="Yes"/>
    <s v="PBCS0262"/>
    <x v="2"/>
    <x v="7"/>
  </r>
  <r>
    <n v="263"/>
    <s v="PBOR00267"/>
    <s v="PBOR00263"/>
    <x v="10"/>
    <x v="2"/>
    <x v="0"/>
    <s v="Yes"/>
    <s v="PBCS0263"/>
    <x v="0"/>
    <x v="4"/>
  </r>
  <r>
    <n v="264"/>
    <s v="PBOR00268"/>
    <s v="PBOR00264"/>
    <x v="11"/>
    <x v="31"/>
    <x v="1"/>
    <s v="Yes"/>
    <s v="PBCS0264"/>
    <x v="1"/>
    <x v="7"/>
  </r>
  <r>
    <n v="265"/>
    <s v="PBOR00269"/>
    <s v="PBOR00265"/>
    <x v="5"/>
    <x v="3"/>
    <x v="2"/>
    <s v="No"/>
    <s v="PBCS0265"/>
    <x v="2"/>
    <x v="8"/>
  </r>
  <r>
    <n v="266"/>
    <s v="PBOR00270"/>
    <s v="PBOR00266"/>
    <x v="12"/>
    <x v="25"/>
    <x v="0"/>
    <s v="Yes"/>
    <s v="PBCS0266"/>
    <x v="0"/>
    <x v="7"/>
  </r>
  <r>
    <n v="267"/>
    <s v="PBOR00271"/>
    <s v="PBOR00267"/>
    <x v="9"/>
    <x v="7"/>
    <x v="1"/>
    <s v="Yes"/>
    <s v="PBCS0267"/>
    <x v="1"/>
    <x v="6"/>
  </r>
  <r>
    <n v="268"/>
    <s v="PBOR00272"/>
    <s v="PBOR00268"/>
    <x v="4"/>
    <x v="25"/>
    <x v="2"/>
    <s v="Yes"/>
    <s v="PBCS0268"/>
    <x v="2"/>
    <x v="9"/>
  </r>
  <r>
    <n v="269"/>
    <s v="PBOR00273"/>
    <s v="PBOR00269"/>
    <x v="13"/>
    <x v="32"/>
    <x v="0"/>
    <s v="Yes"/>
    <s v="PBCS0269"/>
    <x v="0"/>
    <x v="6"/>
  </r>
  <r>
    <n v="270"/>
    <s v="PBOR00274"/>
    <s v="PBOR00270"/>
    <x v="14"/>
    <x v="33"/>
    <x v="1"/>
    <s v="Yes"/>
    <s v="PBCS0270"/>
    <x v="1"/>
    <x v="9"/>
  </r>
  <r>
    <n v="271"/>
    <s v="PBOR00275"/>
    <s v="PBOR00271"/>
    <x v="15"/>
    <x v="33"/>
    <x v="1"/>
    <s v="No"/>
    <s v="PBCS0271"/>
    <x v="2"/>
    <x v="9"/>
  </r>
  <r>
    <n v="272"/>
    <s v="PBOR00276"/>
    <s v="PBOR00272"/>
    <x v="16"/>
    <x v="22"/>
    <x v="0"/>
    <s v="Yes"/>
    <s v="PBCS0272"/>
    <x v="0"/>
    <x v="7"/>
  </r>
  <r>
    <n v="273"/>
    <s v="PBOR00277"/>
    <s v="PBOR00273"/>
    <x v="17"/>
    <x v="34"/>
    <x v="1"/>
    <s v="Yes"/>
    <s v="PBCS0273"/>
    <x v="1"/>
    <x v="7"/>
  </r>
  <r>
    <n v="274"/>
    <s v="PBOR00278"/>
    <s v="PBOR00274"/>
    <x v="18"/>
    <x v="7"/>
    <x v="2"/>
    <s v="Yes"/>
    <s v="PBCS0274"/>
    <x v="2"/>
    <x v="1"/>
  </r>
  <r>
    <n v="275"/>
    <s v="PBOR00279"/>
    <s v="PBOR00275"/>
    <x v="19"/>
    <x v="3"/>
    <x v="0"/>
    <s v="Yes"/>
    <s v="PBCS0275"/>
    <x v="0"/>
    <x v="5"/>
  </r>
  <r>
    <n v="276"/>
    <s v="PBOR00280"/>
    <s v="PBOR00276"/>
    <x v="20"/>
    <x v="31"/>
    <x v="1"/>
    <s v="Yes"/>
    <s v="PBCS0276"/>
    <x v="1"/>
    <x v="7"/>
  </r>
  <r>
    <n v="277"/>
    <s v="PBOR00281"/>
    <s v="PBOR00277"/>
    <x v="21"/>
    <x v="4"/>
    <x v="2"/>
    <s v="No"/>
    <s v="PBCS0277"/>
    <x v="2"/>
    <x v="2"/>
  </r>
  <r>
    <n v="278"/>
    <s v="PBOR00282"/>
    <s v="PBOR00278"/>
    <x v="22"/>
    <x v="34"/>
    <x v="0"/>
    <s v="Yes"/>
    <s v="PBCS0278"/>
    <x v="0"/>
    <x v="4"/>
  </r>
  <r>
    <n v="279"/>
    <s v="PBOR00283"/>
    <s v="PBOR00279"/>
    <x v="23"/>
    <x v="13"/>
    <x v="1"/>
    <s v="Yes"/>
    <s v="PBCS0279"/>
    <x v="1"/>
    <x v="0"/>
  </r>
  <r>
    <n v="280"/>
    <s v="PBOR00284"/>
    <s v="PBOR00280"/>
    <x v="24"/>
    <x v="35"/>
    <x v="2"/>
    <s v="Yes"/>
    <s v="PBCS0280"/>
    <x v="2"/>
    <x v="3"/>
  </r>
  <r>
    <n v="281"/>
    <s v="PBOR00285"/>
    <s v="PBOR00281"/>
    <x v="25"/>
    <x v="2"/>
    <x v="0"/>
    <s v="Yes"/>
    <s v="PBCS0281"/>
    <x v="0"/>
    <x v="1"/>
  </r>
  <r>
    <n v="282"/>
    <s v="PBOR00286"/>
    <s v="PBOR00282"/>
    <x v="26"/>
    <x v="13"/>
    <x v="1"/>
    <s v="Yes"/>
    <s v="PBCS0282"/>
    <x v="1"/>
    <x v="0"/>
  </r>
  <r>
    <n v="283"/>
    <s v="PBOR00287"/>
    <s v="PBOR00283"/>
    <x v="11"/>
    <x v="18"/>
    <x v="1"/>
    <s v="No"/>
    <s v="PBCS0283"/>
    <x v="2"/>
    <x v="4"/>
  </r>
  <r>
    <n v="284"/>
    <s v="PBOR00288"/>
    <s v="PBOR00284"/>
    <x v="17"/>
    <x v="23"/>
    <x v="0"/>
    <s v="Yes"/>
    <s v="PBCS0284"/>
    <x v="0"/>
    <x v="0"/>
  </r>
  <r>
    <n v="285"/>
    <s v="PBOR00289"/>
    <s v="PBOR00285"/>
    <x v="22"/>
    <x v="36"/>
    <x v="1"/>
    <s v="Yes"/>
    <s v="PBCS0285"/>
    <x v="1"/>
    <x v="8"/>
  </r>
  <r>
    <n v="286"/>
    <s v="PBOR00290"/>
    <s v="PBOR00286"/>
    <x v="4"/>
    <x v="37"/>
    <x v="2"/>
    <s v="Yes"/>
    <s v="PBCS0286"/>
    <x v="2"/>
    <x v="6"/>
  </r>
  <r>
    <n v="287"/>
    <s v="PBOR00291"/>
    <s v="PBOR00287"/>
    <x v="12"/>
    <x v="4"/>
    <x v="0"/>
    <s v="Yes"/>
    <s v="PBCS0287"/>
    <x v="0"/>
    <x v="6"/>
  </r>
  <r>
    <n v="288"/>
    <s v="PBOR00292"/>
    <s v="PBOR00288"/>
    <x v="24"/>
    <x v="3"/>
    <x v="1"/>
    <s v="Yes"/>
    <s v="PBCS0288"/>
    <x v="1"/>
    <x v="8"/>
  </r>
  <r>
    <n v="289"/>
    <s v="PBOR00293"/>
    <s v="PBOR00289"/>
    <x v="25"/>
    <x v="35"/>
    <x v="1"/>
    <s v="No"/>
    <s v="PBCS0289"/>
    <x v="2"/>
    <x v="5"/>
  </r>
  <r>
    <n v="290"/>
    <s v="PBOR00294"/>
    <s v="PBOR00290"/>
    <x v="27"/>
    <x v="11"/>
    <x v="0"/>
    <s v="Yes"/>
    <s v="PBCS0290"/>
    <x v="0"/>
    <x v="1"/>
  </r>
  <r>
    <n v="291"/>
    <s v="PBOR00295"/>
    <s v="PBOR00291"/>
    <x v="8"/>
    <x v="10"/>
    <x v="1"/>
    <s v="Yes"/>
    <s v="PBCS0291"/>
    <x v="1"/>
    <x v="7"/>
  </r>
  <r>
    <n v="292"/>
    <s v="PBOR00296"/>
    <s v="PBOR00292"/>
    <x v="28"/>
    <x v="1"/>
    <x v="2"/>
    <s v="Yes"/>
    <s v="PBCS0292"/>
    <x v="2"/>
    <x v="3"/>
  </r>
  <r>
    <n v="293"/>
    <s v="PBOR00297"/>
    <s v="PBOR00293"/>
    <x v="29"/>
    <x v="17"/>
    <x v="0"/>
    <s v="Yes"/>
    <s v="PBCS0293"/>
    <x v="0"/>
    <x v="3"/>
  </r>
  <r>
    <n v="294"/>
    <s v="PBOR00298"/>
    <s v="PBOR00294"/>
    <x v="30"/>
    <x v="17"/>
    <x v="1"/>
    <s v="Yes"/>
    <s v="PBCS0294"/>
    <x v="1"/>
    <x v="9"/>
  </r>
  <r>
    <n v="295"/>
    <s v="PBOR00299"/>
    <s v="PBOR00295"/>
    <x v="31"/>
    <x v="37"/>
    <x v="2"/>
    <s v="No"/>
    <s v="PBCS0295"/>
    <x v="2"/>
    <x v="6"/>
  </r>
  <r>
    <n v="296"/>
    <s v="PBOR00300"/>
    <s v="PBOR00296"/>
    <x v="32"/>
    <x v="4"/>
    <x v="0"/>
    <s v="Yes"/>
    <s v="PBCS0296"/>
    <x v="0"/>
    <x v="0"/>
  </r>
  <r>
    <n v="297"/>
    <s v="PBOR00301"/>
    <s v="PBOR00297"/>
    <x v="33"/>
    <x v="2"/>
    <x v="1"/>
    <s v="Yes"/>
    <s v="PBCS0297"/>
    <x v="1"/>
    <x v="7"/>
  </r>
  <r>
    <n v="298"/>
    <s v="PBOR00302"/>
    <s v="PBOR00298"/>
    <x v="34"/>
    <x v="12"/>
    <x v="1"/>
    <s v="Yes"/>
    <s v="PBCS0298"/>
    <x v="2"/>
    <x v="5"/>
  </r>
  <r>
    <n v="299"/>
    <s v="PBOR00303"/>
    <s v="PBOR00299"/>
    <x v="35"/>
    <x v="0"/>
    <x v="0"/>
    <s v="Yes"/>
    <s v="PBCS0299"/>
    <x v="0"/>
    <x v="2"/>
  </r>
  <r>
    <n v="300"/>
    <s v="PBOR00304"/>
    <s v="PBOR00300"/>
    <x v="36"/>
    <x v="38"/>
    <x v="1"/>
    <s v="Yes"/>
    <s v="PBCS0300"/>
    <x v="0"/>
    <x v="3"/>
  </r>
  <r>
    <n v="301"/>
    <s v="PBOR00305"/>
    <s v="PBOR00301"/>
    <x v="0"/>
    <x v="1"/>
    <x v="0"/>
    <s v="Yes"/>
    <s v="PBCS0301"/>
    <x v="0"/>
    <x v="0"/>
  </r>
  <r>
    <n v="302"/>
    <s v="PBOR00306"/>
    <s v="PBOR00302"/>
    <x v="1"/>
    <x v="2"/>
    <x v="1"/>
    <s v="Yes"/>
    <s v="PBCS0302"/>
    <x v="1"/>
    <x v="1"/>
  </r>
  <r>
    <n v="303"/>
    <s v="PBOR00307"/>
    <s v="PBOR00303"/>
    <x v="2"/>
    <x v="5"/>
    <x v="2"/>
    <s v="No"/>
    <s v="PBCS0303"/>
    <x v="2"/>
    <x v="2"/>
  </r>
  <r>
    <n v="304"/>
    <s v="PBOR00308"/>
    <s v="PBOR00304"/>
    <x v="3"/>
    <x v="3"/>
    <x v="0"/>
    <s v="Yes"/>
    <s v="PBCS0304"/>
    <x v="0"/>
    <x v="3"/>
  </r>
  <r>
    <n v="305"/>
    <s v="PBOR00309"/>
    <s v="PBOR00305"/>
    <x v="4"/>
    <x v="36"/>
    <x v="1"/>
    <s v="Yes"/>
    <s v="PBCS0305"/>
    <x v="1"/>
    <x v="4"/>
  </r>
  <r>
    <n v="306"/>
    <s v="PBOR00310"/>
    <s v="PBOR00306"/>
    <x v="5"/>
    <x v="24"/>
    <x v="1"/>
    <s v="Yes"/>
    <s v="PBCS0306"/>
    <x v="2"/>
    <x v="5"/>
  </r>
  <r>
    <n v="307"/>
    <s v="PBOR00311"/>
    <s v="PBOR00307"/>
    <x v="6"/>
    <x v="21"/>
    <x v="0"/>
    <s v="Yes"/>
    <s v="PBCS0307"/>
    <x v="0"/>
    <x v="6"/>
  </r>
  <r>
    <n v="308"/>
    <s v="PBOR00312"/>
    <s v="PBOR00308"/>
    <x v="6"/>
    <x v="32"/>
    <x v="1"/>
    <s v="Yes"/>
    <s v="PBCS0308"/>
    <x v="1"/>
    <x v="0"/>
  </r>
  <r>
    <n v="309"/>
    <s v="PBOR00313"/>
    <s v="PBOR00309"/>
    <x v="7"/>
    <x v="4"/>
    <x v="0"/>
    <s v="No"/>
    <s v="PBCS0309"/>
    <x v="2"/>
    <x v="3"/>
  </r>
  <r>
    <n v="310"/>
    <s v="PBOR00314"/>
    <s v="PBOR00310"/>
    <x v="37"/>
    <x v="2"/>
    <x v="1"/>
    <s v="Yes"/>
    <s v="PBCS0310"/>
    <x v="0"/>
    <x v="0"/>
  </r>
  <r>
    <n v="311"/>
    <s v="PBOR00315"/>
    <s v="PBOR00311"/>
    <x v="8"/>
    <x v="27"/>
    <x v="1"/>
    <s v="Yes"/>
    <s v="PBCS0311"/>
    <x v="1"/>
    <x v="0"/>
  </r>
  <r>
    <n v="312"/>
    <s v="PBOR00316"/>
    <s v="PBOR00312"/>
    <x v="9"/>
    <x v="0"/>
    <x v="0"/>
    <s v="Yes"/>
    <s v="PBCS0312"/>
    <x v="2"/>
    <x v="7"/>
  </r>
  <r>
    <n v="313"/>
    <s v="PBOR00317"/>
    <s v="PBOR00313"/>
    <x v="10"/>
    <x v="1"/>
    <x v="1"/>
    <s v="Yes"/>
    <s v="PBCS0313"/>
    <x v="0"/>
    <x v="4"/>
  </r>
  <r>
    <n v="314"/>
    <s v="PBOR00318"/>
    <s v="PBOR00314"/>
    <x v="11"/>
    <x v="28"/>
    <x v="1"/>
    <s v="Yes"/>
    <s v="PBCS0314"/>
    <x v="1"/>
    <x v="7"/>
  </r>
  <r>
    <n v="315"/>
    <s v="PBOR00319"/>
    <s v="PBOR00315"/>
    <x v="36"/>
    <x v="8"/>
    <x v="0"/>
    <s v="No"/>
    <s v="PBCS0315"/>
    <x v="2"/>
    <x v="8"/>
  </r>
  <r>
    <n v="316"/>
    <s v="PBOR00320"/>
    <s v="PBOR00316"/>
    <x v="0"/>
    <x v="33"/>
    <x v="1"/>
    <s v="Yes"/>
    <s v="PBCS0316"/>
    <x v="0"/>
    <x v="7"/>
  </r>
  <r>
    <n v="317"/>
    <s v="PBOR00321"/>
    <s v="PBOR00317"/>
    <x v="1"/>
    <x v="14"/>
    <x v="0"/>
    <s v="Yes"/>
    <s v="PBCS0317"/>
    <x v="1"/>
    <x v="6"/>
  </r>
  <r>
    <n v="318"/>
    <s v="PBOR00322"/>
    <s v="PBOR00318"/>
    <x v="2"/>
    <x v="16"/>
    <x v="1"/>
    <s v="Yes"/>
    <s v="PBCS0318"/>
    <x v="2"/>
    <x v="9"/>
  </r>
  <r>
    <n v="319"/>
    <s v="PBOR00323"/>
    <s v="PBOR00319"/>
    <x v="3"/>
    <x v="17"/>
    <x v="0"/>
    <s v="Yes"/>
    <s v="PBCS0319"/>
    <x v="0"/>
    <x v="6"/>
  </r>
  <r>
    <n v="320"/>
    <s v="PBOR00324"/>
    <s v="PBOR00320"/>
    <x v="4"/>
    <x v="17"/>
    <x v="1"/>
    <s v="Yes"/>
    <s v="PBCS0320"/>
    <x v="1"/>
    <x v="9"/>
  </r>
  <r>
    <n v="321"/>
    <s v="PBOR00325"/>
    <s v="PBOR00321"/>
    <x v="5"/>
    <x v="5"/>
    <x v="2"/>
    <s v="No"/>
    <s v="PBCS0321"/>
    <x v="2"/>
    <x v="9"/>
  </r>
  <r>
    <n v="322"/>
    <s v="PBOR00326"/>
    <s v="PBOR00322"/>
    <x v="6"/>
    <x v="16"/>
    <x v="0"/>
    <s v="Yes"/>
    <s v="PBCS0322"/>
    <x v="0"/>
    <x v="7"/>
  </r>
  <r>
    <n v="323"/>
    <s v="PBOR00327"/>
    <s v="PBOR00323"/>
    <x v="6"/>
    <x v="1"/>
    <x v="1"/>
    <s v="Yes"/>
    <s v="PBCS0323"/>
    <x v="1"/>
    <x v="7"/>
  </r>
  <r>
    <n v="324"/>
    <s v="PBOR00328"/>
    <s v="PBOR00324"/>
    <x v="7"/>
    <x v="18"/>
    <x v="1"/>
    <s v="Yes"/>
    <s v="PBCS0324"/>
    <x v="2"/>
    <x v="1"/>
  </r>
  <r>
    <n v="325"/>
    <s v="PBOR00329"/>
    <s v="PBOR00325"/>
    <x v="5"/>
    <x v="3"/>
    <x v="0"/>
    <s v="Yes"/>
    <s v="PBCS0325"/>
    <x v="0"/>
    <x v="5"/>
  </r>
  <r>
    <n v="326"/>
    <s v="PBOR00330"/>
    <s v="PBOR00326"/>
    <x v="8"/>
    <x v="19"/>
    <x v="1"/>
    <s v="Yes"/>
    <s v="PBCS0326"/>
    <x v="1"/>
    <x v="7"/>
  </r>
  <r>
    <n v="327"/>
    <s v="PBOR00331"/>
    <s v="PBOR00327"/>
    <x v="9"/>
    <x v="20"/>
    <x v="0"/>
    <s v="No"/>
    <s v="PBCS0327"/>
    <x v="2"/>
    <x v="2"/>
  </r>
  <r>
    <n v="328"/>
    <s v="PBOR00332"/>
    <s v="PBOR00328"/>
    <x v="10"/>
    <x v="21"/>
    <x v="1"/>
    <s v="Yes"/>
    <s v="PBCS0328"/>
    <x v="0"/>
    <x v="4"/>
  </r>
  <r>
    <n v="329"/>
    <s v="PBOR00333"/>
    <s v="PBOR00329"/>
    <x v="11"/>
    <x v="22"/>
    <x v="1"/>
    <s v="Yes"/>
    <s v="PBCS0329"/>
    <x v="1"/>
    <x v="0"/>
  </r>
  <r>
    <n v="330"/>
    <s v="PBOR00334"/>
    <s v="PBOR00330"/>
    <x v="5"/>
    <x v="23"/>
    <x v="0"/>
    <s v="Yes"/>
    <s v="PBCS0330"/>
    <x v="2"/>
    <x v="3"/>
  </r>
  <r>
    <n v="331"/>
    <s v="PBOR00335"/>
    <s v="PBOR00331"/>
    <x v="12"/>
    <x v="24"/>
    <x v="1"/>
    <s v="Yes"/>
    <s v="PBCS0331"/>
    <x v="0"/>
    <x v="1"/>
  </r>
  <r>
    <n v="332"/>
    <s v="PBOR00336"/>
    <s v="PBOR00332"/>
    <x v="9"/>
    <x v="16"/>
    <x v="1"/>
    <s v="Yes"/>
    <s v="PBCS0332"/>
    <x v="1"/>
    <x v="0"/>
  </r>
  <r>
    <n v="333"/>
    <s v="PBOR00337"/>
    <s v="PBOR00333"/>
    <x v="4"/>
    <x v="25"/>
    <x v="0"/>
    <s v="No"/>
    <s v="PBCS0333"/>
    <x v="2"/>
    <x v="4"/>
  </r>
  <r>
    <n v="334"/>
    <s v="PBOR00338"/>
    <s v="PBOR00334"/>
    <x v="8"/>
    <x v="6"/>
    <x v="1"/>
    <s v="Yes"/>
    <s v="PBCS0334"/>
    <x v="0"/>
    <x v="0"/>
  </r>
  <r>
    <n v="335"/>
    <s v="PBOR00339"/>
    <s v="PBOR00335"/>
    <x v="14"/>
    <x v="2"/>
    <x v="0"/>
    <s v="Yes"/>
    <s v="PBCS0335"/>
    <x v="1"/>
    <x v="8"/>
  </r>
  <r>
    <n v="336"/>
    <s v="PBOR00340"/>
    <s v="PBOR00336"/>
    <x v="15"/>
    <x v="26"/>
    <x v="1"/>
    <s v="Yes"/>
    <s v="PBCS0336"/>
    <x v="2"/>
    <x v="6"/>
  </r>
  <r>
    <n v="337"/>
    <s v="PBOR00341"/>
    <s v="PBOR00337"/>
    <x v="16"/>
    <x v="4"/>
    <x v="0"/>
    <s v="Yes"/>
    <s v="PBCS0337"/>
    <x v="0"/>
    <x v="6"/>
  </r>
  <r>
    <n v="338"/>
    <s v="PBOR00342"/>
    <s v="PBOR00338"/>
    <x v="17"/>
    <x v="27"/>
    <x v="1"/>
    <s v="Yes"/>
    <s v="PBCS0338"/>
    <x v="1"/>
    <x v="8"/>
  </r>
  <r>
    <n v="339"/>
    <s v="PBOR00343"/>
    <s v="PBOR00339"/>
    <x v="18"/>
    <x v="15"/>
    <x v="2"/>
    <s v="No"/>
    <s v="PBCS0339"/>
    <x v="2"/>
    <x v="5"/>
  </r>
  <r>
    <n v="340"/>
    <s v="PBOR00344"/>
    <s v="PBOR00340"/>
    <x v="19"/>
    <x v="28"/>
    <x v="0"/>
    <s v="Yes"/>
    <s v="PBCS0340"/>
    <x v="0"/>
    <x v="1"/>
  </r>
  <r>
    <n v="341"/>
    <s v="PBOR00345"/>
    <s v="PBOR00341"/>
    <x v="20"/>
    <x v="8"/>
    <x v="1"/>
    <s v="Yes"/>
    <s v="PBCS0341"/>
    <x v="1"/>
    <x v="7"/>
  </r>
  <r>
    <n v="342"/>
    <s v="PBOR00346"/>
    <s v="PBOR00342"/>
    <x v="21"/>
    <x v="6"/>
    <x v="1"/>
    <s v="Yes"/>
    <s v="PBCS0342"/>
    <x v="2"/>
    <x v="3"/>
  </r>
  <r>
    <n v="343"/>
    <s v="PBOR00347"/>
    <s v="PBOR00343"/>
    <x v="22"/>
    <x v="27"/>
    <x v="0"/>
    <s v="Yes"/>
    <s v="PBCS0343"/>
    <x v="0"/>
    <x v="3"/>
  </r>
  <r>
    <n v="344"/>
    <s v="PBOR00348"/>
    <s v="PBOR00344"/>
    <x v="23"/>
    <x v="10"/>
    <x v="1"/>
    <s v="Yes"/>
    <s v="PBCS0344"/>
    <x v="1"/>
    <x v="9"/>
  </r>
  <r>
    <n v="345"/>
    <s v="PBOR00349"/>
    <s v="PBOR00345"/>
    <x v="24"/>
    <x v="29"/>
    <x v="0"/>
    <s v="No"/>
    <s v="PBCS0345"/>
    <x v="2"/>
    <x v="6"/>
  </r>
  <r>
    <n v="346"/>
    <s v="PBOR00350"/>
    <s v="PBOR00346"/>
    <x v="25"/>
    <x v="30"/>
    <x v="1"/>
    <s v="Yes"/>
    <s v="PBCS0346"/>
    <x v="0"/>
    <x v="0"/>
  </r>
  <r>
    <n v="347"/>
    <s v="PBOR00351"/>
    <s v="PBOR00347"/>
    <x v="26"/>
    <x v="31"/>
    <x v="1"/>
    <s v="Yes"/>
    <s v="PBCS0347"/>
    <x v="1"/>
    <x v="7"/>
  </r>
  <r>
    <n v="348"/>
    <s v="PBOR00352"/>
    <s v="PBOR00348"/>
    <x v="11"/>
    <x v="27"/>
    <x v="0"/>
    <s v="Yes"/>
    <s v="PBCS0348"/>
    <x v="2"/>
    <x v="5"/>
  </r>
  <r>
    <n v="349"/>
    <s v="PBOR00353"/>
    <s v="PBOR00349"/>
    <x v="17"/>
    <x v="29"/>
    <x v="1"/>
    <s v="Yes"/>
    <s v="PBCS0349"/>
    <x v="0"/>
    <x v="2"/>
  </r>
  <r>
    <n v="350"/>
    <s v="PBOR00354"/>
    <s v="PBOR00350"/>
    <x v="22"/>
    <x v="1"/>
    <x v="1"/>
    <s v="Yes"/>
    <s v="PBCS0350"/>
    <x v="0"/>
    <x v="3"/>
  </r>
  <r>
    <n v="351"/>
    <s v="PBOR00355"/>
    <s v="PBOR00351"/>
    <x v="4"/>
    <x v="11"/>
    <x v="0"/>
    <s v="Yes"/>
    <s v="PBCS0351"/>
    <x v="0"/>
    <x v="8"/>
  </r>
  <r>
    <n v="352"/>
    <s v="PBOR00356"/>
    <s v="PBOR00352"/>
    <x v="12"/>
    <x v="5"/>
    <x v="1"/>
    <s v="Yes"/>
    <s v="PBCS0352"/>
    <x v="1"/>
    <x v="0"/>
  </r>
  <r>
    <n v="353"/>
    <s v="PBOR00357"/>
    <s v="PBOR00353"/>
    <x v="24"/>
    <x v="2"/>
    <x v="0"/>
    <s v="Yes"/>
    <s v="PBCS0353"/>
    <x v="2"/>
    <x v="1"/>
  </r>
  <r>
    <n v="354"/>
    <s v="PBOR00358"/>
    <s v="PBOR00354"/>
    <x v="25"/>
    <x v="31"/>
    <x v="1"/>
    <s v="Yes"/>
    <s v="PBCS0354"/>
    <x v="0"/>
    <x v="1"/>
  </r>
  <r>
    <n v="355"/>
    <s v="PBOR00359"/>
    <s v="PBOR00355"/>
    <x v="27"/>
    <x v="3"/>
    <x v="0"/>
    <s v="Yes"/>
    <s v="PBCS0355"/>
    <x v="1"/>
    <x v="1"/>
  </r>
  <r>
    <n v="356"/>
    <s v="PBOR00360"/>
    <s v="PBOR00356"/>
    <x v="38"/>
    <x v="25"/>
    <x v="1"/>
    <s v="Yes"/>
    <s v="PBCS0356"/>
    <x v="2"/>
    <x v="1"/>
  </r>
  <r>
    <n v="357"/>
    <s v="PBOR00361"/>
    <s v="PBOR00357"/>
    <x v="28"/>
    <x v="7"/>
    <x v="2"/>
    <s v="Yes"/>
    <s v="PBCS0357"/>
    <x v="0"/>
    <x v="2"/>
  </r>
  <r>
    <n v="358"/>
    <s v="PBOR00362"/>
    <s v="PBOR00358"/>
    <x v="29"/>
    <x v="25"/>
    <x v="0"/>
    <s v="Yes"/>
    <s v="PBCS0358"/>
    <x v="1"/>
    <x v="8"/>
  </r>
  <r>
    <n v="359"/>
    <s v="PBOR00363"/>
    <s v="PBOR00359"/>
    <x v="30"/>
    <x v="32"/>
    <x v="1"/>
    <s v="Yes"/>
    <s v="PBCS0359"/>
    <x v="2"/>
    <x v="8"/>
  </r>
  <r>
    <n v="360"/>
    <s v="PBOR00364"/>
    <s v="PBOR00360"/>
    <x v="31"/>
    <x v="33"/>
    <x v="1"/>
    <s v="Yes"/>
    <s v="PBCS0360"/>
    <x v="0"/>
    <x v="8"/>
  </r>
  <r>
    <n v="361"/>
    <s v="PBOR00365"/>
    <s v="PBOR00361"/>
    <x v="32"/>
    <x v="33"/>
    <x v="0"/>
    <s v="Yes"/>
    <s v="PBCS0361"/>
    <x v="1"/>
    <x v="8"/>
  </r>
  <r>
    <n v="362"/>
    <s v="PBOR00366"/>
    <s v="PBOR00362"/>
    <x v="33"/>
    <x v="22"/>
    <x v="1"/>
    <s v="Yes"/>
    <s v="PBCS0362"/>
    <x v="2"/>
    <x v="2"/>
  </r>
  <r>
    <n v="363"/>
    <s v="PBOR00367"/>
    <s v="PBOR00363"/>
    <x v="16"/>
    <x v="34"/>
    <x v="0"/>
    <s v="Yes"/>
    <s v="PBCS0363"/>
    <x v="0"/>
    <x v="1"/>
  </r>
  <r>
    <n v="364"/>
    <s v="PBOR00368"/>
    <s v="PBOR00364"/>
    <x v="17"/>
    <x v="7"/>
    <x v="1"/>
    <s v="Yes"/>
    <s v="PBCS0364"/>
    <x v="1"/>
    <x v="1"/>
  </r>
  <r>
    <n v="365"/>
    <s v="PBOR00369"/>
    <s v="PBOR00365"/>
    <x v="18"/>
    <x v="3"/>
    <x v="1"/>
    <s v="Yes"/>
    <s v="PBCS0365"/>
    <x v="2"/>
    <x v="0"/>
  </r>
  <r>
    <n v="366"/>
    <s v="PBOR00370"/>
    <s v="PBOR00366"/>
    <x v="8"/>
    <x v="31"/>
    <x v="0"/>
    <s v="Yes"/>
    <s v="PBCS0366"/>
    <x v="0"/>
    <x v="2"/>
  </r>
  <r>
    <n v="367"/>
    <s v="PBOR00371"/>
    <s v="PBOR00367"/>
    <x v="20"/>
    <x v="4"/>
    <x v="1"/>
    <s v="No"/>
    <s v="PBCS0367"/>
    <x v="1"/>
    <x v="2"/>
  </r>
  <r>
    <n v="368"/>
    <s v="PBOR00372"/>
    <s v="PBOR00368"/>
    <x v="21"/>
    <x v="34"/>
    <x v="1"/>
    <s v="Yes"/>
    <s v="PBCS0368"/>
    <x v="2"/>
    <x v="1"/>
  </r>
  <r>
    <n v="369"/>
    <s v="PBOR00373"/>
    <s v="PBOR00369"/>
    <x v="22"/>
    <x v="13"/>
    <x v="0"/>
    <s v="Yes"/>
    <s v="PBCS0369"/>
    <x v="0"/>
    <x v="2"/>
  </r>
  <r>
    <n v="370"/>
    <s v="PBOR00374"/>
    <s v="PBOR00370"/>
    <x v="23"/>
    <x v="35"/>
    <x v="1"/>
    <s v="Yes"/>
    <s v="PBCS0370"/>
    <x v="1"/>
    <x v="2"/>
  </r>
  <r>
    <n v="371"/>
    <s v="PBOR00375"/>
    <s v="PBOR00371"/>
    <x v="24"/>
    <x v="2"/>
    <x v="0"/>
    <s v="Yes"/>
    <s v="PBCS0371"/>
    <x v="2"/>
    <x v="0"/>
  </r>
  <r>
    <n v="372"/>
    <s v="PBOR00376"/>
    <s v="PBOR00372"/>
    <x v="25"/>
    <x v="13"/>
    <x v="1"/>
    <s v="Yes"/>
    <s v="PBCS0372"/>
    <x v="0"/>
    <x v="0"/>
  </r>
  <r>
    <n v="373"/>
    <s v="PBOR00377"/>
    <s v="PBOR00373"/>
    <x v="0"/>
    <x v="18"/>
    <x v="0"/>
    <s v="No"/>
    <s v="PBCS0373"/>
    <x v="1"/>
    <x v="2"/>
  </r>
  <r>
    <n v="374"/>
    <s v="PBOR00378"/>
    <s v="PBOR00374"/>
    <x v="1"/>
    <x v="23"/>
    <x v="1"/>
    <s v="Yes"/>
    <s v="PBCS0374"/>
    <x v="2"/>
    <x v="2"/>
  </r>
  <r>
    <n v="375"/>
    <s v="PBOR00379"/>
    <s v="PBOR00375"/>
    <x v="2"/>
    <x v="36"/>
    <x v="2"/>
    <s v="Yes"/>
    <s v="PBCS0375"/>
    <x v="0"/>
    <x v="1"/>
  </r>
  <r>
    <n v="376"/>
    <s v="PBOR00380"/>
    <s v="PBOR00376"/>
    <x v="3"/>
    <x v="37"/>
    <x v="0"/>
    <s v="Yes"/>
    <s v="PBCS0376"/>
    <x v="1"/>
    <x v="2"/>
  </r>
  <r>
    <n v="377"/>
    <s v="PBOR00381"/>
    <s v="PBOR00377"/>
    <x v="4"/>
    <x v="4"/>
    <x v="1"/>
    <s v="Yes"/>
    <s v="PBCS0377"/>
    <x v="2"/>
    <x v="0"/>
  </r>
  <r>
    <n v="378"/>
    <s v="PBOR00382"/>
    <s v="PBOR00378"/>
    <x v="5"/>
    <x v="3"/>
    <x v="1"/>
    <s v="Yes"/>
    <s v="PBCS0378"/>
    <x v="0"/>
    <x v="1"/>
  </r>
  <r>
    <n v="379"/>
    <s v="PBOR00383"/>
    <s v="PBOR00379"/>
    <x v="6"/>
    <x v="35"/>
    <x v="0"/>
    <s v="Yes"/>
    <s v="PBCS0379"/>
    <x v="1"/>
    <x v="2"/>
  </r>
  <r>
    <n v="380"/>
    <s v="PBOR00384"/>
    <s v="PBOR00380"/>
    <x v="6"/>
    <x v="11"/>
    <x v="1"/>
    <s v="Yes"/>
    <s v="PBCS0380"/>
    <x v="2"/>
    <x v="0"/>
  </r>
  <r>
    <n v="381"/>
    <s v="PBOR00385"/>
    <s v="PBOR00381"/>
    <x v="7"/>
    <x v="10"/>
    <x v="0"/>
    <s v="Yes"/>
    <s v="PBCS0381"/>
    <x v="0"/>
    <x v="2"/>
  </r>
  <r>
    <n v="382"/>
    <s v="PBOR00386"/>
    <s v="PBOR00382"/>
    <x v="5"/>
    <x v="1"/>
    <x v="1"/>
    <s v="Yes"/>
    <s v="PBCS0382"/>
    <x v="1"/>
    <x v="1"/>
  </r>
  <r>
    <n v="383"/>
    <s v="PBOR00387"/>
    <s v="PBOR00383"/>
    <x v="8"/>
    <x v="17"/>
    <x v="1"/>
    <s v="Yes"/>
    <s v="PBCS0383"/>
    <x v="2"/>
    <x v="8"/>
  </r>
  <r>
    <n v="384"/>
    <s v="PBOR00388"/>
    <s v="PBOR00384"/>
    <x v="9"/>
    <x v="17"/>
    <x v="0"/>
    <s v="Yes"/>
    <s v="PBCS0384"/>
    <x v="0"/>
    <x v="1"/>
  </r>
  <r>
    <n v="385"/>
    <s v="PBOR00389"/>
    <s v="PBOR00385"/>
    <x v="10"/>
    <x v="37"/>
    <x v="1"/>
    <s v="Yes"/>
    <s v="PBCS0385"/>
    <x v="1"/>
    <x v="2"/>
  </r>
  <r>
    <n v="386"/>
    <s v="PBOR00390"/>
    <s v="PBOR00386"/>
    <x v="11"/>
    <x v="4"/>
    <x v="1"/>
    <s v="Yes"/>
    <s v="PBCS0386"/>
    <x v="2"/>
    <x v="1"/>
  </r>
  <r>
    <n v="387"/>
    <s v="PBOR00391"/>
    <s v="PBOR00387"/>
    <x v="5"/>
    <x v="2"/>
    <x v="0"/>
    <s v="Yes"/>
    <s v="PBCS0387"/>
    <x v="0"/>
    <x v="0"/>
  </r>
  <r>
    <n v="388"/>
    <s v="PBOR00392"/>
    <s v="PBOR00388"/>
    <x v="12"/>
    <x v="12"/>
    <x v="1"/>
    <s v="Yes"/>
    <s v="PBCS0388"/>
    <x v="1"/>
    <x v="2"/>
  </r>
  <r>
    <n v="389"/>
    <s v="PBOR00393"/>
    <s v="PBOR00389"/>
    <x v="9"/>
    <x v="0"/>
    <x v="0"/>
    <s v="Yes"/>
    <s v="PBCS0389"/>
    <x v="2"/>
    <x v="0"/>
  </r>
  <r>
    <n v="390"/>
    <s v="PBOR00394"/>
    <s v="PBOR00390"/>
    <x v="4"/>
    <x v="38"/>
    <x v="1"/>
    <s v="Yes"/>
    <s v="PBCS0390"/>
    <x v="0"/>
    <x v="0"/>
  </r>
  <r>
    <n v="391"/>
    <s v="PBOR00395"/>
    <s v="PBOR00391"/>
    <x v="13"/>
    <x v="1"/>
    <x v="0"/>
    <s v="Yes"/>
    <s v="PBCS0391"/>
    <x v="1"/>
    <x v="0"/>
  </r>
  <r>
    <n v="392"/>
    <s v="PBOR00396"/>
    <s v="PBOR00392"/>
    <x v="14"/>
    <x v="2"/>
    <x v="1"/>
    <s v="Yes"/>
    <s v="PBCS0392"/>
    <x v="2"/>
    <x v="0"/>
  </r>
  <r>
    <n v="393"/>
    <s v="PBOR00397"/>
    <s v="PBOR00393"/>
    <x v="15"/>
    <x v="5"/>
    <x v="2"/>
    <s v="Yes"/>
    <s v="PBCS0393"/>
    <x v="0"/>
    <x v="0"/>
  </r>
  <r>
    <n v="394"/>
    <s v="PBOR00398"/>
    <s v="PBOR00394"/>
    <x v="8"/>
    <x v="3"/>
    <x v="0"/>
    <s v="Yes"/>
    <s v="PBCS0394"/>
    <x v="1"/>
    <x v="2"/>
  </r>
  <r>
    <n v="395"/>
    <s v="PBOR00399"/>
    <s v="PBOR00395"/>
    <x v="17"/>
    <x v="36"/>
    <x v="1"/>
    <s v="No"/>
    <s v="PBCS0395"/>
    <x v="2"/>
    <x v="2"/>
  </r>
  <r>
    <n v="396"/>
    <s v="PBOR00400"/>
    <s v="PBOR00396"/>
    <x v="18"/>
    <x v="24"/>
    <x v="1"/>
    <s v="Yes"/>
    <s v="PBCS0396"/>
    <x v="0"/>
    <x v="1"/>
  </r>
  <r>
    <n v="397"/>
    <s v="PBOR00401"/>
    <s v="PBOR00397"/>
    <x v="19"/>
    <x v="21"/>
    <x v="0"/>
    <s v="Yes"/>
    <s v="PBCS0397"/>
    <x v="1"/>
    <x v="1"/>
  </r>
  <r>
    <n v="398"/>
    <s v="PBOR00402"/>
    <s v="PBOR00398"/>
    <x v="20"/>
    <x v="32"/>
    <x v="1"/>
    <s v="Yes"/>
    <s v="PBCS0398"/>
    <x v="2"/>
    <x v="0"/>
  </r>
  <r>
    <n v="399"/>
    <s v="PBOR00403"/>
    <s v="PBOR00399"/>
    <x v="21"/>
    <x v="4"/>
    <x v="0"/>
    <s v="Yes"/>
    <s v="PBCS0399"/>
    <x v="0"/>
    <x v="2"/>
  </r>
  <r>
    <n v="400"/>
    <s v="PBOR00404"/>
    <s v="PBOR00400"/>
    <x v="22"/>
    <x v="2"/>
    <x v="1"/>
    <s v="Yes"/>
    <s v="PBCS0400"/>
    <x v="0"/>
    <x v="2"/>
  </r>
  <r>
    <n v="401"/>
    <s v="PBOR00405"/>
    <s v="PBOR00401"/>
    <x v="23"/>
    <x v="27"/>
    <x v="1"/>
    <s v="No"/>
    <s v="PBCS0401"/>
    <x v="0"/>
    <x v="8"/>
  </r>
  <r>
    <n v="402"/>
    <s v="PBOR00406"/>
    <s v="PBOR00402"/>
    <x v="24"/>
    <x v="0"/>
    <x v="0"/>
    <s v="Yes"/>
    <s v="PBCS0402"/>
    <x v="1"/>
    <x v="2"/>
  </r>
  <r>
    <n v="403"/>
    <s v="PBOR00407"/>
    <s v="PBOR00403"/>
    <x v="25"/>
    <x v="1"/>
    <x v="1"/>
    <s v="Yes"/>
    <s v="PBCS0403"/>
    <x v="2"/>
    <x v="2"/>
  </r>
  <r>
    <n v="404"/>
    <s v="PBOR00408"/>
    <s v="PBOR00404"/>
    <x v="26"/>
    <x v="28"/>
    <x v="1"/>
    <s v="Yes"/>
    <s v="PBCS0404"/>
    <x v="0"/>
    <x v="2"/>
  </r>
  <r>
    <n v="405"/>
    <s v="PBOR00409"/>
    <s v="PBOR00405"/>
    <x v="11"/>
    <x v="8"/>
    <x v="0"/>
    <s v="Yes"/>
    <s v="PBCS0405"/>
    <x v="1"/>
    <x v="2"/>
  </r>
  <r>
    <n v="406"/>
    <s v="PBOR00410"/>
    <s v="PBOR00406"/>
    <x v="17"/>
    <x v="33"/>
    <x v="1"/>
    <s v="Yes"/>
    <s v="PBCS0406"/>
    <x v="2"/>
    <x v="1"/>
  </r>
  <r>
    <n v="407"/>
    <s v="PBOR00411"/>
    <s v="PBOR00407"/>
    <x v="22"/>
    <x v="14"/>
    <x v="0"/>
    <s v="Yes"/>
    <s v="PBCS0407"/>
    <x v="0"/>
    <x v="1"/>
  </r>
  <r>
    <n v="408"/>
    <s v="PBOR00412"/>
    <s v="PBOR00408"/>
    <x v="4"/>
    <x v="16"/>
    <x v="1"/>
    <s v="Yes"/>
    <s v="PBCS0408"/>
    <x v="1"/>
    <x v="0"/>
  </r>
  <r>
    <n v="409"/>
    <s v="PBOR00413"/>
    <s v="PBOR00409"/>
    <x v="12"/>
    <x v="17"/>
    <x v="0"/>
    <s v="Yes"/>
    <s v="PBCS0409"/>
    <x v="2"/>
    <x v="1"/>
  </r>
  <r>
    <n v="410"/>
    <s v="PBOR00414"/>
    <s v="PBOR00410"/>
    <x v="24"/>
    <x v="17"/>
    <x v="1"/>
    <s v="Yes"/>
    <s v="PBCS0410"/>
    <x v="0"/>
    <x v="0"/>
  </r>
  <r>
    <n v="411"/>
    <s v="PBOR00415"/>
    <s v="PBOR00411"/>
    <x v="25"/>
    <x v="5"/>
    <x v="2"/>
    <s v="Yes"/>
    <s v="PBCS0411"/>
    <x v="1"/>
    <x v="8"/>
  </r>
  <r>
    <n v="412"/>
    <s v="PBOR00416"/>
    <s v="PBOR00412"/>
    <x v="27"/>
    <x v="16"/>
    <x v="0"/>
    <s v="Yes"/>
    <s v="PBCS0412"/>
    <x v="2"/>
    <x v="1"/>
  </r>
  <r>
    <n v="413"/>
    <s v="PBOR00417"/>
    <s v="PBOR00413"/>
    <x v="38"/>
    <x v="1"/>
    <x v="1"/>
    <s v="Yes"/>
    <s v="PBCS0413"/>
    <x v="0"/>
    <x v="8"/>
  </r>
  <r>
    <n v="414"/>
    <s v="PBOR00418"/>
    <s v="PBOR00414"/>
    <x v="28"/>
    <x v="18"/>
    <x v="1"/>
    <s v="Yes"/>
    <s v="PBCS0414"/>
    <x v="1"/>
    <x v="0"/>
  </r>
  <r>
    <n v="415"/>
    <s v="PBOR00419"/>
    <s v="PBOR00415"/>
    <x v="29"/>
    <x v="3"/>
    <x v="0"/>
    <s v="Yes"/>
    <s v="PBCS0415"/>
    <x v="2"/>
    <x v="2"/>
  </r>
  <r>
    <n v="416"/>
    <s v="PBOR00420"/>
    <s v="PBOR00416"/>
    <x v="30"/>
    <x v="19"/>
    <x v="1"/>
    <s v="Yes"/>
    <s v="PBCS0416"/>
    <x v="0"/>
    <x v="1"/>
  </r>
  <r>
    <n v="417"/>
    <s v="PBOR00421"/>
    <s v="PBOR00417"/>
    <x v="8"/>
    <x v="20"/>
    <x v="0"/>
    <s v="Yes"/>
    <s v="PBCS0417"/>
    <x v="1"/>
    <x v="1"/>
  </r>
  <r>
    <n v="418"/>
    <s v="PBOR00422"/>
    <s v="PBOR00418"/>
    <x v="32"/>
    <x v="21"/>
    <x v="1"/>
    <s v="Yes"/>
    <s v="PBCS0418"/>
    <x v="2"/>
    <x v="1"/>
  </r>
  <r>
    <n v="419"/>
    <s v="PBOR00423"/>
    <s v="PBOR00419"/>
    <x v="33"/>
    <x v="22"/>
    <x v="1"/>
    <s v="Yes"/>
    <s v="PBCS0419"/>
    <x v="0"/>
    <x v="8"/>
  </r>
  <r>
    <n v="420"/>
    <s v="PBOR00424"/>
    <s v="PBOR00420"/>
    <x v="34"/>
    <x v="23"/>
    <x v="0"/>
    <s v="Yes"/>
    <s v="PBCS0420"/>
    <x v="1"/>
    <x v="1"/>
  </r>
  <r>
    <n v="421"/>
    <s v="PBOR00425"/>
    <s v="PBOR00421"/>
    <x v="35"/>
    <x v="24"/>
    <x v="1"/>
    <s v="Yes"/>
    <s v="PBCS0421"/>
    <x v="2"/>
    <x v="8"/>
  </r>
  <r>
    <n v="422"/>
    <s v="PBOR00426"/>
    <s v="PBOR00422"/>
    <x v="36"/>
    <x v="16"/>
    <x v="1"/>
    <s v="Yes"/>
    <s v="PBCS0422"/>
    <x v="0"/>
    <x v="0"/>
  </r>
  <r>
    <n v="423"/>
    <s v="PBOR00427"/>
    <s v="PBOR00423"/>
    <x v="0"/>
    <x v="25"/>
    <x v="0"/>
    <s v="No"/>
    <s v="PBCS0423"/>
    <x v="1"/>
    <x v="8"/>
  </r>
  <r>
    <n v="424"/>
    <s v="PBOR00428"/>
    <s v="PBOR00424"/>
    <x v="1"/>
    <x v="6"/>
    <x v="1"/>
    <s v="Yes"/>
    <s v="PBCS0424"/>
    <x v="2"/>
    <x v="2"/>
  </r>
  <r>
    <n v="425"/>
    <s v="PBOR00429"/>
    <s v="PBOR00425"/>
    <x v="2"/>
    <x v="2"/>
    <x v="0"/>
    <s v="Yes"/>
    <s v="PBCS0425"/>
    <x v="0"/>
    <x v="0"/>
  </r>
  <r>
    <n v="426"/>
    <s v="PBOR00430"/>
    <s v="PBOR00426"/>
    <x v="3"/>
    <x v="26"/>
    <x v="1"/>
    <s v="Yes"/>
    <s v="PBCS0426"/>
    <x v="1"/>
    <x v="0"/>
  </r>
  <r>
    <n v="427"/>
    <s v="PBOR00431"/>
    <s v="PBOR00427"/>
    <x v="4"/>
    <x v="4"/>
    <x v="0"/>
    <s v="Yes"/>
    <s v="PBCS0427"/>
    <x v="2"/>
    <x v="2"/>
  </r>
  <r>
    <n v="428"/>
    <s v="PBOR00432"/>
    <s v="PBOR00428"/>
    <x v="5"/>
    <x v="27"/>
    <x v="1"/>
    <s v="Yes"/>
    <s v="PBCS0428"/>
    <x v="0"/>
    <x v="1"/>
  </r>
  <r>
    <n v="429"/>
    <s v="PBOR00433"/>
    <s v="PBOR00429"/>
    <x v="6"/>
    <x v="15"/>
    <x v="2"/>
    <s v="No"/>
    <s v="PBCS0429"/>
    <x v="1"/>
    <x v="8"/>
  </r>
  <r>
    <n v="430"/>
    <s v="PBOR00434"/>
    <s v="PBOR00430"/>
    <x v="6"/>
    <x v="28"/>
    <x v="0"/>
    <s v="Yes"/>
    <s v="PBCS0430"/>
    <x v="2"/>
    <x v="2"/>
  </r>
  <r>
    <n v="431"/>
    <s v="PBOR00435"/>
    <s v="PBOR00431"/>
    <x v="7"/>
    <x v="8"/>
    <x v="1"/>
    <s v="Yes"/>
    <s v="PBCS0431"/>
    <x v="0"/>
    <x v="8"/>
  </r>
  <r>
    <n v="432"/>
    <s v="PBOR00436"/>
    <s v="PBOR00432"/>
    <x v="37"/>
    <x v="6"/>
    <x v="1"/>
    <s v="Yes"/>
    <s v="PBCS0432"/>
    <x v="1"/>
    <x v="1"/>
  </r>
  <r>
    <n v="433"/>
    <s v="PBOR00437"/>
    <s v="PBOR00433"/>
    <x v="8"/>
    <x v="27"/>
    <x v="0"/>
    <s v="Yes"/>
    <s v="PBCS0433"/>
    <x v="2"/>
    <x v="1"/>
  </r>
  <r>
    <n v="434"/>
    <s v="PBOR00438"/>
    <s v="PBOR00434"/>
    <x v="9"/>
    <x v="10"/>
    <x v="1"/>
    <s v="Yes"/>
    <s v="PBCS0434"/>
    <x v="0"/>
    <x v="8"/>
  </r>
  <r>
    <n v="435"/>
    <s v="PBOR00439"/>
    <s v="PBOR00435"/>
    <x v="10"/>
    <x v="29"/>
    <x v="0"/>
    <s v="Yes"/>
    <s v="PBCS0435"/>
    <x v="1"/>
    <x v="0"/>
  </r>
  <r>
    <n v="436"/>
    <s v="PBOR00440"/>
    <s v="PBOR00436"/>
    <x v="11"/>
    <x v="30"/>
    <x v="1"/>
    <s v="Yes"/>
    <s v="PBCS0436"/>
    <x v="2"/>
    <x v="0"/>
  </r>
  <r>
    <n v="437"/>
    <s v="PBOR00441"/>
    <s v="PBOR00437"/>
    <x v="36"/>
    <x v="31"/>
    <x v="1"/>
    <s v="Yes"/>
    <s v="PBCS0437"/>
    <x v="0"/>
    <x v="1"/>
  </r>
  <r>
    <n v="438"/>
    <s v="PBOR00442"/>
    <s v="PBOR00438"/>
    <x v="0"/>
    <x v="27"/>
    <x v="0"/>
    <s v="Yes"/>
    <s v="PBCS0438"/>
    <x v="1"/>
    <x v="8"/>
  </r>
  <r>
    <n v="439"/>
    <s v="PBOR00443"/>
    <s v="PBOR00439"/>
    <x v="1"/>
    <x v="29"/>
    <x v="1"/>
    <s v="Yes"/>
    <s v="PBCS0439"/>
    <x v="2"/>
    <x v="1"/>
  </r>
  <r>
    <n v="440"/>
    <s v="PBOR00444"/>
    <s v="PBOR00440"/>
    <x v="2"/>
    <x v="1"/>
    <x v="1"/>
    <s v="Yes"/>
    <s v="PBCS0440"/>
    <x v="0"/>
    <x v="1"/>
  </r>
  <r>
    <n v="441"/>
    <s v="PBOR00445"/>
    <s v="PBOR00441"/>
    <x v="3"/>
    <x v="11"/>
    <x v="0"/>
    <s v="Yes"/>
    <s v="PBCS0441"/>
    <x v="1"/>
    <x v="2"/>
  </r>
  <r>
    <n v="442"/>
    <s v="PBOR00446"/>
    <s v="PBOR00442"/>
    <x v="4"/>
    <x v="5"/>
    <x v="1"/>
    <s v="Yes"/>
    <s v="PBCS0442"/>
    <x v="2"/>
    <x v="1"/>
  </r>
  <r>
    <n v="443"/>
    <s v="PBOR00447"/>
    <s v="PBOR00443"/>
    <x v="5"/>
    <x v="2"/>
    <x v="0"/>
    <s v="Yes"/>
    <s v="PBCS0443"/>
    <x v="0"/>
    <x v="8"/>
  </r>
  <r>
    <n v="444"/>
    <s v="PBOR00448"/>
    <s v="PBOR00444"/>
    <x v="6"/>
    <x v="31"/>
    <x v="1"/>
    <s v="Yes"/>
    <s v="PBCS0444"/>
    <x v="1"/>
    <x v="1"/>
  </r>
  <r>
    <n v="445"/>
    <s v="PBOR00449"/>
    <s v="PBOR00445"/>
    <x v="6"/>
    <x v="3"/>
    <x v="0"/>
    <s v="Yes"/>
    <s v="PBCS0445"/>
    <x v="2"/>
    <x v="8"/>
  </r>
  <r>
    <n v="446"/>
    <s v="PBOR00450"/>
    <s v="PBOR00446"/>
    <x v="7"/>
    <x v="25"/>
    <x v="1"/>
    <s v="Yes"/>
    <s v="PBCS0446"/>
    <x v="0"/>
    <x v="1"/>
  </r>
  <r>
    <n v="447"/>
    <s v="PBOR00451"/>
    <s v="PBOR00447"/>
    <x v="5"/>
    <x v="7"/>
    <x v="2"/>
    <s v="Yes"/>
    <s v="PBCS0447"/>
    <x v="1"/>
    <x v="0"/>
  </r>
  <r>
    <n v="448"/>
    <s v="PBOR00452"/>
    <s v="PBOR00448"/>
    <x v="8"/>
    <x v="25"/>
    <x v="0"/>
    <s v="Yes"/>
    <s v="PBCS0448"/>
    <x v="2"/>
    <x v="1"/>
  </r>
  <r>
    <n v="449"/>
    <s v="PBOR00453"/>
    <s v="PBOR00449"/>
    <x v="9"/>
    <x v="32"/>
    <x v="1"/>
    <s v="Yes"/>
    <s v="PBCS0449"/>
    <x v="0"/>
    <x v="2"/>
  </r>
  <r>
    <n v="450"/>
    <s v="PBOR00454"/>
    <s v="PBOR00450"/>
    <x v="10"/>
    <x v="33"/>
    <x v="1"/>
    <s v="Yes"/>
    <s v="PBCS0450"/>
    <x v="0"/>
    <x v="8"/>
  </r>
  <r>
    <n v="451"/>
    <s v="PBOR00455"/>
    <s v="PBOR00451"/>
    <x v="11"/>
    <x v="33"/>
    <x v="0"/>
    <s v="No"/>
    <s v="PBCS0451"/>
    <x v="0"/>
    <x v="0"/>
  </r>
  <r>
    <n v="452"/>
    <s v="PBOR00456"/>
    <s v="PBOR00452"/>
    <x v="5"/>
    <x v="22"/>
    <x v="1"/>
    <s v="Yes"/>
    <s v="PBCS0452"/>
    <x v="1"/>
    <x v="1"/>
  </r>
  <r>
    <n v="453"/>
    <s v="PBOR00457"/>
    <s v="PBOR00453"/>
    <x v="12"/>
    <x v="34"/>
    <x v="0"/>
    <s v="Yes"/>
    <s v="PBCS0453"/>
    <x v="2"/>
    <x v="2"/>
  </r>
  <r>
    <n v="454"/>
    <s v="PBOR00458"/>
    <s v="PBOR00454"/>
    <x v="9"/>
    <x v="7"/>
    <x v="1"/>
    <s v="Yes"/>
    <s v="PBCS0454"/>
    <x v="0"/>
    <x v="1"/>
  </r>
  <r>
    <n v="455"/>
    <s v="PBOR00459"/>
    <s v="PBOR00455"/>
    <x v="4"/>
    <x v="3"/>
    <x v="1"/>
    <s v="Yes"/>
    <s v="PBCS0455"/>
    <x v="1"/>
    <x v="0"/>
  </r>
  <r>
    <n v="456"/>
    <s v="PBOR00460"/>
    <s v="PBOR00456"/>
    <x v="13"/>
    <x v="31"/>
    <x v="0"/>
    <s v="Yes"/>
    <s v="PBCS0456"/>
    <x v="2"/>
    <x v="8"/>
  </r>
  <r>
    <n v="457"/>
    <s v="PBOR00461"/>
    <s v="PBOR00457"/>
    <x v="14"/>
    <x v="4"/>
    <x v="1"/>
    <s v="No"/>
    <s v="PBCS0457"/>
    <x v="0"/>
    <x v="1"/>
  </r>
  <r>
    <n v="458"/>
    <s v="PBOR00462"/>
    <s v="PBOR00458"/>
    <x v="15"/>
    <x v="34"/>
    <x v="1"/>
    <s v="Yes"/>
    <s v="PBCS0458"/>
    <x v="1"/>
    <x v="1"/>
  </r>
  <r>
    <n v="459"/>
    <s v="PBOR00463"/>
    <s v="PBOR00459"/>
    <x v="16"/>
    <x v="13"/>
    <x v="0"/>
    <s v="Yes"/>
    <s v="PBCS0459"/>
    <x v="2"/>
    <x v="1"/>
  </r>
  <r>
    <n v="460"/>
    <s v="PBOR00464"/>
    <s v="PBOR00460"/>
    <x v="17"/>
    <x v="35"/>
    <x v="1"/>
    <s v="Yes"/>
    <s v="PBCS0460"/>
    <x v="0"/>
    <x v="0"/>
  </r>
  <r>
    <n v="461"/>
    <s v="PBOR00465"/>
    <s v="PBOR00461"/>
    <x v="18"/>
    <x v="2"/>
    <x v="0"/>
    <s v="Yes"/>
    <s v="PBCS0461"/>
    <x v="1"/>
    <x v="8"/>
  </r>
  <r>
    <n v="462"/>
    <s v="PBOR00466"/>
    <s v="PBOR00462"/>
    <x v="19"/>
    <x v="13"/>
    <x v="1"/>
    <s v="Yes"/>
    <s v="PBCS0462"/>
    <x v="2"/>
    <x v="1"/>
  </r>
  <r>
    <n v="463"/>
    <s v="PBOR00467"/>
    <s v="PBOR00463"/>
    <x v="20"/>
    <x v="18"/>
    <x v="0"/>
    <s v="Yes"/>
    <s v="PBCS0463"/>
    <x v="0"/>
    <x v="1"/>
  </r>
  <r>
    <n v="464"/>
    <s v="PBOR00468"/>
    <s v="PBOR00464"/>
    <x v="21"/>
    <x v="23"/>
    <x v="1"/>
    <s v="Yes"/>
    <s v="PBCS0464"/>
    <x v="1"/>
    <x v="2"/>
  </r>
  <r>
    <n v="465"/>
    <s v="PBOR00469"/>
    <s v="PBOR00465"/>
    <x v="22"/>
    <x v="36"/>
    <x v="2"/>
    <s v="Yes"/>
    <s v="PBCS0465"/>
    <x v="2"/>
    <x v="2"/>
  </r>
  <r>
    <n v="466"/>
    <s v="PBOR00470"/>
    <s v="PBOR00466"/>
    <x v="23"/>
    <x v="37"/>
    <x v="0"/>
    <s v="Yes"/>
    <s v="PBCS0466"/>
    <x v="0"/>
    <x v="8"/>
  </r>
  <r>
    <n v="467"/>
    <s v="PBOR00471"/>
    <s v="PBOR00467"/>
    <x v="24"/>
    <x v="4"/>
    <x v="1"/>
    <s v="Yes"/>
    <s v="PBCS0467"/>
    <x v="1"/>
    <x v="0"/>
  </r>
  <r>
    <n v="468"/>
    <s v="PBOR00472"/>
    <s v="PBOR00468"/>
    <x v="25"/>
    <x v="3"/>
    <x v="1"/>
    <s v="Yes"/>
    <s v="PBCS0468"/>
    <x v="2"/>
    <x v="0"/>
  </r>
  <r>
    <n v="469"/>
    <s v="PBOR00473"/>
    <s v="PBOR00469"/>
    <x v="26"/>
    <x v="35"/>
    <x v="0"/>
    <s v="Yes"/>
    <s v="PBCS0469"/>
    <x v="0"/>
    <x v="1"/>
  </r>
  <r>
    <n v="470"/>
    <s v="PBOR00474"/>
    <s v="PBOR00470"/>
    <x v="11"/>
    <x v="11"/>
    <x v="1"/>
    <s v="Yes"/>
    <s v="PBCS0470"/>
    <x v="1"/>
    <x v="8"/>
  </r>
  <r>
    <n v="471"/>
    <s v="PBOR00475"/>
    <s v="PBOR00471"/>
    <x v="17"/>
    <x v="10"/>
    <x v="0"/>
    <s v="Yes"/>
    <s v="PBCS0471"/>
    <x v="2"/>
    <x v="1"/>
  </r>
  <r>
    <n v="472"/>
    <s v="PBOR00476"/>
    <s v="PBOR00472"/>
    <x v="22"/>
    <x v="1"/>
    <x v="1"/>
    <s v="Yes"/>
    <s v="PBCS0472"/>
    <x v="0"/>
    <x v="1"/>
  </r>
  <r>
    <n v="473"/>
    <s v="PBOR00477"/>
    <s v="PBOR00473"/>
    <x v="4"/>
    <x v="17"/>
    <x v="1"/>
    <s v="Yes"/>
    <s v="PBCS0473"/>
    <x v="1"/>
    <x v="8"/>
  </r>
  <r>
    <n v="474"/>
    <s v="PBOR00478"/>
    <s v="PBOR00474"/>
    <x v="12"/>
    <x v="17"/>
    <x v="0"/>
    <s v="Yes"/>
    <s v="PBCS0474"/>
    <x v="2"/>
    <x v="1"/>
  </r>
  <r>
    <n v="475"/>
    <s v="PBOR00479"/>
    <s v="PBOR00475"/>
    <x v="24"/>
    <x v="37"/>
    <x v="1"/>
    <s v="Yes"/>
    <s v="PBCS0475"/>
    <x v="0"/>
    <x v="8"/>
  </r>
  <r>
    <n v="476"/>
    <s v="PBOR00480"/>
    <s v="PBOR00476"/>
    <x v="25"/>
    <x v="4"/>
    <x v="1"/>
    <s v="Yes"/>
    <s v="PBCS0476"/>
    <x v="1"/>
    <x v="0"/>
  </r>
  <r>
    <n v="477"/>
    <s v="PBOR00481"/>
    <s v="PBOR00477"/>
    <x v="27"/>
    <x v="2"/>
    <x v="0"/>
    <s v="Yes"/>
    <s v="PBCS0477"/>
    <x v="2"/>
    <x v="8"/>
  </r>
  <r>
    <n v="478"/>
    <s v="PBOR00482"/>
    <s v="PBOR00478"/>
    <x v="38"/>
    <x v="12"/>
    <x v="1"/>
    <s v="Yes"/>
    <s v="PBCS0478"/>
    <x v="0"/>
    <x v="1"/>
  </r>
  <r>
    <n v="479"/>
    <s v="PBOR00483"/>
    <s v="PBOR00479"/>
    <x v="28"/>
    <x v="0"/>
    <x v="0"/>
    <s v="No"/>
    <s v="PBCS0479"/>
    <x v="1"/>
    <x v="8"/>
  </r>
  <r>
    <n v="480"/>
    <s v="PBOR00484"/>
    <s v="PBOR00480"/>
    <x v="29"/>
    <x v="38"/>
    <x v="1"/>
    <s v="Yes"/>
    <s v="PBCS0480"/>
    <x v="2"/>
    <x v="8"/>
  </r>
  <r>
    <n v="481"/>
    <s v="PBOR00485"/>
    <s v="PBOR00481"/>
    <x v="30"/>
    <x v="1"/>
    <x v="0"/>
    <s v="Yes"/>
    <s v="PBCS0481"/>
    <x v="0"/>
    <x v="2"/>
  </r>
  <r>
    <n v="482"/>
    <s v="PBOR00486"/>
    <s v="PBOR00482"/>
    <x v="31"/>
    <x v="2"/>
    <x v="1"/>
    <s v="Yes"/>
    <s v="PBCS0482"/>
    <x v="1"/>
    <x v="8"/>
  </r>
  <r>
    <n v="483"/>
    <s v="PBOR00487"/>
    <s v="PBOR00483"/>
    <x v="32"/>
    <x v="5"/>
    <x v="1"/>
    <s v="Yes"/>
    <s v="PBCS0483"/>
    <x v="2"/>
    <x v="0"/>
  </r>
  <r>
    <n v="484"/>
    <s v="PBOR00488"/>
    <s v="PBOR00484"/>
    <x v="33"/>
    <x v="3"/>
    <x v="0"/>
    <s v="Yes"/>
    <s v="PBCS0484"/>
    <x v="0"/>
    <x v="0"/>
  </r>
  <r>
    <n v="485"/>
    <s v="PBOR00489"/>
    <s v="PBOR00485"/>
    <x v="16"/>
    <x v="36"/>
    <x v="1"/>
    <s v="No"/>
    <s v="PBCS0485"/>
    <x v="1"/>
    <x v="0"/>
  </r>
  <r>
    <n v="486"/>
    <s v="PBOR00490"/>
    <s v="PBOR00486"/>
    <x v="17"/>
    <x v="24"/>
    <x v="0"/>
    <s v="Yes"/>
    <s v="PBCS0486"/>
    <x v="2"/>
    <x v="8"/>
  </r>
  <r>
    <n v="487"/>
    <s v="PBOR00491"/>
    <s v="PBOR00487"/>
    <x v="18"/>
    <x v="21"/>
    <x v="1"/>
    <s v="Yes"/>
    <s v="PBCS0487"/>
    <x v="0"/>
    <x v="0"/>
  </r>
  <r>
    <n v="488"/>
    <s v="PBOR00492"/>
    <s v="PBOR00488"/>
    <x v="19"/>
    <x v="32"/>
    <x v="0"/>
    <s v="Yes"/>
    <s v="PBCS0488"/>
    <x v="1"/>
    <x v="8"/>
  </r>
  <r>
    <n v="489"/>
    <s v="PBOR00493"/>
    <s v="PBOR00489"/>
    <x v="20"/>
    <x v="4"/>
    <x v="1"/>
    <s v="Yes"/>
    <s v="PBCS0489"/>
    <x v="2"/>
    <x v="0"/>
  </r>
  <r>
    <n v="490"/>
    <s v="PBOR00494"/>
    <s v="PBOR00490"/>
    <x v="21"/>
    <x v="2"/>
    <x v="2"/>
    <s v="Yes"/>
    <s v="PBCS0490"/>
    <x v="0"/>
    <x v="2"/>
  </r>
  <r>
    <n v="491"/>
    <s v="PBOR00495"/>
    <s v="PBOR00491"/>
    <x v="22"/>
    <x v="27"/>
    <x v="0"/>
    <s v="Yes"/>
    <s v="PBCS0491"/>
    <x v="1"/>
    <x v="1"/>
  </r>
  <r>
    <n v="492"/>
    <s v="PBOR00496"/>
    <s v="PBOR00492"/>
    <x v="23"/>
    <x v="0"/>
    <x v="1"/>
    <s v="Yes"/>
    <s v="PBCS0492"/>
    <x v="2"/>
    <x v="8"/>
  </r>
  <r>
    <n v="493"/>
    <s v="PBOR00497"/>
    <s v="PBOR00493"/>
    <x v="24"/>
    <x v="1"/>
    <x v="1"/>
    <s v="Yes"/>
    <s v="PBCS0493"/>
    <x v="0"/>
    <x v="1"/>
  </r>
  <r>
    <n v="494"/>
    <s v="PBOR00498"/>
    <s v="PBOR00494"/>
    <x v="25"/>
    <x v="28"/>
    <x v="0"/>
    <s v="Yes"/>
    <s v="PBCS0494"/>
    <x v="1"/>
    <x v="2"/>
  </r>
  <r>
    <n v="495"/>
    <s v="PBOR00499"/>
    <s v="PBOR00495"/>
    <x v="0"/>
    <x v="8"/>
    <x v="1"/>
    <s v="Yes"/>
    <s v="PBCS0495"/>
    <x v="2"/>
    <x v="0"/>
  </r>
  <r>
    <n v="496"/>
    <s v="PBOR00500"/>
    <s v="PBOR00496"/>
    <x v="1"/>
    <x v="33"/>
    <x v="0"/>
    <s v="Yes"/>
    <s v="PBCS0496"/>
    <x v="0"/>
    <x v="0"/>
  </r>
  <r>
    <n v="497"/>
    <s v="PBOR00501"/>
    <s v="PBOR00497"/>
    <x v="2"/>
    <x v="14"/>
    <x v="1"/>
    <s v="Yes"/>
    <s v="PBCS0497"/>
    <x v="1"/>
    <x v="0"/>
  </r>
  <r>
    <n v="498"/>
    <s v="PBOR00502"/>
    <s v="PBOR00498"/>
    <x v="3"/>
    <x v="16"/>
    <x v="1"/>
    <s v="Yes"/>
    <s v="PBCS0498"/>
    <x v="2"/>
    <x v="0"/>
  </r>
  <r>
    <n v="499"/>
    <s v="PBOR00503"/>
    <s v="PBOR00499"/>
    <x v="4"/>
    <x v="17"/>
    <x v="0"/>
    <s v="Yes"/>
    <s v="PBCS0499"/>
    <x v="0"/>
    <x v="0"/>
  </r>
  <r>
    <n v="500"/>
    <s v="PBOR00504"/>
    <s v="PBOR00500"/>
    <x v="5"/>
    <x v="39"/>
    <x v="1"/>
    <s v="Yes"/>
    <s v="PBCS0500"/>
    <x v="0"/>
    <x v="1"/>
  </r>
  <r>
    <n v="501"/>
    <s v="PBOR00505"/>
    <s v="PBOR00501"/>
    <x v="0"/>
    <x v="40"/>
    <x v="0"/>
    <s v="Yes"/>
    <s v="PBCS0501"/>
    <x v="0"/>
    <x v="0"/>
  </r>
  <r>
    <n v="502"/>
    <s v="PBOR00506"/>
    <s v="PBOR00502"/>
    <x v="1"/>
    <x v="41"/>
    <x v="1"/>
    <s v="Yes"/>
    <s v="PBCS0502"/>
    <x v="1"/>
    <x v="1"/>
  </r>
  <r>
    <n v="503"/>
    <s v="PBOR00507"/>
    <s v="PBOR00503"/>
    <x v="2"/>
    <x v="42"/>
    <x v="2"/>
    <s v="No"/>
    <s v="PBCS0503"/>
    <x v="2"/>
    <x v="2"/>
  </r>
  <r>
    <n v="504"/>
    <s v="PBOR00508"/>
    <s v="PBOR00504"/>
    <x v="3"/>
    <x v="43"/>
    <x v="0"/>
    <s v="Yes"/>
    <s v="PBCS0504"/>
    <x v="0"/>
    <x v="3"/>
  </r>
  <r>
    <n v="505"/>
    <s v="PBOR00509"/>
    <s v="PBOR00505"/>
    <x v="4"/>
    <x v="44"/>
    <x v="1"/>
    <s v="Yes"/>
    <s v="PBCS0505"/>
    <x v="1"/>
    <x v="4"/>
  </r>
  <r>
    <n v="506"/>
    <s v="PBOR00510"/>
    <s v="PBOR00506"/>
    <x v="5"/>
    <x v="45"/>
    <x v="1"/>
    <s v="Yes"/>
    <s v="PBCS0506"/>
    <x v="2"/>
    <x v="5"/>
  </r>
  <r>
    <n v="507"/>
    <s v="PBOR00511"/>
    <s v="PBOR00507"/>
    <x v="6"/>
    <x v="46"/>
    <x v="0"/>
    <s v="Yes"/>
    <s v="PBCS0507"/>
    <x v="0"/>
    <x v="6"/>
  </r>
  <r>
    <n v="508"/>
    <s v="PBOR00512"/>
    <s v="PBOR00508"/>
    <x v="6"/>
    <x v="47"/>
    <x v="1"/>
    <s v="Yes"/>
    <s v="PBCS0508"/>
    <x v="1"/>
    <x v="0"/>
  </r>
  <r>
    <n v="509"/>
    <s v="PBOR00513"/>
    <s v="PBOR00509"/>
    <x v="7"/>
    <x v="48"/>
    <x v="1"/>
    <s v="No"/>
    <s v="PBCS0509"/>
    <x v="2"/>
    <x v="3"/>
  </r>
  <r>
    <n v="510"/>
    <s v="PBOR00514"/>
    <s v="PBOR00510"/>
    <x v="5"/>
    <x v="32"/>
    <x v="0"/>
    <s v="Yes"/>
    <s v="PBCS0510"/>
    <x v="0"/>
    <x v="0"/>
  </r>
  <r>
    <n v="511"/>
    <s v="PBOR00515"/>
    <s v="PBOR00511"/>
    <x v="8"/>
    <x v="49"/>
    <x v="1"/>
    <s v="Yes"/>
    <s v="PBCS0511"/>
    <x v="1"/>
    <x v="0"/>
  </r>
  <r>
    <n v="512"/>
    <s v="PBOR00516"/>
    <s v="PBOR00512"/>
    <x v="9"/>
    <x v="19"/>
    <x v="2"/>
    <s v="Yes"/>
    <s v="PBCS0512"/>
    <x v="2"/>
    <x v="7"/>
  </r>
  <r>
    <n v="513"/>
    <s v="PBOR00517"/>
    <s v="PBOR00513"/>
    <x v="10"/>
    <x v="50"/>
    <x v="0"/>
    <s v="Yes"/>
    <s v="PBCS0513"/>
    <x v="0"/>
    <x v="4"/>
  </r>
  <r>
    <n v="514"/>
    <s v="PBOR00518"/>
    <s v="PBOR00514"/>
    <x v="11"/>
    <x v="51"/>
    <x v="1"/>
    <s v="Yes"/>
    <s v="PBCS0514"/>
    <x v="1"/>
    <x v="7"/>
  </r>
  <r>
    <n v="515"/>
    <s v="PBOR00519"/>
    <s v="PBOR00515"/>
    <x v="5"/>
    <x v="29"/>
    <x v="2"/>
    <s v="No"/>
    <s v="PBCS0515"/>
    <x v="2"/>
    <x v="8"/>
  </r>
  <r>
    <n v="516"/>
    <s v="PBOR00520"/>
    <s v="PBOR00516"/>
    <x v="12"/>
    <x v="52"/>
    <x v="0"/>
    <s v="Yes"/>
    <s v="PBCS0516"/>
    <x v="0"/>
    <x v="7"/>
  </r>
  <r>
    <n v="517"/>
    <s v="PBOR00521"/>
    <s v="PBOR00517"/>
    <x v="9"/>
    <x v="26"/>
    <x v="1"/>
    <s v="Yes"/>
    <s v="PBCS0517"/>
    <x v="1"/>
    <x v="6"/>
  </r>
  <r>
    <n v="518"/>
    <s v="PBOR00522"/>
    <s v="PBOR00518"/>
    <x v="4"/>
    <x v="47"/>
    <x v="2"/>
    <s v="Yes"/>
    <s v="PBCS0518"/>
    <x v="2"/>
    <x v="9"/>
  </r>
  <r>
    <n v="519"/>
    <s v="PBOR00523"/>
    <s v="PBOR00519"/>
    <x v="13"/>
    <x v="46"/>
    <x v="0"/>
    <s v="Yes"/>
    <s v="PBCS0519"/>
    <x v="0"/>
    <x v="6"/>
  </r>
  <r>
    <n v="520"/>
    <s v="PBOR00524"/>
    <s v="PBOR00520"/>
    <x v="14"/>
    <x v="41"/>
    <x v="1"/>
    <s v="Yes"/>
    <s v="PBCS0520"/>
    <x v="1"/>
    <x v="9"/>
  </r>
  <r>
    <n v="521"/>
    <s v="PBOR00525"/>
    <s v="PBOR00521"/>
    <x v="15"/>
    <x v="53"/>
    <x v="1"/>
    <s v="No"/>
    <s v="PBCS0521"/>
    <x v="2"/>
    <x v="9"/>
  </r>
  <r>
    <n v="522"/>
    <s v="PBOR00526"/>
    <s v="PBOR00522"/>
    <x v="16"/>
    <x v="54"/>
    <x v="0"/>
    <s v="Yes"/>
    <s v="PBCS0522"/>
    <x v="0"/>
    <x v="7"/>
  </r>
  <r>
    <n v="523"/>
    <s v="PBOR00527"/>
    <s v="PBOR00523"/>
    <x v="17"/>
    <x v="32"/>
    <x v="1"/>
    <s v="Yes"/>
    <s v="PBCS0523"/>
    <x v="1"/>
    <x v="7"/>
  </r>
  <r>
    <n v="524"/>
    <s v="PBOR00528"/>
    <s v="PBOR00524"/>
    <x v="18"/>
    <x v="30"/>
    <x v="2"/>
    <s v="Yes"/>
    <s v="PBCS0524"/>
    <x v="2"/>
    <x v="1"/>
  </r>
  <r>
    <n v="525"/>
    <s v="PBOR00529"/>
    <s v="PBOR00525"/>
    <x v="19"/>
    <x v="55"/>
    <x v="0"/>
    <s v="Yes"/>
    <s v="PBCS0525"/>
    <x v="0"/>
    <x v="5"/>
  </r>
  <r>
    <n v="526"/>
    <s v="PBOR00530"/>
    <s v="PBOR00526"/>
    <x v="20"/>
    <x v="19"/>
    <x v="1"/>
    <s v="Yes"/>
    <s v="PBCS0526"/>
    <x v="1"/>
    <x v="7"/>
  </r>
  <r>
    <n v="527"/>
    <s v="PBOR00531"/>
    <s v="PBOR00527"/>
    <x v="21"/>
    <x v="39"/>
    <x v="2"/>
    <s v="No"/>
    <s v="PBCS0527"/>
    <x v="2"/>
    <x v="2"/>
  </r>
  <r>
    <n v="528"/>
    <s v="PBOR00532"/>
    <s v="PBOR00528"/>
    <x v="22"/>
    <x v="33"/>
    <x v="0"/>
    <s v="Yes"/>
    <s v="PBCS0528"/>
    <x v="0"/>
    <x v="4"/>
  </r>
  <r>
    <n v="529"/>
    <s v="PBOR00533"/>
    <s v="PBOR00529"/>
    <x v="23"/>
    <x v="40"/>
    <x v="1"/>
    <s v="Yes"/>
    <s v="PBCS0529"/>
    <x v="1"/>
    <x v="0"/>
  </r>
  <r>
    <n v="530"/>
    <s v="PBOR00534"/>
    <s v="PBOR00530"/>
    <x v="24"/>
    <x v="56"/>
    <x v="2"/>
    <s v="Yes"/>
    <s v="PBCS0530"/>
    <x v="2"/>
    <x v="3"/>
  </r>
  <r>
    <n v="531"/>
    <s v="PBOR00535"/>
    <s v="PBOR00531"/>
    <x v="25"/>
    <x v="57"/>
    <x v="0"/>
    <s v="Yes"/>
    <s v="PBCS0531"/>
    <x v="0"/>
    <x v="1"/>
  </r>
  <r>
    <n v="532"/>
    <s v="PBOR00536"/>
    <s v="PBOR00532"/>
    <x v="26"/>
    <x v="58"/>
    <x v="1"/>
    <s v="Yes"/>
    <s v="PBCS0532"/>
    <x v="1"/>
    <x v="0"/>
  </r>
  <r>
    <n v="533"/>
    <s v="PBOR00537"/>
    <s v="PBOR00533"/>
    <x v="11"/>
    <x v="59"/>
    <x v="1"/>
    <s v="No"/>
    <s v="PBCS0533"/>
    <x v="2"/>
    <x v="4"/>
  </r>
  <r>
    <n v="534"/>
    <s v="PBOR00538"/>
    <s v="PBOR00534"/>
    <x v="17"/>
    <x v="58"/>
    <x v="0"/>
    <s v="Yes"/>
    <s v="PBCS0534"/>
    <x v="0"/>
    <x v="0"/>
  </r>
  <r>
    <n v="535"/>
    <s v="PBOR00539"/>
    <s v="PBOR00535"/>
    <x v="22"/>
    <x v="30"/>
    <x v="1"/>
    <s v="Yes"/>
    <s v="PBCS0535"/>
    <x v="1"/>
    <x v="8"/>
  </r>
  <r>
    <n v="536"/>
    <s v="PBOR00540"/>
    <s v="PBOR00536"/>
    <x v="4"/>
    <x v="40"/>
    <x v="2"/>
    <s v="Yes"/>
    <s v="PBCS0536"/>
    <x v="2"/>
    <x v="6"/>
  </r>
  <r>
    <n v="537"/>
    <s v="PBOR00541"/>
    <s v="PBOR00537"/>
    <x v="12"/>
    <x v="57"/>
    <x v="0"/>
    <s v="Yes"/>
    <s v="PBCS0537"/>
    <x v="0"/>
    <x v="6"/>
  </r>
  <r>
    <n v="538"/>
    <s v="PBOR00542"/>
    <s v="PBOR00538"/>
    <x v="24"/>
    <x v="58"/>
    <x v="1"/>
    <s v="Yes"/>
    <s v="PBCS0538"/>
    <x v="1"/>
    <x v="8"/>
  </r>
  <r>
    <n v="539"/>
    <s v="PBOR00543"/>
    <s v="PBOR00539"/>
    <x v="25"/>
    <x v="60"/>
    <x v="1"/>
    <s v="No"/>
    <s v="PBCS0539"/>
    <x v="2"/>
    <x v="5"/>
  </r>
  <r>
    <n v="540"/>
    <s v="PBOR00544"/>
    <s v="PBOR00540"/>
    <x v="27"/>
    <x v="61"/>
    <x v="0"/>
    <s v="Yes"/>
    <s v="PBCS0540"/>
    <x v="0"/>
    <x v="1"/>
  </r>
  <r>
    <n v="541"/>
    <s v="PBOR00545"/>
    <s v="PBOR00541"/>
    <x v="8"/>
    <x v="56"/>
    <x v="1"/>
    <s v="Yes"/>
    <s v="PBCS0541"/>
    <x v="1"/>
    <x v="7"/>
  </r>
  <r>
    <n v="542"/>
    <s v="PBOR00546"/>
    <s v="PBOR00542"/>
    <x v="28"/>
    <x v="30"/>
    <x v="2"/>
    <s v="Yes"/>
    <s v="PBCS0542"/>
    <x v="2"/>
    <x v="3"/>
  </r>
  <r>
    <n v="543"/>
    <s v="PBOR00547"/>
    <s v="PBOR00543"/>
    <x v="29"/>
    <x v="43"/>
    <x v="0"/>
    <s v="Yes"/>
    <s v="PBCS0543"/>
    <x v="0"/>
    <x v="3"/>
  </r>
  <r>
    <n v="544"/>
    <s v="PBOR00548"/>
    <s v="PBOR00544"/>
    <x v="30"/>
    <x v="62"/>
    <x v="1"/>
    <s v="Yes"/>
    <s v="PBCS0544"/>
    <x v="1"/>
    <x v="9"/>
  </r>
  <r>
    <n v="545"/>
    <s v="PBOR00549"/>
    <s v="PBOR00545"/>
    <x v="31"/>
    <x v="51"/>
    <x v="2"/>
    <s v="No"/>
    <s v="PBCS0545"/>
    <x v="2"/>
    <x v="6"/>
  </r>
  <r>
    <n v="546"/>
    <s v="PBOR00550"/>
    <s v="PBOR00546"/>
    <x v="32"/>
    <x v="63"/>
    <x v="0"/>
    <s v="Yes"/>
    <s v="PBCS0546"/>
    <x v="0"/>
    <x v="0"/>
  </r>
  <r>
    <n v="547"/>
    <s v="PBOR00551"/>
    <s v="PBOR00547"/>
    <x v="33"/>
    <x v="64"/>
    <x v="1"/>
    <s v="Yes"/>
    <s v="PBCS0547"/>
    <x v="1"/>
    <x v="7"/>
  </r>
  <r>
    <n v="548"/>
    <s v="PBOR00552"/>
    <s v="PBOR00548"/>
    <x v="34"/>
    <x v="63"/>
    <x v="1"/>
    <s v="Yes"/>
    <s v="PBCS0548"/>
    <x v="2"/>
    <x v="5"/>
  </r>
  <r>
    <n v="549"/>
    <s v="PBOR00553"/>
    <s v="PBOR00549"/>
    <x v="35"/>
    <x v="61"/>
    <x v="0"/>
    <s v="Yes"/>
    <s v="PBCS0549"/>
    <x v="0"/>
    <x v="2"/>
  </r>
  <r>
    <n v="550"/>
    <s v="PBOR00554"/>
    <s v="PBOR00550"/>
    <x v="36"/>
    <x v="62"/>
    <x v="1"/>
    <s v="Yes"/>
    <s v="PBCS0550"/>
    <x v="0"/>
    <x v="3"/>
  </r>
  <r>
    <n v="551"/>
    <s v="PBOR00555"/>
    <s v="PBOR00551"/>
    <x v="0"/>
    <x v="19"/>
    <x v="0"/>
    <s v="Yes"/>
    <s v="PBCS0551"/>
    <x v="0"/>
    <x v="0"/>
  </r>
  <r>
    <n v="552"/>
    <s v="PBOR00556"/>
    <s v="PBOR00552"/>
    <x v="1"/>
    <x v="62"/>
    <x v="1"/>
    <s v="Yes"/>
    <s v="PBCS0552"/>
    <x v="1"/>
    <x v="1"/>
  </r>
  <r>
    <n v="553"/>
    <s v="PBOR00557"/>
    <s v="PBOR00553"/>
    <x v="2"/>
    <x v="43"/>
    <x v="2"/>
    <s v="No"/>
    <s v="PBCS0553"/>
    <x v="2"/>
    <x v="2"/>
  </r>
  <r>
    <n v="554"/>
    <s v="PBOR00558"/>
    <s v="PBOR00554"/>
    <x v="3"/>
    <x v="65"/>
    <x v="0"/>
    <s v="Yes"/>
    <s v="PBCS0554"/>
    <x v="0"/>
    <x v="3"/>
  </r>
  <r>
    <n v="555"/>
    <s v="PBOR00559"/>
    <s v="PBOR00555"/>
    <x v="4"/>
    <x v="57"/>
    <x v="1"/>
    <s v="Yes"/>
    <s v="PBCS0555"/>
    <x v="1"/>
    <x v="4"/>
  </r>
  <r>
    <n v="556"/>
    <s v="PBOR00560"/>
    <s v="PBOR00556"/>
    <x v="5"/>
    <x v="56"/>
    <x v="1"/>
    <s v="Yes"/>
    <s v="PBCS0556"/>
    <x v="2"/>
    <x v="5"/>
  </r>
  <r>
    <n v="557"/>
    <s v="PBOR00561"/>
    <s v="PBOR00557"/>
    <x v="6"/>
    <x v="66"/>
    <x v="0"/>
    <s v="Yes"/>
    <s v="PBCS0557"/>
    <x v="0"/>
    <x v="6"/>
  </r>
  <r>
    <n v="558"/>
    <s v="PBOR00562"/>
    <s v="PBOR00558"/>
    <x v="6"/>
    <x v="37"/>
    <x v="1"/>
    <s v="Yes"/>
    <s v="PBCS0558"/>
    <x v="1"/>
    <x v="0"/>
  </r>
  <r>
    <n v="559"/>
    <s v="PBOR00563"/>
    <s v="PBOR00559"/>
    <x v="7"/>
    <x v="45"/>
    <x v="0"/>
    <s v="No"/>
    <s v="PBCS0559"/>
    <x v="2"/>
    <x v="3"/>
  </r>
  <r>
    <n v="560"/>
    <s v="PBOR00564"/>
    <s v="PBOR00560"/>
    <x v="37"/>
    <x v="67"/>
    <x v="1"/>
    <s v="Yes"/>
    <s v="PBCS0560"/>
    <x v="0"/>
    <x v="0"/>
  </r>
  <r>
    <n v="561"/>
    <s v="PBOR00565"/>
    <s v="PBOR00561"/>
    <x v="8"/>
    <x v="43"/>
    <x v="1"/>
    <s v="Yes"/>
    <s v="PBCS0561"/>
    <x v="1"/>
    <x v="0"/>
  </r>
  <r>
    <n v="562"/>
    <s v="PBOR00566"/>
    <s v="PBOR00562"/>
    <x v="9"/>
    <x v="68"/>
    <x v="0"/>
    <s v="Yes"/>
    <s v="PBCS0562"/>
    <x v="2"/>
    <x v="7"/>
  </r>
  <r>
    <n v="563"/>
    <s v="PBOR00567"/>
    <s v="PBOR00563"/>
    <x v="10"/>
    <x v="69"/>
    <x v="1"/>
    <s v="Yes"/>
    <s v="PBCS0563"/>
    <x v="0"/>
    <x v="4"/>
  </r>
  <r>
    <n v="564"/>
    <s v="PBOR00568"/>
    <s v="PBOR00564"/>
    <x v="11"/>
    <x v="52"/>
    <x v="1"/>
    <s v="Yes"/>
    <s v="PBCS0564"/>
    <x v="1"/>
    <x v="7"/>
  </r>
  <r>
    <n v="565"/>
    <s v="PBOR00569"/>
    <s v="PBOR00565"/>
    <x v="36"/>
    <x v="19"/>
    <x v="0"/>
    <s v="No"/>
    <s v="PBCS0565"/>
    <x v="2"/>
    <x v="8"/>
  </r>
  <r>
    <n v="566"/>
    <s v="PBOR00570"/>
    <s v="PBOR00566"/>
    <x v="0"/>
    <x v="47"/>
    <x v="1"/>
    <s v="Yes"/>
    <s v="PBCS0566"/>
    <x v="0"/>
    <x v="7"/>
  </r>
  <r>
    <n v="567"/>
    <s v="PBOR00571"/>
    <s v="PBOR00567"/>
    <x v="1"/>
    <x v="70"/>
    <x v="0"/>
    <s v="Yes"/>
    <s v="PBCS0567"/>
    <x v="1"/>
    <x v="6"/>
  </r>
  <r>
    <n v="568"/>
    <s v="PBOR00572"/>
    <s v="PBOR00568"/>
    <x v="2"/>
    <x v="71"/>
    <x v="1"/>
    <s v="Yes"/>
    <s v="PBCS0568"/>
    <x v="2"/>
    <x v="9"/>
  </r>
  <r>
    <n v="569"/>
    <s v="PBOR00573"/>
    <s v="PBOR00569"/>
    <x v="3"/>
    <x v="58"/>
    <x v="0"/>
    <s v="Yes"/>
    <s v="PBCS0569"/>
    <x v="0"/>
    <x v="6"/>
  </r>
  <r>
    <n v="570"/>
    <s v="PBOR00574"/>
    <s v="PBOR00570"/>
    <x v="4"/>
    <x v="19"/>
    <x v="1"/>
    <s v="Yes"/>
    <s v="PBCS0570"/>
    <x v="1"/>
    <x v="9"/>
  </r>
  <r>
    <n v="571"/>
    <s v="PBOR00575"/>
    <s v="PBOR00571"/>
    <x v="5"/>
    <x v="32"/>
    <x v="2"/>
    <s v="No"/>
    <s v="PBCS0571"/>
    <x v="2"/>
    <x v="9"/>
  </r>
  <r>
    <n v="572"/>
    <s v="PBOR00576"/>
    <s v="PBOR00572"/>
    <x v="6"/>
    <x v="60"/>
    <x v="0"/>
    <s v="Yes"/>
    <s v="PBCS0572"/>
    <x v="0"/>
    <x v="7"/>
  </r>
  <r>
    <n v="573"/>
    <s v="PBOR00577"/>
    <s v="PBOR00573"/>
    <x v="6"/>
    <x v="21"/>
    <x v="1"/>
    <s v="Yes"/>
    <s v="PBCS0573"/>
    <x v="1"/>
    <x v="7"/>
  </r>
  <r>
    <n v="574"/>
    <s v="PBOR00578"/>
    <s v="PBOR00574"/>
    <x v="7"/>
    <x v="53"/>
    <x v="1"/>
    <s v="Yes"/>
    <s v="PBCS0574"/>
    <x v="2"/>
    <x v="1"/>
  </r>
  <r>
    <n v="575"/>
    <s v="PBOR00579"/>
    <s v="PBOR00575"/>
    <x v="5"/>
    <x v="72"/>
    <x v="0"/>
    <s v="Yes"/>
    <s v="PBCS0575"/>
    <x v="0"/>
    <x v="5"/>
  </r>
  <r>
    <n v="576"/>
    <s v="PBOR00580"/>
    <s v="PBOR00576"/>
    <x v="8"/>
    <x v="32"/>
    <x v="1"/>
    <s v="Yes"/>
    <s v="PBCS0576"/>
    <x v="1"/>
    <x v="7"/>
  </r>
  <r>
    <n v="577"/>
    <s v="PBOR00581"/>
    <s v="PBOR00577"/>
    <x v="9"/>
    <x v="73"/>
    <x v="0"/>
    <s v="No"/>
    <s v="PBCS0577"/>
    <x v="2"/>
    <x v="2"/>
  </r>
  <r>
    <n v="578"/>
    <s v="PBOR00582"/>
    <s v="PBOR00578"/>
    <x v="10"/>
    <x v="74"/>
    <x v="1"/>
    <s v="Yes"/>
    <s v="PBCS0578"/>
    <x v="0"/>
    <x v="4"/>
  </r>
  <r>
    <n v="579"/>
    <s v="PBOR00583"/>
    <s v="PBOR00579"/>
    <x v="11"/>
    <x v="75"/>
    <x v="1"/>
    <s v="Yes"/>
    <s v="PBCS0579"/>
    <x v="1"/>
    <x v="0"/>
  </r>
  <r>
    <n v="580"/>
    <s v="PBOR00584"/>
    <s v="PBOR00580"/>
    <x v="5"/>
    <x v="76"/>
    <x v="0"/>
    <s v="Yes"/>
    <s v="PBCS0580"/>
    <x v="2"/>
    <x v="3"/>
  </r>
  <r>
    <n v="581"/>
    <s v="PBOR00585"/>
    <s v="PBOR00581"/>
    <x v="12"/>
    <x v="61"/>
    <x v="1"/>
    <s v="Yes"/>
    <s v="PBCS0581"/>
    <x v="0"/>
    <x v="1"/>
  </r>
  <r>
    <n v="582"/>
    <s v="PBOR00586"/>
    <s v="PBOR00582"/>
    <x v="9"/>
    <x v="71"/>
    <x v="1"/>
    <s v="Yes"/>
    <s v="PBCS0582"/>
    <x v="1"/>
    <x v="0"/>
  </r>
  <r>
    <n v="583"/>
    <s v="PBOR00587"/>
    <s v="PBOR00583"/>
    <x v="4"/>
    <x v="59"/>
    <x v="0"/>
    <s v="No"/>
    <s v="PBCS0583"/>
    <x v="2"/>
    <x v="4"/>
  </r>
  <r>
    <n v="584"/>
    <s v="PBOR00588"/>
    <s v="PBOR00584"/>
    <x v="8"/>
    <x v="77"/>
    <x v="1"/>
    <s v="Yes"/>
    <s v="PBCS0584"/>
    <x v="0"/>
    <x v="0"/>
  </r>
  <r>
    <n v="585"/>
    <s v="PBOR00589"/>
    <s v="PBOR00585"/>
    <x v="14"/>
    <x v="19"/>
    <x v="0"/>
    <s v="Yes"/>
    <s v="PBCS0585"/>
    <x v="1"/>
    <x v="8"/>
  </r>
  <r>
    <n v="586"/>
    <s v="PBOR00590"/>
    <s v="PBOR00586"/>
    <x v="15"/>
    <x v="70"/>
    <x v="1"/>
    <s v="Yes"/>
    <s v="PBCS0586"/>
    <x v="2"/>
    <x v="6"/>
  </r>
  <r>
    <n v="587"/>
    <s v="PBOR00591"/>
    <s v="PBOR00587"/>
    <x v="16"/>
    <x v="46"/>
    <x v="0"/>
    <s v="Yes"/>
    <s v="PBCS0587"/>
    <x v="0"/>
    <x v="6"/>
  </r>
  <r>
    <n v="588"/>
    <s v="PBOR00592"/>
    <s v="PBOR00588"/>
    <x v="17"/>
    <x v="39"/>
    <x v="1"/>
    <s v="Yes"/>
    <s v="PBCS0588"/>
    <x v="1"/>
    <x v="8"/>
  </r>
  <r>
    <n v="589"/>
    <s v="PBOR00593"/>
    <s v="PBOR00589"/>
    <x v="18"/>
    <x v="39"/>
    <x v="2"/>
    <s v="No"/>
    <s v="PBCS0589"/>
    <x v="2"/>
    <x v="5"/>
  </r>
  <r>
    <n v="590"/>
    <s v="PBOR00594"/>
    <s v="PBOR00590"/>
    <x v="19"/>
    <x v="19"/>
    <x v="0"/>
    <s v="Yes"/>
    <s v="PBCS0590"/>
    <x v="0"/>
    <x v="1"/>
  </r>
  <r>
    <n v="591"/>
    <s v="PBOR00595"/>
    <s v="PBOR00591"/>
    <x v="20"/>
    <x v="26"/>
    <x v="1"/>
    <s v="Yes"/>
    <s v="PBCS0591"/>
    <x v="1"/>
    <x v="7"/>
  </r>
  <r>
    <n v="592"/>
    <s v="PBOR00596"/>
    <s v="PBOR00592"/>
    <x v="21"/>
    <x v="51"/>
    <x v="1"/>
    <s v="Yes"/>
    <s v="PBCS0592"/>
    <x v="2"/>
    <x v="3"/>
  </r>
  <r>
    <n v="593"/>
    <s v="PBOR00597"/>
    <s v="PBOR00593"/>
    <x v="22"/>
    <x v="51"/>
    <x v="0"/>
    <s v="Yes"/>
    <s v="PBCS0593"/>
    <x v="0"/>
    <x v="3"/>
  </r>
  <r>
    <n v="594"/>
    <s v="PBOR00598"/>
    <s v="PBOR00594"/>
    <x v="23"/>
    <x v="62"/>
    <x v="1"/>
    <s v="Yes"/>
    <s v="PBCS0594"/>
    <x v="1"/>
    <x v="9"/>
  </r>
  <r>
    <n v="595"/>
    <s v="PBOR00599"/>
    <s v="PBOR00595"/>
    <x v="24"/>
    <x v="54"/>
    <x v="0"/>
    <s v="No"/>
    <s v="PBCS0595"/>
    <x v="2"/>
    <x v="6"/>
  </r>
  <r>
    <n v="596"/>
    <s v="PBOR00600"/>
    <s v="PBOR00596"/>
    <x v="25"/>
    <x v="53"/>
    <x v="1"/>
    <s v="Yes"/>
    <s v="PBCS0596"/>
    <x v="0"/>
    <x v="0"/>
  </r>
  <r>
    <n v="597"/>
    <s v="PBOR00601"/>
    <s v="PBOR00597"/>
    <x v="26"/>
    <x v="53"/>
    <x v="1"/>
    <s v="Yes"/>
    <s v="PBCS0597"/>
    <x v="1"/>
    <x v="7"/>
  </r>
  <r>
    <n v="598"/>
    <s v="PBOR00602"/>
    <s v="PBOR00598"/>
    <x v="11"/>
    <x v="67"/>
    <x v="0"/>
    <s v="Yes"/>
    <s v="PBCS0598"/>
    <x v="2"/>
    <x v="5"/>
  </r>
  <r>
    <n v="599"/>
    <s v="PBOR00603"/>
    <s v="PBOR00599"/>
    <x v="17"/>
    <x v="30"/>
    <x v="1"/>
    <s v="Yes"/>
    <s v="PBCS0599"/>
    <x v="0"/>
    <x v="2"/>
  </r>
  <r>
    <n v="600"/>
    <s v="PBOR00604"/>
    <s v="PBOR00600"/>
    <x v="22"/>
    <x v="52"/>
    <x v="1"/>
    <s v="Yes"/>
    <s v="PBCS0600"/>
    <x v="0"/>
    <x v="3"/>
  </r>
  <r>
    <n v="601"/>
    <s v="PBOR00605"/>
    <s v="PBOR00601"/>
    <x v="4"/>
    <x v="66"/>
    <x v="0"/>
    <s v="Yes"/>
    <s v="PBCS0601"/>
    <x v="0"/>
    <x v="8"/>
  </r>
  <r>
    <n v="602"/>
    <s v="PBOR00606"/>
    <s v="PBOR00602"/>
    <x v="12"/>
    <x v="56"/>
    <x v="1"/>
    <s v="Yes"/>
    <s v="PBCS0602"/>
    <x v="1"/>
    <x v="0"/>
  </r>
  <r>
    <n v="603"/>
    <s v="PBOR00607"/>
    <s v="PBOR00603"/>
    <x v="24"/>
    <x v="53"/>
    <x v="0"/>
    <s v="Yes"/>
    <s v="PBCS0603"/>
    <x v="2"/>
    <x v="1"/>
  </r>
  <r>
    <n v="604"/>
    <s v="PBOR00608"/>
    <s v="PBOR00604"/>
    <x v="25"/>
    <x v="61"/>
    <x v="1"/>
    <s v="Yes"/>
    <s v="PBCS0604"/>
    <x v="0"/>
    <x v="1"/>
  </r>
  <r>
    <n v="605"/>
    <s v="PBOR00609"/>
    <s v="PBOR00605"/>
    <x v="27"/>
    <x v="66"/>
    <x v="0"/>
    <s v="Yes"/>
    <s v="PBCS0605"/>
    <x v="1"/>
    <x v="1"/>
  </r>
  <r>
    <n v="606"/>
    <s v="PBOR00610"/>
    <s v="PBOR00606"/>
    <x v="38"/>
    <x v="53"/>
    <x v="1"/>
    <s v="Yes"/>
    <s v="PBCS0606"/>
    <x v="2"/>
    <x v="1"/>
  </r>
  <r>
    <n v="607"/>
    <s v="PBOR00611"/>
    <s v="PBOR00607"/>
    <x v="28"/>
    <x v="44"/>
    <x v="2"/>
    <s v="Yes"/>
    <s v="PBCS0607"/>
    <x v="0"/>
    <x v="2"/>
  </r>
  <r>
    <n v="608"/>
    <s v="PBOR00612"/>
    <s v="PBOR00608"/>
    <x v="29"/>
    <x v="78"/>
    <x v="0"/>
    <s v="Yes"/>
    <s v="PBCS0608"/>
    <x v="1"/>
    <x v="8"/>
  </r>
  <r>
    <n v="609"/>
    <s v="PBOR00613"/>
    <s v="PBOR00609"/>
    <x v="30"/>
    <x v="41"/>
    <x v="1"/>
    <s v="Yes"/>
    <s v="PBCS0609"/>
    <x v="2"/>
    <x v="8"/>
  </r>
  <r>
    <n v="610"/>
    <s v="PBOR00614"/>
    <s v="PBOR00610"/>
    <x v="31"/>
    <x v="62"/>
    <x v="1"/>
    <s v="Yes"/>
    <s v="PBCS0610"/>
    <x v="0"/>
    <x v="8"/>
  </r>
  <r>
    <n v="611"/>
    <s v="PBOR00615"/>
    <s v="PBOR00611"/>
    <x v="32"/>
    <x v="72"/>
    <x v="0"/>
    <s v="Yes"/>
    <s v="PBCS0611"/>
    <x v="1"/>
    <x v="8"/>
  </r>
  <r>
    <n v="612"/>
    <s v="PBOR00616"/>
    <s v="PBOR00612"/>
    <x v="33"/>
    <x v="30"/>
    <x v="1"/>
    <s v="Yes"/>
    <s v="PBCS0612"/>
    <x v="2"/>
    <x v="2"/>
  </r>
  <r>
    <n v="613"/>
    <s v="PBOR00617"/>
    <s v="PBOR00613"/>
    <x v="16"/>
    <x v="69"/>
    <x v="0"/>
    <s v="Yes"/>
    <s v="PBCS0613"/>
    <x v="0"/>
    <x v="1"/>
  </r>
  <r>
    <n v="614"/>
    <s v="PBOR00618"/>
    <s v="PBOR00614"/>
    <x v="17"/>
    <x v="71"/>
    <x v="1"/>
    <s v="Yes"/>
    <s v="PBCS0614"/>
    <x v="1"/>
    <x v="1"/>
  </r>
  <r>
    <n v="615"/>
    <s v="PBOR00619"/>
    <s v="PBOR00615"/>
    <x v="18"/>
    <x v="67"/>
    <x v="1"/>
    <s v="Yes"/>
    <s v="PBCS0615"/>
    <x v="2"/>
    <x v="0"/>
  </r>
  <r>
    <n v="616"/>
    <s v="PBOR00620"/>
    <s v="PBOR00616"/>
    <x v="8"/>
    <x v="68"/>
    <x v="0"/>
    <s v="Yes"/>
    <s v="PBCS0616"/>
    <x v="0"/>
    <x v="2"/>
  </r>
  <r>
    <n v="617"/>
    <s v="PBOR00621"/>
    <s v="PBOR00617"/>
    <x v="20"/>
    <x v="48"/>
    <x v="1"/>
    <s v="No"/>
    <s v="PBCS0617"/>
    <x v="1"/>
    <x v="2"/>
  </r>
  <r>
    <n v="618"/>
    <s v="PBOR00622"/>
    <s v="PBOR00618"/>
    <x v="21"/>
    <x v="26"/>
    <x v="1"/>
    <s v="Yes"/>
    <s v="PBCS0618"/>
    <x v="2"/>
    <x v="1"/>
  </r>
  <r>
    <n v="619"/>
    <s v="PBOR00623"/>
    <s v="PBOR00619"/>
    <x v="22"/>
    <x v="76"/>
    <x v="0"/>
    <s v="Yes"/>
    <s v="PBCS0619"/>
    <x v="0"/>
    <x v="2"/>
  </r>
  <r>
    <n v="620"/>
    <s v="PBOR00624"/>
    <s v="PBOR00620"/>
    <x v="23"/>
    <x v="45"/>
    <x v="1"/>
    <s v="Yes"/>
    <s v="PBCS0620"/>
    <x v="1"/>
    <x v="2"/>
  </r>
  <r>
    <n v="621"/>
    <s v="PBOR00625"/>
    <s v="PBOR00621"/>
    <x v="24"/>
    <x v="63"/>
    <x v="0"/>
    <s v="Yes"/>
    <s v="PBCS0621"/>
    <x v="2"/>
    <x v="0"/>
  </r>
  <r>
    <n v="622"/>
    <s v="PBOR00626"/>
    <s v="PBOR00622"/>
    <x v="25"/>
    <x v="58"/>
    <x v="1"/>
    <s v="Yes"/>
    <s v="PBCS0622"/>
    <x v="0"/>
    <x v="0"/>
  </r>
  <r>
    <n v="623"/>
    <s v="PBOR00627"/>
    <s v="PBOR00623"/>
    <x v="0"/>
    <x v="62"/>
    <x v="0"/>
    <s v="No"/>
    <s v="PBCS0623"/>
    <x v="1"/>
    <x v="2"/>
  </r>
  <r>
    <n v="624"/>
    <s v="PBOR00628"/>
    <s v="PBOR00624"/>
    <x v="1"/>
    <x v="79"/>
    <x v="1"/>
    <s v="Yes"/>
    <s v="PBCS0624"/>
    <x v="2"/>
    <x v="2"/>
  </r>
  <r>
    <n v="625"/>
    <s v="PBOR00629"/>
    <s v="PBOR00625"/>
    <x v="2"/>
    <x v="70"/>
    <x v="2"/>
    <s v="Yes"/>
    <s v="PBCS0625"/>
    <x v="0"/>
    <x v="1"/>
  </r>
  <r>
    <n v="626"/>
    <s v="PBOR00630"/>
    <s v="PBOR00626"/>
    <x v="3"/>
    <x v="64"/>
    <x v="0"/>
    <s v="Yes"/>
    <s v="PBCS0626"/>
    <x v="1"/>
    <x v="2"/>
  </r>
  <r>
    <n v="627"/>
    <s v="PBOR00631"/>
    <s v="PBOR00627"/>
    <x v="4"/>
    <x v="37"/>
    <x v="1"/>
    <s v="Yes"/>
    <s v="PBCS0627"/>
    <x v="2"/>
    <x v="0"/>
  </r>
  <r>
    <n v="628"/>
    <s v="PBOR00632"/>
    <s v="PBOR00628"/>
    <x v="5"/>
    <x v="54"/>
    <x v="1"/>
    <s v="Yes"/>
    <s v="PBCS0628"/>
    <x v="0"/>
    <x v="1"/>
  </r>
  <r>
    <n v="629"/>
    <s v="PBOR00633"/>
    <s v="PBOR00629"/>
    <x v="6"/>
    <x v="40"/>
    <x v="0"/>
    <s v="Yes"/>
    <s v="PBCS0629"/>
    <x v="1"/>
    <x v="2"/>
  </r>
  <r>
    <n v="630"/>
    <s v="PBOR00634"/>
    <s v="PBOR00630"/>
    <x v="6"/>
    <x v="43"/>
    <x v="1"/>
    <s v="Yes"/>
    <s v="PBCS0630"/>
    <x v="2"/>
    <x v="0"/>
  </r>
  <r>
    <n v="631"/>
    <s v="PBOR00635"/>
    <s v="PBOR00631"/>
    <x v="7"/>
    <x v="50"/>
    <x v="0"/>
    <s v="Yes"/>
    <s v="PBCS0631"/>
    <x v="0"/>
    <x v="2"/>
  </r>
  <r>
    <n v="632"/>
    <s v="PBOR00636"/>
    <s v="PBOR00632"/>
    <x v="5"/>
    <x v="21"/>
    <x v="1"/>
    <s v="Yes"/>
    <s v="PBCS0632"/>
    <x v="1"/>
    <x v="1"/>
  </r>
  <r>
    <n v="633"/>
    <s v="PBOR00637"/>
    <s v="PBOR00633"/>
    <x v="8"/>
    <x v="80"/>
    <x v="1"/>
    <s v="Yes"/>
    <s v="PBCS0633"/>
    <x v="2"/>
    <x v="8"/>
  </r>
  <r>
    <n v="634"/>
    <s v="PBOR00638"/>
    <s v="PBOR00634"/>
    <x v="9"/>
    <x v="17"/>
    <x v="0"/>
    <s v="Yes"/>
    <s v="PBCS0634"/>
    <x v="0"/>
    <x v="1"/>
  </r>
  <r>
    <n v="635"/>
    <s v="PBOR00639"/>
    <s v="PBOR00635"/>
    <x v="10"/>
    <x v="48"/>
    <x v="1"/>
    <s v="Yes"/>
    <s v="PBCS0635"/>
    <x v="1"/>
    <x v="2"/>
  </r>
  <r>
    <n v="636"/>
    <s v="PBOR00640"/>
    <s v="PBOR00636"/>
    <x v="11"/>
    <x v="77"/>
    <x v="1"/>
    <s v="Yes"/>
    <s v="PBCS0636"/>
    <x v="2"/>
    <x v="1"/>
  </r>
  <r>
    <n v="637"/>
    <s v="PBOR00641"/>
    <s v="PBOR00637"/>
    <x v="5"/>
    <x v="40"/>
    <x v="0"/>
    <s v="Yes"/>
    <s v="PBCS0637"/>
    <x v="0"/>
    <x v="0"/>
  </r>
  <r>
    <n v="638"/>
    <s v="PBOR00642"/>
    <s v="PBOR00638"/>
    <x v="12"/>
    <x v="46"/>
    <x v="1"/>
    <s v="Yes"/>
    <s v="PBCS0638"/>
    <x v="1"/>
    <x v="2"/>
  </r>
  <r>
    <n v="639"/>
    <s v="PBOR00643"/>
    <s v="PBOR00639"/>
    <x v="9"/>
    <x v="26"/>
    <x v="0"/>
    <s v="Yes"/>
    <s v="PBCS0639"/>
    <x v="2"/>
    <x v="0"/>
  </r>
  <r>
    <n v="640"/>
    <s v="PBOR00644"/>
    <s v="PBOR00640"/>
    <x v="4"/>
    <x v="67"/>
    <x v="1"/>
    <s v="Yes"/>
    <s v="PBCS0640"/>
    <x v="0"/>
    <x v="0"/>
  </r>
  <r>
    <n v="641"/>
    <s v="PBOR00645"/>
    <s v="PBOR00641"/>
    <x v="13"/>
    <x v="29"/>
    <x v="0"/>
    <s v="Yes"/>
    <s v="PBCS0641"/>
    <x v="1"/>
    <x v="0"/>
  </r>
  <r>
    <n v="642"/>
    <s v="PBOR00646"/>
    <s v="PBOR00642"/>
    <x v="14"/>
    <x v="58"/>
    <x v="1"/>
    <s v="Yes"/>
    <s v="PBCS0642"/>
    <x v="2"/>
    <x v="0"/>
  </r>
  <r>
    <n v="643"/>
    <s v="PBOR00647"/>
    <s v="PBOR00643"/>
    <x v="15"/>
    <x v="48"/>
    <x v="2"/>
    <s v="Yes"/>
    <s v="PBCS0643"/>
    <x v="0"/>
    <x v="0"/>
  </r>
  <r>
    <n v="644"/>
    <s v="PBOR00648"/>
    <s v="PBOR00644"/>
    <x v="8"/>
    <x v="44"/>
    <x v="0"/>
    <s v="Yes"/>
    <s v="PBCS0644"/>
    <x v="1"/>
    <x v="2"/>
  </r>
  <r>
    <n v="645"/>
    <s v="PBOR00649"/>
    <s v="PBOR00645"/>
    <x v="17"/>
    <x v="81"/>
    <x v="1"/>
    <s v="No"/>
    <s v="PBCS0645"/>
    <x v="2"/>
    <x v="2"/>
  </r>
  <r>
    <n v="646"/>
    <s v="PBOR00650"/>
    <s v="PBOR00646"/>
    <x v="18"/>
    <x v="71"/>
    <x v="1"/>
    <s v="Yes"/>
    <s v="PBCS0646"/>
    <x v="0"/>
    <x v="1"/>
  </r>
  <r>
    <n v="647"/>
    <s v="PBOR00651"/>
    <s v="PBOR00647"/>
    <x v="19"/>
    <x v="70"/>
    <x v="0"/>
    <s v="Yes"/>
    <s v="PBCS0647"/>
    <x v="1"/>
    <x v="1"/>
  </r>
  <r>
    <n v="648"/>
    <s v="PBOR00652"/>
    <s v="PBOR00648"/>
    <x v="20"/>
    <x v="70"/>
    <x v="1"/>
    <s v="Yes"/>
    <s v="PBCS0648"/>
    <x v="2"/>
    <x v="0"/>
  </r>
  <r>
    <n v="649"/>
    <s v="PBOR00653"/>
    <s v="PBOR00649"/>
    <x v="21"/>
    <x v="73"/>
    <x v="0"/>
    <s v="Yes"/>
    <s v="PBCS0649"/>
    <x v="0"/>
    <x v="2"/>
  </r>
  <r>
    <n v="650"/>
    <s v="PBOR00654"/>
    <s v="PBOR00650"/>
    <x v="22"/>
    <x v="81"/>
    <x v="1"/>
    <s v="Yes"/>
    <s v="PBCS0650"/>
    <x v="0"/>
    <x v="2"/>
  </r>
  <r>
    <n v="651"/>
    <s v="PBOR00655"/>
    <s v="PBOR00651"/>
    <x v="23"/>
    <x v="29"/>
    <x v="1"/>
    <s v="No"/>
    <s v="PBCS0651"/>
    <x v="0"/>
    <x v="8"/>
  </r>
  <r>
    <n v="652"/>
    <s v="PBOR00656"/>
    <s v="PBOR00652"/>
    <x v="24"/>
    <x v="43"/>
    <x v="0"/>
    <s v="Yes"/>
    <s v="PBCS0652"/>
    <x v="1"/>
    <x v="2"/>
  </r>
  <r>
    <n v="653"/>
    <s v="PBOR00657"/>
    <s v="PBOR00653"/>
    <x v="25"/>
    <x v="40"/>
    <x v="1"/>
    <s v="Yes"/>
    <s v="PBCS0653"/>
    <x v="2"/>
    <x v="2"/>
  </r>
  <r>
    <n v="654"/>
    <s v="PBOR00658"/>
    <s v="PBOR00654"/>
    <x v="26"/>
    <x v="78"/>
    <x v="1"/>
    <s v="Yes"/>
    <s v="PBCS0654"/>
    <x v="0"/>
    <x v="2"/>
  </r>
  <r>
    <n v="655"/>
    <s v="PBOR00659"/>
    <s v="PBOR00655"/>
    <x v="11"/>
    <x v="43"/>
    <x v="0"/>
    <s v="Yes"/>
    <s v="PBCS0655"/>
    <x v="1"/>
    <x v="2"/>
  </r>
  <r>
    <n v="656"/>
    <s v="PBOR00660"/>
    <s v="PBOR00656"/>
    <x v="17"/>
    <x v="48"/>
    <x v="1"/>
    <s v="Yes"/>
    <s v="PBCS0656"/>
    <x v="2"/>
    <x v="1"/>
  </r>
  <r>
    <n v="657"/>
    <s v="PBOR00661"/>
    <s v="PBOR00657"/>
    <x v="22"/>
    <x v="42"/>
    <x v="0"/>
    <s v="Yes"/>
    <s v="PBCS0657"/>
    <x v="0"/>
    <x v="1"/>
  </r>
  <r>
    <n v="658"/>
    <s v="PBOR00662"/>
    <s v="PBOR00658"/>
    <x v="4"/>
    <x v="59"/>
    <x v="1"/>
    <s v="Yes"/>
    <s v="PBCS0658"/>
    <x v="1"/>
    <x v="0"/>
  </r>
  <r>
    <n v="659"/>
    <s v="PBOR00663"/>
    <s v="PBOR00659"/>
    <x v="12"/>
    <x v="61"/>
    <x v="0"/>
    <s v="Yes"/>
    <s v="PBCS0659"/>
    <x v="2"/>
    <x v="1"/>
  </r>
  <r>
    <n v="660"/>
    <s v="PBOR00664"/>
    <s v="PBOR00660"/>
    <x v="24"/>
    <x v="77"/>
    <x v="1"/>
    <s v="Yes"/>
    <s v="PBCS0660"/>
    <x v="0"/>
    <x v="0"/>
  </r>
  <r>
    <n v="661"/>
    <s v="PBOR00665"/>
    <s v="PBOR00661"/>
    <x v="25"/>
    <x v="69"/>
    <x v="2"/>
    <s v="Yes"/>
    <s v="PBCS0661"/>
    <x v="1"/>
    <x v="8"/>
  </r>
  <r>
    <n v="662"/>
    <s v="PBOR00666"/>
    <s v="PBOR00662"/>
    <x v="27"/>
    <x v="19"/>
    <x v="0"/>
    <s v="Yes"/>
    <s v="PBCS0662"/>
    <x v="2"/>
    <x v="1"/>
  </r>
  <r>
    <n v="663"/>
    <s v="PBOR00667"/>
    <s v="PBOR00663"/>
    <x v="38"/>
    <x v="46"/>
    <x v="1"/>
    <s v="Yes"/>
    <s v="PBCS0663"/>
    <x v="0"/>
    <x v="8"/>
  </r>
  <r>
    <n v="664"/>
    <s v="PBOR00668"/>
    <s v="PBOR00664"/>
    <x v="28"/>
    <x v="69"/>
    <x v="1"/>
    <s v="Yes"/>
    <s v="PBCS0664"/>
    <x v="1"/>
    <x v="0"/>
  </r>
  <r>
    <n v="665"/>
    <s v="PBOR00669"/>
    <s v="PBOR00665"/>
    <x v="29"/>
    <x v="54"/>
    <x v="0"/>
    <s v="Yes"/>
    <s v="PBCS0665"/>
    <x v="2"/>
    <x v="2"/>
  </r>
  <r>
    <n v="666"/>
    <s v="PBOR00670"/>
    <s v="PBOR00666"/>
    <x v="30"/>
    <x v="71"/>
    <x v="1"/>
    <s v="Yes"/>
    <s v="PBCS0666"/>
    <x v="0"/>
    <x v="1"/>
  </r>
  <r>
    <n v="667"/>
    <s v="PBOR00671"/>
    <s v="PBOR00667"/>
    <x v="8"/>
    <x v="48"/>
    <x v="0"/>
    <s v="Yes"/>
    <s v="PBCS0667"/>
    <x v="1"/>
    <x v="1"/>
  </r>
  <r>
    <n v="668"/>
    <s v="PBOR00672"/>
    <s v="PBOR00668"/>
    <x v="32"/>
    <x v="37"/>
    <x v="1"/>
    <s v="Yes"/>
    <s v="PBCS0668"/>
    <x v="2"/>
    <x v="1"/>
  </r>
  <r>
    <n v="669"/>
    <s v="PBOR00673"/>
    <s v="PBOR00669"/>
    <x v="33"/>
    <x v="49"/>
    <x v="1"/>
    <s v="Yes"/>
    <s v="PBCS0669"/>
    <x v="0"/>
    <x v="8"/>
  </r>
  <r>
    <n v="670"/>
    <s v="PBOR00674"/>
    <s v="PBOR00670"/>
    <x v="34"/>
    <x v="50"/>
    <x v="0"/>
    <s v="Yes"/>
    <s v="PBCS0670"/>
    <x v="1"/>
    <x v="1"/>
  </r>
  <r>
    <n v="671"/>
    <s v="PBOR00675"/>
    <s v="PBOR00671"/>
    <x v="35"/>
    <x v="67"/>
    <x v="1"/>
    <s v="Yes"/>
    <s v="PBCS0671"/>
    <x v="2"/>
    <x v="8"/>
  </r>
  <r>
    <n v="672"/>
    <s v="PBOR00676"/>
    <s v="PBOR00672"/>
    <x v="36"/>
    <x v="68"/>
    <x v="1"/>
    <s v="Yes"/>
    <s v="PBCS0672"/>
    <x v="0"/>
    <x v="0"/>
  </r>
  <r>
    <n v="673"/>
    <s v="PBOR00677"/>
    <s v="PBOR00673"/>
    <x v="0"/>
    <x v="68"/>
    <x v="0"/>
    <s v="No"/>
    <s v="PBCS0673"/>
    <x v="1"/>
    <x v="8"/>
  </r>
  <r>
    <n v="674"/>
    <s v="PBOR00678"/>
    <s v="PBOR00674"/>
    <x v="1"/>
    <x v="47"/>
    <x v="1"/>
    <s v="Yes"/>
    <s v="PBCS0674"/>
    <x v="2"/>
    <x v="2"/>
  </r>
  <r>
    <n v="675"/>
    <s v="PBOR00679"/>
    <s v="PBOR00675"/>
    <x v="2"/>
    <x v="69"/>
    <x v="0"/>
    <s v="Yes"/>
    <s v="PBCS0675"/>
    <x v="0"/>
    <x v="0"/>
  </r>
  <r>
    <n v="676"/>
    <s v="PBOR00680"/>
    <s v="PBOR00676"/>
    <x v="3"/>
    <x v="77"/>
    <x v="1"/>
    <s v="Yes"/>
    <s v="PBCS0676"/>
    <x v="1"/>
    <x v="0"/>
  </r>
  <r>
    <n v="677"/>
    <s v="PBOR00681"/>
    <s v="PBOR00677"/>
    <x v="4"/>
    <x v="41"/>
    <x v="0"/>
    <s v="Yes"/>
    <s v="PBCS0677"/>
    <x v="2"/>
    <x v="2"/>
  </r>
  <r>
    <n v="678"/>
    <s v="PBOR00682"/>
    <s v="PBOR00678"/>
    <x v="5"/>
    <x v="69"/>
    <x v="1"/>
    <s v="Yes"/>
    <s v="PBCS0678"/>
    <x v="0"/>
    <x v="1"/>
  </r>
  <r>
    <n v="679"/>
    <s v="PBOR00683"/>
    <s v="PBOR00679"/>
    <x v="6"/>
    <x v="63"/>
    <x v="2"/>
    <s v="No"/>
    <s v="PBCS0679"/>
    <x v="1"/>
    <x v="8"/>
  </r>
  <r>
    <n v="680"/>
    <s v="PBOR00684"/>
    <s v="PBOR00680"/>
    <x v="6"/>
    <x v="41"/>
    <x v="0"/>
    <s v="Yes"/>
    <s v="PBCS0680"/>
    <x v="2"/>
    <x v="2"/>
  </r>
  <r>
    <n v="681"/>
    <s v="PBOR00685"/>
    <s v="PBOR00681"/>
    <x v="7"/>
    <x v="45"/>
    <x v="1"/>
    <s v="Yes"/>
    <s v="PBCS0681"/>
    <x v="0"/>
    <x v="8"/>
  </r>
  <r>
    <n v="682"/>
    <s v="PBOR00686"/>
    <s v="PBOR00682"/>
    <x v="37"/>
    <x v="57"/>
    <x v="1"/>
    <s v="Yes"/>
    <s v="PBCS0682"/>
    <x v="1"/>
    <x v="1"/>
  </r>
  <r>
    <n v="683"/>
    <s v="PBOR00687"/>
    <s v="PBOR00683"/>
    <x v="8"/>
    <x v="64"/>
    <x v="0"/>
    <s v="Yes"/>
    <s v="PBCS0683"/>
    <x v="2"/>
    <x v="1"/>
  </r>
  <r>
    <n v="684"/>
    <s v="PBOR00688"/>
    <s v="PBOR00684"/>
    <x v="9"/>
    <x v="33"/>
    <x v="1"/>
    <s v="Yes"/>
    <s v="PBCS0684"/>
    <x v="0"/>
    <x v="8"/>
  </r>
  <r>
    <n v="685"/>
    <s v="PBOR00689"/>
    <s v="PBOR00685"/>
    <x v="10"/>
    <x v="40"/>
    <x v="0"/>
    <s v="Yes"/>
    <s v="PBCS0685"/>
    <x v="1"/>
    <x v="0"/>
  </r>
  <r>
    <n v="686"/>
    <s v="PBOR00690"/>
    <s v="PBOR00686"/>
    <x v="11"/>
    <x v="70"/>
    <x v="1"/>
    <s v="Yes"/>
    <s v="PBCS0686"/>
    <x v="2"/>
    <x v="0"/>
  </r>
  <r>
    <n v="687"/>
    <s v="PBOR00691"/>
    <s v="PBOR00687"/>
    <x v="36"/>
    <x v="55"/>
    <x v="1"/>
    <s v="Yes"/>
    <s v="PBCS0687"/>
    <x v="0"/>
    <x v="1"/>
  </r>
  <r>
    <n v="688"/>
    <s v="PBOR00692"/>
    <s v="PBOR00688"/>
    <x v="0"/>
    <x v="48"/>
    <x v="0"/>
    <s v="Yes"/>
    <s v="PBCS0688"/>
    <x v="1"/>
    <x v="8"/>
  </r>
  <r>
    <n v="689"/>
    <s v="PBOR00693"/>
    <s v="PBOR00689"/>
    <x v="1"/>
    <x v="78"/>
    <x v="1"/>
    <s v="Yes"/>
    <s v="PBCS0689"/>
    <x v="2"/>
    <x v="1"/>
  </r>
  <r>
    <n v="690"/>
    <s v="PBOR00694"/>
    <s v="PBOR00690"/>
    <x v="2"/>
    <x v="65"/>
    <x v="1"/>
    <s v="Yes"/>
    <s v="PBCS0690"/>
    <x v="0"/>
    <x v="1"/>
  </r>
  <r>
    <n v="691"/>
    <s v="PBOR00695"/>
    <s v="PBOR00691"/>
    <x v="3"/>
    <x v="80"/>
    <x v="0"/>
    <s v="Yes"/>
    <s v="PBCS0691"/>
    <x v="1"/>
    <x v="2"/>
  </r>
  <r>
    <n v="692"/>
    <s v="PBOR00696"/>
    <s v="PBOR00692"/>
    <x v="4"/>
    <x v="42"/>
    <x v="1"/>
    <s v="Yes"/>
    <s v="PBCS0692"/>
    <x v="2"/>
    <x v="1"/>
  </r>
  <r>
    <n v="693"/>
    <s v="PBOR00697"/>
    <s v="PBOR00693"/>
    <x v="5"/>
    <x v="21"/>
    <x v="0"/>
    <s v="Yes"/>
    <s v="PBCS0693"/>
    <x v="0"/>
    <x v="8"/>
  </r>
  <r>
    <n v="694"/>
    <s v="PBOR00698"/>
    <s v="PBOR00694"/>
    <x v="6"/>
    <x v="30"/>
    <x v="1"/>
    <s v="Yes"/>
    <s v="PBCS0694"/>
    <x v="1"/>
    <x v="1"/>
  </r>
  <r>
    <n v="695"/>
    <s v="PBOR00699"/>
    <s v="PBOR00695"/>
    <x v="6"/>
    <x v="17"/>
    <x v="0"/>
    <s v="Yes"/>
    <s v="PBCS0695"/>
    <x v="2"/>
    <x v="8"/>
  </r>
  <r>
    <n v="696"/>
    <s v="PBOR00700"/>
    <s v="PBOR00696"/>
    <x v="7"/>
    <x v="48"/>
    <x v="1"/>
    <s v="Yes"/>
    <s v="PBCS0696"/>
    <x v="0"/>
    <x v="1"/>
  </r>
  <r>
    <n v="697"/>
    <s v="PBOR00701"/>
    <s v="PBOR00697"/>
    <x v="5"/>
    <x v="17"/>
    <x v="2"/>
    <s v="Yes"/>
    <s v="PBCS0697"/>
    <x v="1"/>
    <x v="0"/>
  </r>
  <r>
    <n v="698"/>
    <s v="PBOR00702"/>
    <s v="PBOR00698"/>
    <x v="8"/>
    <x v="75"/>
    <x v="0"/>
    <s v="Yes"/>
    <s v="PBCS0698"/>
    <x v="2"/>
    <x v="1"/>
  </r>
  <r>
    <n v="699"/>
    <s v="PBOR00703"/>
    <s v="PBOR00699"/>
    <x v="9"/>
    <x v="44"/>
    <x v="1"/>
    <s v="Yes"/>
    <s v="PBCS0699"/>
    <x v="0"/>
    <x v="2"/>
  </r>
  <r>
    <n v="700"/>
    <s v="PBOR00704"/>
    <s v="PBOR00700"/>
    <x v="10"/>
    <x v="41"/>
    <x v="1"/>
    <s v="Yes"/>
    <s v="PBCS0700"/>
    <x v="0"/>
    <x v="8"/>
  </r>
  <r>
    <n v="701"/>
    <s v="PBOR00705"/>
    <s v="PBOR00701"/>
    <x v="11"/>
    <x v="37"/>
    <x v="0"/>
    <s v="No"/>
    <s v="PBCS0701"/>
    <x v="0"/>
    <x v="0"/>
  </r>
  <r>
    <n v="702"/>
    <s v="PBOR00706"/>
    <s v="PBOR00702"/>
    <x v="5"/>
    <x v="65"/>
    <x v="1"/>
    <s v="Yes"/>
    <s v="PBCS0702"/>
    <x v="1"/>
    <x v="1"/>
  </r>
  <r>
    <n v="703"/>
    <s v="PBOR00707"/>
    <s v="PBOR00703"/>
    <x v="12"/>
    <x v="40"/>
    <x v="0"/>
    <s v="Yes"/>
    <s v="PBCS0703"/>
    <x v="2"/>
    <x v="2"/>
  </r>
  <r>
    <n v="704"/>
    <s v="PBOR00708"/>
    <s v="PBOR00704"/>
    <x v="9"/>
    <x v="26"/>
    <x v="1"/>
    <s v="Yes"/>
    <s v="PBCS0704"/>
    <x v="0"/>
    <x v="1"/>
  </r>
  <r>
    <n v="705"/>
    <s v="PBOR00709"/>
    <s v="PBOR00705"/>
    <x v="4"/>
    <x v="46"/>
    <x v="1"/>
    <s v="Yes"/>
    <s v="PBCS0705"/>
    <x v="1"/>
    <x v="0"/>
  </r>
  <r>
    <n v="706"/>
    <s v="PBOR00710"/>
    <s v="PBOR00706"/>
    <x v="13"/>
    <x v="82"/>
    <x v="0"/>
    <s v="Yes"/>
    <s v="PBCS0706"/>
    <x v="2"/>
    <x v="8"/>
  </r>
  <r>
    <n v="707"/>
    <s v="PBOR00711"/>
    <s v="PBOR00707"/>
    <x v="14"/>
    <x v="56"/>
    <x v="1"/>
    <s v="No"/>
    <s v="PBCS0707"/>
    <x v="0"/>
    <x v="1"/>
  </r>
  <r>
    <n v="708"/>
    <s v="PBOR00712"/>
    <s v="PBOR00708"/>
    <x v="15"/>
    <x v="62"/>
    <x v="1"/>
    <s v="Yes"/>
    <s v="PBCS0708"/>
    <x v="1"/>
    <x v="1"/>
  </r>
  <r>
    <n v="709"/>
    <s v="PBOR00713"/>
    <s v="PBOR00709"/>
    <x v="16"/>
    <x v="74"/>
    <x v="0"/>
    <s v="Yes"/>
    <s v="PBCS0709"/>
    <x v="2"/>
    <x v="1"/>
  </r>
  <r>
    <n v="710"/>
    <s v="PBOR00714"/>
    <s v="PBOR00710"/>
    <x v="17"/>
    <x v="26"/>
    <x v="1"/>
    <s v="Yes"/>
    <s v="PBCS0710"/>
    <x v="0"/>
    <x v="0"/>
  </r>
  <r>
    <n v="711"/>
    <s v="PBOR00715"/>
    <s v="PBOR00711"/>
    <x v="18"/>
    <x v="43"/>
    <x v="0"/>
    <s v="Yes"/>
    <s v="PBCS0711"/>
    <x v="1"/>
    <x v="8"/>
  </r>
  <r>
    <n v="712"/>
    <s v="PBOR00716"/>
    <s v="PBOR00712"/>
    <x v="19"/>
    <x v="57"/>
    <x v="1"/>
    <s v="Yes"/>
    <s v="PBCS0712"/>
    <x v="2"/>
    <x v="1"/>
  </r>
  <r>
    <n v="713"/>
    <s v="PBOR00717"/>
    <s v="PBOR00713"/>
    <x v="20"/>
    <x v="40"/>
    <x v="0"/>
    <s v="Yes"/>
    <s v="PBCS0713"/>
    <x v="0"/>
    <x v="1"/>
  </r>
  <r>
    <n v="714"/>
    <s v="PBOR00718"/>
    <s v="PBOR00714"/>
    <x v="21"/>
    <x v="32"/>
    <x v="1"/>
    <s v="Yes"/>
    <s v="PBCS0714"/>
    <x v="1"/>
    <x v="2"/>
  </r>
  <r>
    <n v="715"/>
    <s v="PBOR00719"/>
    <s v="PBOR00715"/>
    <x v="22"/>
    <x v="33"/>
    <x v="2"/>
    <s v="Yes"/>
    <s v="PBCS0715"/>
    <x v="2"/>
    <x v="2"/>
  </r>
  <r>
    <n v="716"/>
    <s v="PBOR00720"/>
    <s v="PBOR00716"/>
    <x v="23"/>
    <x v="49"/>
    <x v="0"/>
    <s v="Yes"/>
    <s v="PBCS0716"/>
    <x v="0"/>
    <x v="8"/>
  </r>
  <r>
    <n v="717"/>
    <s v="PBOR00721"/>
    <s v="PBOR00717"/>
    <x v="24"/>
    <x v="33"/>
    <x v="1"/>
    <s v="Yes"/>
    <s v="PBCS0717"/>
    <x v="1"/>
    <x v="0"/>
  </r>
  <r>
    <n v="718"/>
    <s v="PBOR00722"/>
    <s v="PBOR00718"/>
    <x v="25"/>
    <x v="79"/>
    <x v="1"/>
    <s v="Yes"/>
    <s v="PBCS0718"/>
    <x v="2"/>
    <x v="0"/>
  </r>
  <r>
    <n v="719"/>
    <s v="PBOR00723"/>
    <s v="PBOR00719"/>
    <x v="26"/>
    <x v="82"/>
    <x v="0"/>
    <s v="Yes"/>
    <s v="PBCS0719"/>
    <x v="0"/>
    <x v="1"/>
  </r>
  <r>
    <n v="720"/>
    <s v="PBOR00724"/>
    <s v="PBOR00720"/>
    <x v="11"/>
    <x v="42"/>
    <x v="1"/>
    <s v="Yes"/>
    <s v="PBCS0720"/>
    <x v="1"/>
    <x v="8"/>
  </r>
  <r>
    <n v="721"/>
    <s v="PBOR00725"/>
    <s v="PBOR00721"/>
    <x v="17"/>
    <x v="58"/>
    <x v="0"/>
    <s v="Yes"/>
    <s v="PBCS0721"/>
    <x v="2"/>
    <x v="1"/>
  </r>
  <r>
    <n v="722"/>
    <s v="PBOR00726"/>
    <s v="PBOR00722"/>
    <x v="22"/>
    <x v="63"/>
    <x v="1"/>
    <s v="Yes"/>
    <s v="PBCS0722"/>
    <x v="0"/>
    <x v="1"/>
  </r>
  <r>
    <n v="723"/>
    <s v="PBOR00727"/>
    <s v="PBOR00723"/>
    <x v="4"/>
    <x v="72"/>
    <x v="1"/>
    <s v="Yes"/>
    <s v="PBCS0723"/>
    <x v="1"/>
    <x v="8"/>
  </r>
  <r>
    <n v="724"/>
    <s v="PBOR00728"/>
    <s v="PBOR00724"/>
    <x v="12"/>
    <x v="79"/>
    <x v="0"/>
    <s v="Yes"/>
    <s v="PBCS0724"/>
    <x v="2"/>
    <x v="1"/>
  </r>
  <r>
    <n v="725"/>
    <s v="PBOR00729"/>
    <s v="PBOR00725"/>
    <x v="24"/>
    <x v="17"/>
    <x v="1"/>
    <s v="Yes"/>
    <s v="PBCS0725"/>
    <x v="0"/>
    <x v="8"/>
  </r>
  <r>
    <n v="726"/>
    <s v="PBOR00730"/>
    <s v="PBOR00726"/>
    <x v="25"/>
    <x v="52"/>
    <x v="1"/>
    <s v="Yes"/>
    <s v="PBCS0726"/>
    <x v="1"/>
    <x v="0"/>
  </r>
  <r>
    <n v="727"/>
    <s v="PBOR00731"/>
    <s v="PBOR00727"/>
    <x v="27"/>
    <x v="74"/>
    <x v="0"/>
    <s v="Yes"/>
    <s v="PBCS0727"/>
    <x v="2"/>
    <x v="8"/>
  </r>
  <r>
    <n v="728"/>
    <s v="PBOR00732"/>
    <s v="PBOR00728"/>
    <x v="38"/>
    <x v="75"/>
    <x v="1"/>
    <s v="Yes"/>
    <s v="PBCS0728"/>
    <x v="0"/>
    <x v="1"/>
  </r>
  <r>
    <n v="729"/>
    <s v="PBOR00733"/>
    <s v="PBOR00729"/>
    <x v="28"/>
    <x v="57"/>
    <x v="0"/>
    <s v="No"/>
    <s v="PBCS0729"/>
    <x v="1"/>
    <x v="8"/>
  </r>
  <r>
    <n v="730"/>
    <s v="PBOR00734"/>
    <s v="PBOR00730"/>
    <x v="29"/>
    <x v="38"/>
    <x v="1"/>
    <s v="Yes"/>
    <s v="PBCS0730"/>
    <x v="2"/>
    <x v="8"/>
  </r>
  <r>
    <n v="731"/>
    <s v="PBOR00735"/>
    <s v="PBOR00731"/>
    <x v="30"/>
    <x v="53"/>
    <x v="0"/>
    <s v="Yes"/>
    <s v="PBCS0731"/>
    <x v="0"/>
    <x v="2"/>
  </r>
  <r>
    <n v="732"/>
    <s v="PBOR00736"/>
    <s v="PBOR00732"/>
    <x v="31"/>
    <x v="78"/>
    <x v="1"/>
    <s v="Yes"/>
    <s v="PBCS0732"/>
    <x v="1"/>
    <x v="8"/>
  </r>
  <r>
    <n v="733"/>
    <s v="PBOR00737"/>
    <s v="PBOR00733"/>
    <x v="32"/>
    <x v="82"/>
    <x v="1"/>
    <s v="Yes"/>
    <s v="PBCS0733"/>
    <x v="2"/>
    <x v="0"/>
  </r>
  <r>
    <n v="734"/>
    <s v="PBOR00738"/>
    <s v="PBOR00734"/>
    <x v="33"/>
    <x v="61"/>
    <x v="0"/>
    <s v="Yes"/>
    <s v="PBCS0734"/>
    <x v="0"/>
    <x v="0"/>
  </r>
  <r>
    <n v="735"/>
    <s v="PBOR00739"/>
    <s v="PBOR00735"/>
    <x v="16"/>
    <x v="21"/>
    <x v="1"/>
    <s v="No"/>
    <s v="PBCS0735"/>
    <x v="1"/>
    <x v="0"/>
  </r>
  <r>
    <n v="736"/>
    <s v="PBOR00740"/>
    <s v="PBOR00736"/>
    <x v="17"/>
    <x v="32"/>
    <x v="0"/>
    <s v="Yes"/>
    <s v="PBCS0736"/>
    <x v="2"/>
    <x v="8"/>
  </r>
  <r>
    <n v="737"/>
    <s v="PBOR00741"/>
    <s v="PBOR00737"/>
    <x v="18"/>
    <x v="54"/>
    <x v="1"/>
    <s v="Yes"/>
    <s v="PBCS0737"/>
    <x v="0"/>
    <x v="0"/>
  </r>
  <r>
    <n v="738"/>
    <s v="PBOR00742"/>
    <s v="PBOR00738"/>
    <x v="19"/>
    <x v="70"/>
    <x v="0"/>
    <s v="Yes"/>
    <s v="PBCS0738"/>
    <x v="1"/>
    <x v="8"/>
  </r>
  <r>
    <n v="739"/>
    <s v="PBOR00743"/>
    <s v="PBOR00739"/>
    <x v="20"/>
    <x v="30"/>
    <x v="1"/>
    <s v="Yes"/>
    <s v="PBCS0739"/>
    <x v="2"/>
    <x v="0"/>
  </r>
  <r>
    <n v="740"/>
    <s v="PBOR00744"/>
    <s v="PBOR00740"/>
    <x v="21"/>
    <x v="71"/>
    <x v="2"/>
    <s v="Yes"/>
    <s v="PBCS0740"/>
    <x v="0"/>
    <x v="2"/>
  </r>
  <r>
    <n v="741"/>
    <s v="PBOR00745"/>
    <s v="PBOR00741"/>
    <x v="22"/>
    <x v="82"/>
    <x v="0"/>
    <s v="Yes"/>
    <s v="PBCS0741"/>
    <x v="1"/>
    <x v="1"/>
  </r>
  <r>
    <n v="742"/>
    <s v="PBOR00746"/>
    <s v="PBOR00742"/>
    <x v="23"/>
    <x v="67"/>
    <x v="1"/>
    <s v="Yes"/>
    <s v="PBCS0742"/>
    <x v="2"/>
    <x v="8"/>
  </r>
  <r>
    <n v="743"/>
    <s v="PBOR00747"/>
    <s v="PBOR00743"/>
    <x v="24"/>
    <x v="43"/>
    <x v="1"/>
    <s v="Yes"/>
    <s v="PBCS0743"/>
    <x v="0"/>
    <x v="1"/>
  </r>
  <r>
    <n v="744"/>
    <s v="PBOR00748"/>
    <s v="PBOR00744"/>
    <x v="25"/>
    <x v="52"/>
    <x v="0"/>
    <s v="Yes"/>
    <s v="PBCS0744"/>
    <x v="1"/>
    <x v="2"/>
  </r>
  <r>
    <n v="745"/>
    <s v="PBOR00749"/>
    <s v="PBOR00745"/>
    <x v="0"/>
    <x v="41"/>
    <x v="1"/>
    <s v="Yes"/>
    <s v="PBCS0745"/>
    <x v="2"/>
    <x v="0"/>
  </r>
  <r>
    <n v="746"/>
    <s v="PBOR00750"/>
    <s v="PBOR00746"/>
    <x v="1"/>
    <x v="63"/>
    <x v="0"/>
    <s v="Yes"/>
    <s v="PBCS0746"/>
    <x v="0"/>
    <x v="0"/>
  </r>
  <r>
    <n v="747"/>
    <s v="PBOR00751"/>
    <s v="PBOR00747"/>
    <x v="2"/>
    <x v="63"/>
    <x v="1"/>
    <s v="Yes"/>
    <s v="PBCS0747"/>
    <x v="1"/>
    <x v="0"/>
  </r>
  <r>
    <n v="748"/>
    <s v="PBOR00752"/>
    <s v="PBOR00748"/>
    <x v="3"/>
    <x v="74"/>
    <x v="1"/>
    <s v="Yes"/>
    <s v="PBCS0748"/>
    <x v="2"/>
    <x v="0"/>
  </r>
  <r>
    <n v="749"/>
    <s v="PBOR00753"/>
    <s v="PBOR00749"/>
    <x v="4"/>
    <x v="80"/>
    <x v="0"/>
    <s v="Yes"/>
    <s v="PBCS0749"/>
    <x v="0"/>
    <x v="0"/>
  </r>
  <r>
    <n v="750"/>
    <s v="PBOR00754"/>
    <s v="PBOR00750"/>
    <x v="5"/>
    <x v="37"/>
    <x v="1"/>
    <s v="Yes"/>
    <s v="PBCS0750"/>
    <x v="0"/>
    <x v="1"/>
  </r>
  <r>
    <n v="751"/>
    <s v="PBOR00755"/>
    <s v="PBOR00751"/>
    <x v="0"/>
    <x v="58"/>
    <x v="0"/>
    <s v="Yes"/>
    <s v="PBCS0751"/>
    <x v="0"/>
    <x v="0"/>
  </r>
  <r>
    <n v="752"/>
    <s v="PBOR00756"/>
    <s v="PBOR00752"/>
    <x v="1"/>
    <x v="67"/>
    <x v="1"/>
    <s v="Yes"/>
    <s v="PBCS0752"/>
    <x v="1"/>
    <x v="1"/>
  </r>
  <r>
    <n v="753"/>
    <s v="PBOR00757"/>
    <s v="PBOR00753"/>
    <x v="2"/>
    <x v="45"/>
    <x v="2"/>
    <s v="No"/>
    <s v="PBCS0753"/>
    <x v="2"/>
    <x v="2"/>
  </r>
  <r>
    <n v="754"/>
    <s v="PBOR00758"/>
    <s v="PBOR00754"/>
    <x v="3"/>
    <x v="77"/>
    <x v="0"/>
    <s v="Yes"/>
    <s v="PBCS0754"/>
    <x v="0"/>
    <x v="3"/>
  </r>
  <r>
    <n v="755"/>
    <s v="PBOR00759"/>
    <s v="PBOR00755"/>
    <x v="4"/>
    <x v="39"/>
    <x v="1"/>
    <s v="Yes"/>
    <s v="PBCS0755"/>
    <x v="1"/>
    <x v="4"/>
  </r>
  <r>
    <n v="756"/>
    <s v="PBOR00760"/>
    <s v="PBOR00756"/>
    <x v="5"/>
    <x v="17"/>
    <x v="1"/>
    <s v="Yes"/>
    <s v="PBCS0756"/>
    <x v="2"/>
    <x v="5"/>
  </r>
  <r>
    <n v="757"/>
    <s v="PBOR00761"/>
    <s v="PBOR00757"/>
    <x v="6"/>
    <x v="74"/>
    <x v="0"/>
    <s v="Yes"/>
    <s v="PBCS0757"/>
    <x v="0"/>
    <x v="6"/>
  </r>
  <r>
    <n v="758"/>
    <s v="PBOR00762"/>
    <s v="PBOR00758"/>
    <x v="6"/>
    <x v="26"/>
    <x v="1"/>
    <s v="Yes"/>
    <s v="PBCS0758"/>
    <x v="1"/>
    <x v="0"/>
  </r>
  <r>
    <n v="759"/>
    <s v="PBOR00763"/>
    <s v="PBOR00759"/>
    <x v="7"/>
    <x v="48"/>
    <x v="1"/>
    <s v="No"/>
    <s v="PBCS0759"/>
    <x v="2"/>
    <x v="3"/>
  </r>
  <r>
    <n v="760"/>
    <s v="PBOR00764"/>
    <s v="PBOR00760"/>
    <x v="5"/>
    <x v="58"/>
    <x v="0"/>
    <s v="Yes"/>
    <s v="PBCS0760"/>
    <x v="0"/>
    <x v="0"/>
  </r>
  <r>
    <n v="761"/>
    <s v="PBOR00765"/>
    <s v="PBOR00761"/>
    <x v="8"/>
    <x v="74"/>
    <x v="1"/>
    <s v="Yes"/>
    <s v="PBCS0761"/>
    <x v="1"/>
    <x v="0"/>
  </r>
  <r>
    <n v="762"/>
    <s v="PBOR00766"/>
    <s v="PBOR00762"/>
    <x v="9"/>
    <x v="50"/>
    <x v="2"/>
    <s v="Yes"/>
    <s v="PBCS0762"/>
    <x v="2"/>
    <x v="7"/>
  </r>
  <r>
    <n v="763"/>
    <s v="PBOR00767"/>
    <s v="PBOR00763"/>
    <x v="10"/>
    <x v="49"/>
    <x v="0"/>
    <s v="Yes"/>
    <s v="PBCS0763"/>
    <x v="0"/>
    <x v="4"/>
  </r>
  <r>
    <n v="764"/>
    <s v="PBOR00768"/>
    <s v="PBOR00764"/>
    <x v="11"/>
    <x v="46"/>
    <x v="1"/>
    <s v="Yes"/>
    <s v="PBCS0764"/>
    <x v="1"/>
    <x v="7"/>
  </r>
  <r>
    <n v="765"/>
    <s v="PBOR00769"/>
    <s v="PBOR00765"/>
    <x v="5"/>
    <x v="38"/>
    <x v="2"/>
    <s v="No"/>
    <s v="PBCS0765"/>
    <x v="2"/>
    <x v="8"/>
  </r>
  <r>
    <n v="766"/>
    <s v="PBOR00770"/>
    <s v="PBOR00766"/>
    <x v="12"/>
    <x v="80"/>
    <x v="0"/>
    <s v="Yes"/>
    <s v="PBCS0766"/>
    <x v="0"/>
    <x v="7"/>
  </r>
  <r>
    <n v="767"/>
    <s v="PBOR00771"/>
    <s v="PBOR00767"/>
    <x v="9"/>
    <x v="42"/>
    <x v="1"/>
    <s v="Yes"/>
    <s v="PBCS0767"/>
    <x v="1"/>
    <x v="6"/>
  </r>
  <r>
    <n v="768"/>
    <s v="PBOR00772"/>
    <s v="PBOR00768"/>
    <x v="4"/>
    <x v="79"/>
    <x v="2"/>
    <s v="Yes"/>
    <s v="PBCS0768"/>
    <x v="2"/>
    <x v="9"/>
  </r>
  <r>
    <n v="769"/>
    <s v="PBOR00773"/>
    <s v="PBOR00769"/>
    <x v="13"/>
    <x v="46"/>
    <x v="0"/>
    <s v="Yes"/>
    <s v="PBCS0769"/>
    <x v="0"/>
    <x v="6"/>
  </r>
  <r>
    <n v="770"/>
    <s v="PBOR00774"/>
    <s v="PBOR00770"/>
    <x v="14"/>
    <x v="42"/>
    <x v="1"/>
    <s v="Yes"/>
    <s v="PBCS0770"/>
    <x v="1"/>
    <x v="9"/>
  </r>
  <r>
    <n v="771"/>
    <s v="PBOR00775"/>
    <s v="PBOR00771"/>
    <x v="15"/>
    <x v="47"/>
    <x v="1"/>
    <s v="No"/>
    <s v="PBCS0771"/>
    <x v="2"/>
    <x v="9"/>
  </r>
  <r>
    <n v="772"/>
    <s v="PBOR00776"/>
    <s v="PBOR00772"/>
    <x v="16"/>
    <x v="47"/>
    <x v="0"/>
    <s v="Yes"/>
    <s v="PBCS0772"/>
    <x v="0"/>
    <x v="7"/>
  </r>
  <r>
    <n v="773"/>
    <s v="PBOR00777"/>
    <s v="PBOR00773"/>
    <x v="17"/>
    <x v="19"/>
    <x v="1"/>
    <s v="Yes"/>
    <s v="PBCS0773"/>
    <x v="1"/>
    <x v="7"/>
  </r>
  <r>
    <n v="774"/>
    <s v="PBOR00778"/>
    <s v="PBOR00774"/>
    <x v="18"/>
    <x v="80"/>
    <x v="2"/>
    <s v="Yes"/>
    <s v="PBCS0774"/>
    <x v="2"/>
    <x v="1"/>
  </r>
  <r>
    <n v="775"/>
    <s v="PBOR00779"/>
    <s v="PBOR00775"/>
    <x v="19"/>
    <x v="54"/>
    <x v="0"/>
    <s v="Yes"/>
    <s v="PBCS0775"/>
    <x v="0"/>
    <x v="5"/>
  </r>
  <r>
    <n v="776"/>
    <s v="PBOR00780"/>
    <s v="PBOR00776"/>
    <x v="20"/>
    <x v="43"/>
    <x v="1"/>
    <s v="Yes"/>
    <s v="PBCS0776"/>
    <x v="1"/>
    <x v="7"/>
  </r>
  <r>
    <n v="777"/>
    <s v="PBOR00781"/>
    <s v="PBOR00777"/>
    <x v="21"/>
    <x v="81"/>
    <x v="2"/>
    <s v="No"/>
    <s v="PBCS0777"/>
    <x v="2"/>
    <x v="2"/>
  </r>
  <r>
    <n v="778"/>
    <s v="PBOR00782"/>
    <s v="PBOR00778"/>
    <x v="22"/>
    <x v="48"/>
    <x v="0"/>
    <s v="Yes"/>
    <s v="PBCS0778"/>
    <x v="0"/>
    <x v="4"/>
  </r>
  <r>
    <n v="779"/>
    <s v="PBOR00783"/>
    <s v="PBOR00779"/>
    <x v="23"/>
    <x v="37"/>
    <x v="1"/>
    <s v="Yes"/>
    <s v="PBCS0779"/>
    <x v="1"/>
    <x v="0"/>
  </r>
  <r>
    <n v="780"/>
    <s v="PBOR00784"/>
    <s v="PBOR00780"/>
    <x v="24"/>
    <x v="66"/>
    <x v="2"/>
    <s v="Yes"/>
    <s v="PBCS0780"/>
    <x v="2"/>
    <x v="3"/>
  </r>
  <r>
    <n v="781"/>
    <s v="PBOR00785"/>
    <s v="PBOR00781"/>
    <x v="25"/>
    <x v="63"/>
    <x v="0"/>
    <s v="Yes"/>
    <s v="PBCS0781"/>
    <x v="0"/>
    <x v="1"/>
  </r>
  <r>
    <n v="782"/>
    <s v="PBOR00786"/>
    <s v="PBOR00782"/>
    <x v="26"/>
    <x v="39"/>
    <x v="1"/>
    <s v="Yes"/>
    <s v="PBCS0782"/>
    <x v="1"/>
    <x v="0"/>
  </r>
  <r>
    <n v="783"/>
    <s v="PBOR00787"/>
    <s v="PBOR00783"/>
    <x v="11"/>
    <x v="42"/>
    <x v="1"/>
    <s v="No"/>
    <s v="PBCS0783"/>
    <x v="2"/>
    <x v="4"/>
  </r>
  <r>
    <n v="784"/>
    <s v="PBOR00788"/>
    <s v="PBOR00784"/>
    <x v="17"/>
    <x v="30"/>
    <x v="0"/>
    <s v="Yes"/>
    <s v="PBCS0784"/>
    <x v="0"/>
    <x v="0"/>
  </r>
  <r>
    <n v="785"/>
    <s v="PBOR00789"/>
    <s v="PBOR00785"/>
    <x v="22"/>
    <x v="66"/>
    <x v="1"/>
    <s v="Yes"/>
    <s v="PBCS0785"/>
    <x v="1"/>
    <x v="8"/>
  </r>
  <r>
    <n v="786"/>
    <s v="PBOR00790"/>
    <s v="PBOR00786"/>
    <x v="4"/>
    <x v="42"/>
    <x v="2"/>
    <s v="Yes"/>
    <s v="PBCS0786"/>
    <x v="2"/>
    <x v="6"/>
  </r>
  <r>
    <n v="787"/>
    <s v="PBOR00791"/>
    <s v="PBOR00787"/>
    <x v="12"/>
    <x v="83"/>
    <x v="0"/>
    <s v="Yes"/>
    <s v="PBCS0787"/>
    <x v="0"/>
    <x v="6"/>
  </r>
  <r>
    <n v="788"/>
    <s v="PBOR00792"/>
    <s v="PBOR00788"/>
    <x v="24"/>
    <x v="79"/>
    <x v="1"/>
    <s v="Yes"/>
    <s v="PBCS0788"/>
    <x v="1"/>
    <x v="8"/>
  </r>
  <r>
    <n v="789"/>
    <s v="PBOR00793"/>
    <s v="PBOR00789"/>
    <x v="25"/>
    <x v="70"/>
    <x v="1"/>
    <s v="No"/>
    <s v="PBCS0789"/>
    <x v="2"/>
    <x v="5"/>
  </r>
  <r>
    <n v="790"/>
    <s v="PBOR00794"/>
    <s v="PBOR00790"/>
    <x v="27"/>
    <x v="55"/>
    <x v="0"/>
    <s v="Yes"/>
    <s v="PBCS0790"/>
    <x v="0"/>
    <x v="1"/>
  </r>
  <r>
    <n v="791"/>
    <s v="PBOR00795"/>
    <s v="PBOR00791"/>
    <x v="8"/>
    <x v="51"/>
    <x v="1"/>
    <s v="Yes"/>
    <s v="PBCS0791"/>
    <x v="1"/>
    <x v="7"/>
  </r>
  <r>
    <n v="792"/>
    <s v="PBOR00796"/>
    <s v="PBOR00792"/>
    <x v="28"/>
    <x v="77"/>
    <x v="2"/>
    <s v="Yes"/>
    <s v="PBCS0792"/>
    <x v="2"/>
    <x v="3"/>
  </r>
  <r>
    <n v="793"/>
    <s v="PBOR00797"/>
    <s v="PBOR00793"/>
    <x v="29"/>
    <x v="30"/>
    <x v="0"/>
    <s v="Yes"/>
    <s v="PBCS0793"/>
    <x v="0"/>
    <x v="3"/>
  </r>
  <r>
    <n v="794"/>
    <s v="PBOR00798"/>
    <s v="PBOR00794"/>
    <x v="30"/>
    <x v="70"/>
    <x v="1"/>
    <s v="Yes"/>
    <s v="PBCS0794"/>
    <x v="1"/>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s v="North"/>
    <n v="595"/>
  </r>
  <r>
    <s v="PBOR00002"/>
    <x v="1"/>
    <x v="1"/>
    <x v="1"/>
    <n v="10.209999999999999"/>
    <s v="South"/>
    <n v="460"/>
  </r>
  <r>
    <s v="PBOR00003"/>
    <x v="2"/>
    <x v="2"/>
    <x v="2"/>
    <n v="711.18"/>
    <s v="East"/>
    <n v="765"/>
  </r>
  <r>
    <s v="PBOR00004"/>
    <x v="3"/>
    <x v="3"/>
    <x v="3"/>
    <n v="132.44999999999999"/>
    <s v="West"/>
    <n v="630"/>
  </r>
  <r>
    <s v="PBOR00005"/>
    <x v="0"/>
    <x v="4"/>
    <x v="4"/>
    <n v="58.629999999999995"/>
    <s v="North"/>
    <n v="320"/>
  </r>
  <r>
    <s v="PBOR00006"/>
    <x v="1"/>
    <x v="5"/>
    <x v="5"/>
    <n v="60.519999999999996"/>
    <s v="South"/>
    <n v="545"/>
  </r>
  <r>
    <s v="PBOR00007"/>
    <x v="2"/>
    <x v="1"/>
    <x v="6"/>
    <n v="466.06"/>
    <s v="East"/>
    <n v="830"/>
  </r>
  <r>
    <s v="PBOR00009"/>
    <x v="3"/>
    <x v="6"/>
    <x v="7"/>
    <n v="25.87"/>
    <s v="West"/>
    <n v="825"/>
  </r>
  <r>
    <s v="PBOR00010"/>
    <x v="4"/>
    <x v="7"/>
    <x v="8"/>
    <n v="102.34"/>
    <s v="North"/>
    <n v="430"/>
  </r>
  <r>
    <s v="PBOR00011"/>
    <x v="0"/>
    <x v="6"/>
    <x v="9"/>
    <n v="131.67999999999998"/>
    <s v="South"/>
    <n v="670"/>
  </r>
  <r>
    <s v="PBOR00012"/>
    <x v="1"/>
    <x v="2"/>
    <x v="10"/>
    <n v="17.420000000000002"/>
    <s v="East"/>
    <n v="255"/>
  </r>
  <r>
    <s v="PBOR00013"/>
    <x v="2"/>
    <x v="8"/>
    <x v="11"/>
    <n v="10.74"/>
    <s v="West"/>
    <n v="640"/>
  </r>
  <r>
    <s v="PBOR00014"/>
    <x v="3"/>
    <x v="9"/>
    <x v="12"/>
    <n v="163.70999999999998"/>
    <s v="North"/>
    <n v="615"/>
  </r>
  <r>
    <s v="PBOR00015"/>
    <x v="0"/>
    <x v="4"/>
    <x v="13"/>
    <n v="184.25"/>
    <s v="South"/>
    <n v="865"/>
  </r>
  <r>
    <s v="PBOR00016"/>
    <x v="1"/>
    <x v="10"/>
    <x v="14"/>
    <n v="27.82"/>
    <s v="East"/>
    <n v="255"/>
  </r>
  <r>
    <s v="PBOR00017"/>
    <x v="2"/>
    <x v="10"/>
    <x v="15"/>
    <n v="359.71"/>
    <s v="West"/>
    <n v="670"/>
  </r>
  <r>
    <s v="PBOR00018"/>
    <x v="3"/>
    <x v="6"/>
    <x v="16"/>
    <n v="24.05"/>
    <s v="North"/>
    <n v="640"/>
  </r>
  <r>
    <s v="PBOR00019"/>
    <x v="4"/>
    <x v="9"/>
    <x v="17"/>
    <n v="19.860000000000003"/>
    <s v="South"/>
    <n v="795"/>
  </r>
  <r>
    <s v="PBOR00020"/>
    <x v="5"/>
    <x v="10"/>
    <x v="18"/>
    <n v="4.8599999999999994"/>
    <s v="East"/>
    <n v="480"/>
  </r>
  <r>
    <s v="PBOR00021"/>
    <x v="0"/>
    <x v="9"/>
    <x v="19"/>
    <n v="46.08"/>
    <s v="West"/>
    <n v="350"/>
  </r>
  <r>
    <s v="PBOR00022"/>
    <x v="1"/>
    <x v="10"/>
    <x v="20"/>
    <n v="19.360000000000003"/>
    <s v="North"/>
    <n v="290"/>
  </r>
  <r>
    <s v="PBOR00023"/>
    <x v="2"/>
    <x v="2"/>
    <x v="21"/>
    <n v="255.19"/>
    <s v="South"/>
    <n v="700"/>
  </r>
  <r>
    <s v="PBOR00024"/>
    <x v="3"/>
    <x v="11"/>
    <x v="22"/>
    <n v="241.48999999999998"/>
    <s v="East"/>
    <n v="785"/>
  </r>
  <r>
    <s v="PBOR00025"/>
    <x v="0"/>
    <x v="9"/>
    <x v="23"/>
    <n v="115.17"/>
    <s v="West"/>
    <n v="540"/>
  </r>
  <r>
    <s v="PBOR00026"/>
    <x v="1"/>
    <x v="12"/>
    <x v="24"/>
    <n v="36.019999999999996"/>
    <s v="North"/>
    <n v="325"/>
  </r>
  <r>
    <s v="PBOR00027"/>
    <x v="2"/>
    <x v="4"/>
    <x v="25"/>
    <n v="28.89"/>
    <s v="South"/>
    <n v="590"/>
  </r>
  <r>
    <s v="PBOR00035"/>
    <x v="3"/>
    <x v="10"/>
    <x v="26"/>
    <n v="100.93"/>
    <s v="East"/>
    <n v="360"/>
  </r>
  <r>
    <s v="PBOR00029"/>
    <x v="4"/>
    <x v="10"/>
    <x v="27"/>
    <n v="63.809999999999995"/>
    <s v="West"/>
    <n v="840"/>
  </r>
  <r>
    <s v="PBOR00030"/>
    <x v="0"/>
    <x v="2"/>
    <x v="28"/>
    <n v="102.12"/>
    <s v="North"/>
    <n v="845"/>
  </r>
  <r>
    <s v="PBOR00031"/>
    <x v="1"/>
    <x v="5"/>
    <x v="29"/>
    <n v="89.34"/>
    <s v="South"/>
    <n v="295"/>
  </r>
  <r>
    <s v="PBOR00032"/>
    <x v="2"/>
    <x v="11"/>
    <x v="30"/>
    <n v="139.53"/>
    <s v="East"/>
    <n v="335"/>
  </r>
  <r>
    <s v="PBOR00033"/>
    <x v="3"/>
    <x v="13"/>
    <x v="31"/>
    <n v="3.3899999999999997"/>
    <s v="West"/>
    <n v="550"/>
  </r>
  <r>
    <s v="PBOR00036"/>
    <x v="0"/>
    <x v="14"/>
    <x v="32"/>
    <n v="62.04"/>
    <s v="North"/>
    <n v="590"/>
  </r>
  <r>
    <s v="PBOR00037"/>
    <x v="1"/>
    <x v="9"/>
    <x v="33"/>
    <n v="231.5"/>
    <s v="South"/>
    <n v="790"/>
  </r>
  <r>
    <s v="PBOR00038"/>
    <x v="2"/>
    <x v="7"/>
    <x v="34"/>
    <n v="393.09999999999997"/>
    <s v="East"/>
    <n v="695"/>
  </r>
  <r>
    <s v="PBOR00040"/>
    <x v="3"/>
    <x v="15"/>
    <x v="35"/>
    <n v="56.019999999999996"/>
    <s v="West"/>
    <n v="395"/>
  </r>
  <r>
    <s v="PBOR00041"/>
    <x v="4"/>
    <x v="15"/>
    <x v="36"/>
    <n v="129.22"/>
    <s v="North"/>
    <n v="655"/>
  </r>
  <r>
    <s v="PBOR00042"/>
    <x v="5"/>
    <x v="8"/>
    <x v="37"/>
    <n v="116.2"/>
    <s v="South"/>
    <n v="725"/>
  </r>
  <r>
    <s v="PBOR00043"/>
    <x v="0"/>
    <x v="4"/>
    <x v="38"/>
    <n v="13.16"/>
    <s v="East"/>
    <n v="360"/>
  </r>
  <r>
    <s v="PBOR00044"/>
    <x v="1"/>
    <x v="12"/>
    <x v="39"/>
    <n v="44.339999999999996"/>
    <s v="West"/>
    <n v="370"/>
  </r>
  <r>
    <s v="PBOR00045"/>
    <x v="2"/>
    <x v="5"/>
    <x v="40"/>
    <n v="138.70999999999998"/>
    <s v="North"/>
    <n v="360"/>
  </r>
  <r>
    <s v="PBOR00046"/>
    <x v="3"/>
    <x v="8"/>
    <x v="28"/>
    <n v="212.7"/>
    <s v="South"/>
    <n v="845"/>
  </r>
  <r>
    <s v="PBOR00047"/>
    <x v="0"/>
    <x v="15"/>
    <x v="41"/>
    <n v="89.960000000000008"/>
    <s v="East"/>
    <n v="495"/>
  </r>
  <r>
    <s v="PBOR00048"/>
    <x v="1"/>
    <x v="10"/>
    <x v="42"/>
    <n v="35.769999999999996"/>
    <s v="West"/>
    <n v="205"/>
  </r>
  <r>
    <s v="PBOR00049"/>
    <x v="2"/>
    <x v="9"/>
    <x v="43"/>
    <n v="159.29"/>
    <s v="North"/>
    <n v="210"/>
  </r>
  <r>
    <s v="PBOR00050"/>
    <x v="3"/>
    <x v="7"/>
    <x v="44"/>
    <n v="319.14"/>
    <s v="South"/>
    <n v="765"/>
  </r>
  <r>
    <s v="PBOR00051"/>
    <x v="0"/>
    <x v="14"/>
    <x v="45"/>
    <n v="3.8099999999999996"/>
    <s v="East"/>
    <n v="275"/>
  </r>
  <r>
    <s v="PBOR00052"/>
    <x v="1"/>
    <x v="16"/>
    <x v="46"/>
    <n v="8.07"/>
    <s v="West"/>
    <n v="365"/>
  </r>
  <r>
    <s v="PBOR00053"/>
    <x v="2"/>
    <x v="17"/>
    <x v="47"/>
    <n v="684.25"/>
    <s v="North"/>
    <n v="735"/>
  </r>
  <r>
    <s v="PBOR00054"/>
    <x v="3"/>
    <x v="17"/>
    <x v="48"/>
    <n v="56.89"/>
    <s v="South"/>
    <n v="270"/>
  </r>
  <r>
    <s v="PBOR00055"/>
    <x v="0"/>
    <x v="5"/>
    <x v="49"/>
    <n v="69.13000000000001"/>
    <s v="East"/>
    <n v="375"/>
  </r>
  <r>
    <s v="PBOR00056"/>
    <x v="1"/>
    <x v="16"/>
    <x v="41"/>
    <n v="55.39"/>
    <s v="West"/>
    <n v="495"/>
  </r>
  <r>
    <s v="PBOR00057"/>
    <x v="2"/>
    <x v="1"/>
    <x v="50"/>
    <n v="351.8"/>
    <s v="North"/>
    <n v="625"/>
  </r>
  <r>
    <s v="PBOR00058"/>
    <x v="3"/>
    <x v="18"/>
    <x v="51"/>
    <n v="13.41"/>
    <s v="South"/>
    <n v="425"/>
  </r>
  <r>
    <s v="PBOR00059"/>
    <x v="4"/>
    <x v="3"/>
    <x v="52"/>
    <n v="191.34"/>
    <s v="East"/>
    <n v="805"/>
  </r>
  <r>
    <s v="PBOR00060"/>
    <x v="0"/>
    <x v="19"/>
    <x v="40"/>
    <n v="70.77000000000001"/>
    <s v="West"/>
    <n v="360"/>
  </r>
  <r>
    <s v="PBOR00061"/>
    <x v="1"/>
    <x v="20"/>
    <x v="53"/>
    <n v="30.330000000000002"/>
    <s v="North"/>
    <n v="445"/>
  </r>
  <r>
    <s v="PBOR00062"/>
    <x v="2"/>
    <x v="21"/>
    <x v="54"/>
    <n v="13.48"/>
    <s v="South"/>
    <n v="800"/>
  </r>
  <r>
    <s v="PBOR00063"/>
    <x v="3"/>
    <x v="22"/>
    <x v="55"/>
    <n v="197.82999999999998"/>
    <s v="East"/>
    <n v="740"/>
  </r>
  <r>
    <s v="PBOR00064"/>
    <x v="0"/>
    <x v="23"/>
    <x v="56"/>
    <n v="167.67999999999998"/>
    <s v="West"/>
    <n v="790"/>
  </r>
  <r>
    <s v="PBOR00065"/>
    <x v="1"/>
    <x v="24"/>
    <x v="22"/>
    <n v="86.09"/>
    <s v="North"/>
    <n v="785"/>
  </r>
  <r>
    <s v="PBOR00066"/>
    <x v="2"/>
    <x v="16"/>
    <x v="57"/>
    <n v="280.37"/>
    <s v="South"/>
    <n v="525"/>
  </r>
  <r>
    <s v="PBOR00067"/>
    <x v="3"/>
    <x v="25"/>
    <x v="47"/>
    <n v="27.650000000000002"/>
    <s v="East"/>
    <n v="735"/>
  </r>
  <r>
    <s v="PBOR00068"/>
    <x v="4"/>
    <x v="6"/>
    <x v="58"/>
    <n v="21.930000000000003"/>
    <s v="West"/>
    <n v="880"/>
  </r>
  <r>
    <s v="PBOR00069"/>
    <x v="5"/>
    <x v="2"/>
    <x v="59"/>
    <n v="8.76"/>
    <s v="North"/>
    <n v="865"/>
  </r>
  <r>
    <s v="PBOR00070"/>
    <x v="0"/>
    <x v="26"/>
    <x v="60"/>
    <n v="111.91000000000001"/>
    <s v="South"/>
    <n v="855"/>
  </r>
  <r>
    <s v="PBOR00071"/>
    <x v="1"/>
    <x v="4"/>
    <x v="61"/>
    <n v="28.73"/>
    <s v="East"/>
    <n v="430"/>
  </r>
  <r>
    <s v="PBOR00072"/>
    <x v="2"/>
    <x v="27"/>
    <x v="59"/>
    <n v="314.44"/>
    <s v="West"/>
    <n v="865"/>
  </r>
  <r>
    <s v="PBOR00073"/>
    <x v="3"/>
    <x v="15"/>
    <x v="62"/>
    <n v="223.29999999999998"/>
    <s v="North"/>
    <n v="725"/>
  </r>
  <r>
    <s v="PBOR00074"/>
    <x v="0"/>
    <x v="28"/>
    <x v="63"/>
    <n v="140.70999999999998"/>
    <s v="South"/>
    <n v="660"/>
  </r>
  <r>
    <s v="PBOR00075"/>
    <x v="1"/>
    <x v="8"/>
    <x v="64"/>
    <n v="29.28"/>
    <s v="East"/>
    <n v="265"/>
  </r>
  <r>
    <s v="PBOR00076"/>
    <x v="2"/>
    <x v="6"/>
    <x v="61"/>
    <n v="20.94"/>
    <s v="West"/>
    <n v="430"/>
  </r>
  <r>
    <s v="PBOR00077"/>
    <x v="3"/>
    <x v="27"/>
    <x v="65"/>
    <n v="210.76999999999998"/>
    <s v="North"/>
    <n v="755"/>
  </r>
  <r>
    <s v="PBOR00078"/>
    <x v="4"/>
    <x v="10"/>
    <x v="66"/>
    <n v="40.69"/>
    <s v="South"/>
    <n v="535"/>
  </r>
  <r>
    <s v="PBOR00079"/>
    <x v="0"/>
    <x v="29"/>
    <x v="44"/>
    <n v="91.990000000000009"/>
    <s v="East"/>
    <n v="765"/>
  </r>
  <r>
    <s v="PBOR00080"/>
    <x v="1"/>
    <x v="30"/>
    <x v="67"/>
    <n v="247.42"/>
    <s v="West"/>
    <n v="815"/>
  </r>
  <r>
    <s v="PBOR00081"/>
    <x v="2"/>
    <x v="31"/>
    <x v="68"/>
    <n v="240.14"/>
    <s v="North"/>
    <n v="580"/>
  </r>
  <r>
    <s v="PBOR00082"/>
    <x v="3"/>
    <x v="27"/>
    <x v="7"/>
    <n v="5.08"/>
    <s v="South"/>
    <n v="825"/>
  </r>
  <r>
    <s v="PBOR00083"/>
    <x v="0"/>
    <x v="29"/>
    <x v="69"/>
    <n v="89.12"/>
    <s v="East"/>
    <n v="850"/>
  </r>
  <r>
    <s v="PBOR00084"/>
    <x v="1"/>
    <x v="1"/>
    <x v="70"/>
    <n v="217.1"/>
    <s v="West"/>
    <n v="740"/>
  </r>
  <r>
    <s v="PBOR00085"/>
    <x v="2"/>
    <x v="11"/>
    <x v="71"/>
    <n v="427.03"/>
    <s v="North"/>
    <n v="755"/>
  </r>
  <r>
    <s v="PBOR00086"/>
    <x v="3"/>
    <x v="5"/>
    <x v="66"/>
    <n v="75.87"/>
    <s v="South"/>
    <n v="535"/>
  </r>
  <r>
    <s v="PBOR00087"/>
    <x v="4"/>
    <x v="2"/>
    <x v="72"/>
    <n v="161.57"/>
    <s v="East"/>
    <n v="820"/>
  </r>
  <r>
    <s v="PBOR00088"/>
    <x v="5"/>
    <x v="31"/>
    <x v="73"/>
    <n v="37.989999999999995"/>
    <s v="West"/>
    <n v="235"/>
  </r>
  <r>
    <s v="PBOR00089"/>
    <x v="0"/>
    <x v="3"/>
    <x v="45"/>
    <n v="10.19"/>
    <s v="North"/>
    <n v="275"/>
  </r>
  <r>
    <s v="PBOR00090"/>
    <x v="1"/>
    <x v="25"/>
    <x v="26"/>
    <n v="43.62"/>
    <s v="South"/>
    <n v="360"/>
  </r>
  <r>
    <s v="PBOR00091"/>
    <x v="2"/>
    <x v="7"/>
    <x v="74"/>
    <n v="197.44"/>
    <s v="East"/>
    <n v="510"/>
  </r>
  <r>
    <s v="PBOR00092"/>
    <x v="3"/>
    <x v="25"/>
    <x v="75"/>
    <n v="165.23999999999998"/>
    <s v="West"/>
    <n v="660"/>
  </r>
  <r>
    <s v="PBOR00093"/>
    <x v="0"/>
    <x v="32"/>
    <x v="76"/>
    <n v="74.570000000000007"/>
    <s v="North"/>
    <n v="410"/>
  </r>
  <r>
    <s v="PBOR00094"/>
    <x v="1"/>
    <x v="33"/>
    <x v="77"/>
    <n v="69.63000000000001"/>
    <s v="South"/>
    <n v="400"/>
  </r>
  <r>
    <s v="PBOR00095"/>
    <x v="2"/>
    <x v="33"/>
    <x v="78"/>
    <n v="657.52"/>
    <s v="East"/>
    <n v="870"/>
  </r>
  <r>
    <s v="PBOR00096"/>
    <x v="3"/>
    <x v="22"/>
    <x v="79"/>
    <n v="235.89999999999998"/>
    <s v="West"/>
    <n v="565"/>
  </r>
  <r>
    <s v="PBOR00097"/>
    <x v="0"/>
    <x v="34"/>
    <x v="80"/>
    <n v="407.03999999999996"/>
    <s v="North"/>
    <n v="780"/>
  </r>
  <r>
    <s v="PBOR00098"/>
    <x v="1"/>
    <x v="7"/>
    <x v="56"/>
    <n v="347.74"/>
    <s v="South"/>
    <n v="790"/>
  </r>
  <r>
    <s v="PBOR00099"/>
    <x v="2"/>
    <x v="3"/>
    <x v="81"/>
    <n v="209.97"/>
    <s v="East"/>
    <n v="695"/>
  </r>
  <r>
    <s v="PBOR00100"/>
    <x v="3"/>
    <x v="31"/>
    <x v="82"/>
    <n v="229.44"/>
    <s v="West"/>
    <n v="545"/>
  </r>
  <r>
    <s v="PBOR00101"/>
    <x v="0"/>
    <x v="4"/>
    <x v="83"/>
    <n v="263.06"/>
    <s v="North"/>
    <n v="690"/>
  </r>
  <r>
    <s v="PBOR00102"/>
    <x v="1"/>
    <x v="34"/>
    <x v="84"/>
    <n v="1.45"/>
    <s v="South"/>
    <n v="300"/>
  </r>
  <r>
    <s v="PBOR00103"/>
    <x v="2"/>
    <x v="13"/>
    <x v="85"/>
    <n v="363.99"/>
    <s v="East"/>
    <n v="570"/>
  </r>
  <r>
    <s v="PBOR00104"/>
    <x v="3"/>
    <x v="35"/>
    <x v="86"/>
    <n v="818.1"/>
    <s v="West"/>
    <n v="885"/>
  </r>
  <r>
    <s v="PBOR00105"/>
    <x v="4"/>
    <x v="2"/>
    <x v="87"/>
    <n v="29.790000000000003"/>
    <s v="North"/>
    <n v="605"/>
  </r>
  <r>
    <s v="PBOR00106"/>
    <x v="0"/>
    <x v="13"/>
    <x v="88"/>
    <n v="634.01"/>
    <s v="South"/>
    <n v="805"/>
  </r>
  <r>
    <s v="PBOR00107"/>
    <x v="1"/>
    <x v="18"/>
    <x v="89"/>
    <n v="376.26"/>
    <s v="East"/>
    <n v="840"/>
  </r>
  <r>
    <s v="PBOR00108"/>
    <x v="2"/>
    <x v="23"/>
    <x v="90"/>
    <n v="455.55"/>
    <s v="West"/>
    <n v="510"/>
  </r>
  <r>
    <s v="PBOR00109"/>
    <x v="3"/>
    <x v="36"/>
    <x v="72"/>
    <n v="26.520000000000003"/>
    <s v="North"/>
    <n v="820"/>
  </r>
  <r>
    <s v="PBOR00110"/>
    <x v="0"/>
    <x v="37"/>
    <x v="91"/>
    <n v="770.95"/>
    <s v="South"/>
    <n v="820"/>
  </r>
  <r>
    <s v="PBOR00111"/>
    <x v="1"/>
    <x v="4"/>
    <x v="92"/>
    <n v="119.85000000000001"/>
    <s v="East"/>
    <n v="480"/>
  </r>
  <r>
    <s v="PBOR00112"/>
    <x v="2"/>
    <x v="3"/>
    <x v="93"/>
    <n v="15.07"/>
    <s v="West"/>
    <n v="300"/>
  </r>
  <r>
    <s v="PBOR00113"/>
    <x v="3"/>
    <x v="35"/>
    <x v="94"/>
    <n v="427.21999999999997"/>
    <s v="North"/>
    <n v="860"/>
  </r>
  <r>
    <s v="PBOR00114"/>
    <x v="4"/>
    <x v="11"/>
    <x v="65"/>
    <n v="475.45"/>
    <s v="South"/>
    <n v="755"/>
  </r>
  <r>
    <s v="PBOR00115"/>
    <x v="5"/>
    <x v="10"/>
    <x v="65"/>
    <n v="662.11"/>
    <s v="East"/>
    <n v="755"/>
  </r>
  <r>
    <s v="PBOR00116"/>
    <x v="0"/>
    <x v="1"/>
    <x v="95"/>
    <n v="299.15999999999997"/>
    <s v="West"/>
    <n v="805"/>
  </r>
  <r>
    <s v="PBOR00117"/>
    <x v="1"/>
    <x v="17"/>
    <x v="96"/>
    <n v="404.58"/>
    <s v="North"/>
    <n v="630"/>
  </r>
  <r>
    <s v="PBOR00118"/>
    <x v="2"/>
    <x v="17"/>
    <x v="97"/>
    <n v="390.17"/>
    <s v="South"/>
    <n v="510"/>
  </r>
  <r>
    <s v="PBOR00119"/>
    <x v="3"/>
    <x v="37"/>
    <x v="98"/>
    <n v="179.35"/>
    <s v="East"/>
    <n v="240"/>
  </r>
  <r>
    <s v="PBOR00120"/>
    <x v="0"/>
    <x v="4"/>
    <x v="99"/>
    <n v="274.90999999999997"/>
    <s v="West"/>
    <n v="565"/>
  </r>
  <r>
    <s v="PBOR00121"/>
    <x v="1"/>
    <x v="2"/>
    <x v="97"/>
    <n v="53.739999999999995"/>
    <s v="North"/>
    <n v="510"/>
  </r>
  <r>
    <s v="PBOR00122"/>
    <x v="2"/>
    <x v="12"/>
    <x v="24"/>
    <n v="116.33"/>
    <s v="South"/>
    <n v="325"/>
  </r>
  <r>
    <s v="PBOR00123"/>
    <x v="3"/>
    <x v="0"/>
    <x v="100"/>
    <n v="111.84"/>
    <s v="East"/>
    <n v="285"/>
  </r>
  <r>
    <s v="PBOR00124"/>
    <x v="4"/>
    <x v="38"/>
    <x v="101"/>
    <n v="102.27000000000001"/>
    <s v="West"/>
    <n v="375"/>
  </r>
  <r>
    <s v="PBOR00125"/>
    <x v="0"/>
    <x v="1"/>
    <x v="102"/>
    <n v="565.02"/>
    <s v="North"/>
    <n v="825"/>
  </r>
  <r>
    <s v="PBOR00126"/>
    <x v="1"/>
    <x v="2"/>
    <x v="103"/>
    <n v="84.22"/>
    <s v="South"/>
    <n v="275"/>
  </r>
  <r>
    <s v="PBOR00127"/>
    <x v="2"/>
    <x v="5"/>
    <x v="104"/>
    <n v="221.34"/>
    <s v="East"/>
    <n v="830"/>
  </r>
  <r>
    <s v="PBOR00128"/>
    <x v="3"/>
    <x v="3"/>
    <x v="105"/>
    <n v="248.56"/>
    <s v="West"/>
    <n v="260"/>
  </r>
  <r>
    <s v="PBOR00129"/>
    <x v="0"/>
    <x v="36"/>
    <x v="106"/>
    <n v="196.17"/>
    <s v="North"/>
    <n v="250"/>
  </r>
  <r>
    <s v="PBOR00130"/>
    <x v="1"/>
    <x v="24"/>
    <x v="107"/>
    <n v="226.70999999999998"/>
    <s v="South"/>
    <n v="245"/>
  </r>
  <r>
    <s v="PBOR00131"/>
    <x v="2"/>
    <x v="21"/>
    <x v="108"/>
    <n v="760.66"/>
    <s v="East"/>
    <n v="835"/>
  </r>
  <r>
    <s v="PBOR00132"/>
    <x v="3"/>
    <x v="32"/>
    <x v="109"/>
    <n v="21.830000000000002"/>
    <s v="West"/>
    <n v="260"/>
  </r>
  <r>
    <s v="PBOR00133"/>
    <x v="4"/>
    <x v="4"/>
    <x v="110"/>
    <n v="365.43"/>
    <s v="North"/>
    <n v="395"/>
  </r>
  <r>
    <s v="PBOR00134"/>
    <x v="5"/>
    <x v="2"/>
    <x v="12"/>
    <n v="80.010000000000005"/>
    <s v="South"/>
    <n v="615"/>
  </r>
  <r>
    <s v="PBOR00135"/>
    <x v="0"/>
    <x v="27"/>
    <x v="111"/>
    <n v="193.60999999999999"/>
    <s v="East"/>
    <n v="465"/>
  </r>
  <r>
    <s v="PBOR00136"/>
    <x v="1"/>
    <x v="0"/>
    <x v="112"/>
    <n v="381.2"/>
    <s v="West"/>
    <n v="490"/>
  </r>
  <r>
    <s v="PBOR00137"/>
    <x v="2"/>
    <x v="1"/>
    <x v="113"/>
    <n v="491.31"/>
    <s v="North"/>
    <n v="870"/>
  </r>
  <r>
    <s v="PBOR00138"/>
    <x v="3"/>
    <x v="28"/>
    <x v="114"/>
    <n v="251.16"/>
    <s v="South"/>
    <n v="315"/>
  </r>
  <r>
    <s v="PBOR00139"/>
    <x v="0"/>
    <x v="8"/>
    <x v="115"/>
    <n v="62.25"/>
    <s v="East"/>
    <n v="645"/>
  </r>
  <r>
    <s v="PBOR00140"/>
    <x v="1"/>
    <x v="33"/>
    <x v="90"/>
    <n v="54.55"/>
    <s v="West"/>
    <n v="510"/>
  </r>
  <r>
    <s v="PBOR00141"/>
    <x v="2"/>
    <x v="14"/>
    <x v="116"/>
    <n v="185.78"/>
    <s v="North"/>
    <n v="270"/>
  </r>
  <r>
    <s v="PBOR00142"/>
    <x v="3"/>
    <x v="16"/>
    <x v="117"/>
    <n v="26.64"/>
    <s v="South"/>
    <n v="300"/>
  </r>
  <r>
    <s v="PBOR00143"/>
    <x v="0"/>
    <x v="17"/>
    <x v="118"/>
    <n v="78.12"/>
    <s v="East"/>
    <n v="635"/>
  </r>
  <r>
    <s v="PBOR00144"/>
    <x v="1"/>
    <x v="17"/>
    <x v="51"/>
    <n v="91.160000000000011"/>
    <s v="West"/>
    <n v="425"/>
  </r>
  <r>
    <s v="PBOR00145"/>
    <x v="2"/>
    <x v="5"/>
    <x v="119"/>
    <n v="350.53999999999996"/>
    <s v="North"/>
    <n v="675"/>
  </r>
  <r>
    <s v="PBOR00146"/>
    <x v="3"/>
    <x v="16"/>
    <x v="120"/>
    <n v="94.410000000000011"/>
    <s v="South"/>
    <n v="380"/>
  </r>
  <r>
    <s v="PBOR00147"/>
    <x v="0"/>
    <x v="1"/>
    <x v="121"/>
    <n v="208.25"/>
    <s v="East"/>
    <n v="280"/>
  </r>
  <r>
    <s v="PBOR00148"/>
    <x v="1"/>
    <x v="18"/>
    <x v="117"/>
    <n v="228.45"/>
    <s v="West"/>
    <n v="300"/>
  </r>
  <r>
    <s v="PBOR00149"/>
    <x v="2"/>
    <x v="3"/>
    <x v="122"/>
    <n v="350.94"/>
    <s v="North"/>
    <n v="890"/>
  </r>
  <r>
    <s v="PBOR00150"/>
    <x v="3"/>
    <x v="19"/>
    <x v="123"/>
    <n v="15.39"/>
    <s v="South"/>
    <n v="595"/>
  </r>
  <r>
    <s v="PBOR00151"/>
    <x v="4"/>
    <x v="20"/>
    <x v="0"/>
    <n v="210.29"/>
    <s v="East"/>
    <n v="595"/>
  </r>
  <r>
    <s v="PBOR00152"/>
    <x v="0"/>
    <x v="21"/>
    <x v="124"/>
    <n v="35.94"/>
    <s v="West"/>
    <n v="835"/>
  </r>
  <r>
    <s v="PBOR00153"/>
    <x v="1"/>
    <x v="22"/>
    <x v="125"/>
    <n v="5.47"/>
    <s v="North"/>
    <n v="795"/>
  </r>
  <r>
    <s v="PBOR00154"/>
    <x v="2"/>
    <x v="23"/>
    <x v="126"/>
    <n v="304.51"/>
    <s v="South"/>
    <n v="355"/>
  </r>
  <r>
    <s v="PBOR00155"/>
    <x v="3"/>
    <x v="24"/>
    <x v="55"/>
    <n v="460.84"/>
    <s v="East"/>
    <n v="740"/>
  </r>
  <r>
    <s v="PBOR00156"/>
    <x v="0"/>
    <x v="16"/>
    <x v="127"/>
    <n v="200.78"/>
    <s v="West"/>
    <n v="215"/>
  </r>
  <r>
    <s v="PBOR00157"/>
    <x v="1"/>
    <x v="25"/>
    <x v="128"/>
    <n v="778.93"/>
    <s v="North"/>
    <n v="795"/>
  </r>
  <r>
    <s v="PBOR00158"/>
    <x v="2"/>
    <x v="6"/>
    <x v="78"/>
    <n v="815.42"/>
    <s v="South"/>
    <n v="870"/>
  </r>
  <r>
    <s v="PBOR00159"/>
    <x v="3"/>
    <x v="2"/>
    <x v="129"/>
    <n v="559.27"/>
    <s v="East"/>
    <n v="605"/>
  </r>
  <r>
    <s v="PBOR00160"/>
    <x v="4"/>
    <x v="26"/>
    <x v="112"/>
    <n v="48.089999999999996"/>
    <s v="West"/>
    <n v="490"/>
  </r>
  <r>
    <s v="PBOR00161"/>
    <x v="5"/>
    <x v="4"/>
    <x v="130"/>
    <n v="1.95"/>
    <s v="North"/>
    <n v="430"/>
  </r>
  <r>
    <s v="PBOR00162"/>
    <x v="0"/>
    <x v="27"/>
    <x v="131"/>
    <n v="150.76"/>
    <s v="South"/>
    <n v="680"/>
  </r>
  <r>
    <s v="PBOR00163"/>
    <x v="1"/>
    <x v="15"/>
    <x v="132"/>
    <n v="386.65999999999997"/>
    <s v="East"/>
    <n v="420"/>
  </r>
  <r>
    <s v="PBOR00164"/>
    <x v="2"/>
    <x v="28"/>
    <x v="133"/>
    <n v="440.59"/>
    <s v="West"/>
    <n v="720"/>
  </r>
  <r>
    <s v="PBOR00165"/>
    <x v="3"/>
    <x v="8"/>
    <x v="134"/>
    <n v="403.78999999999996"/>
    <s v="North"/>
    <n v="495"/>
  </r>
  <r>
    <s v="PBOR00166"/>
    <x v="0"/>
    <x v="6"/>
    <x v="135"/>
    <n v="469.27"/>
    <s v="South"/>
    <n v="775"/>
  </r>
  <r>
    <s v="PBOR00167"/>
    <x v="1"/>
    <x v="27"/>
    <x v="136"/>
    <n v="131.48999999999998"/>
    <s v="East"/>
    <n v="485"/>
  </r>
  <r>
    <s v="PBOR00168"/>
    <x v="2"/>
    <x v="10"/>
    <x v="87"/>
    <n v="341.7"/>
    <s v="West"/>
    <n v="605"/>
  </r>
  <r>
    <s v="PBOR00169"/>
    <x v="3"/>
    <x v="29"/>
    <x v="137"/>
    <n v="363.49"/>
    <s v="North"/>
    <n v="495"/>
  </r>
  <r>
    <s v="PBOR00170"/>
    <x v="4"/>
    <x v="30"/>
    <x v="138"/>
    <n v="311.88"/>
    <s v="South"/>
    <n v="705"/>
  </r>
  <r>
    <s v="PBOR00171"/>
    <x v="0"/>
    <x v="31"/>
    <x v="139"/>
    <n v="540.24"/>
    <s v="East"/>
    <n v="805"/>
  </r>
  <r>
    <s v="PBOR00172"/>
    <x v="1"/>
    <x v="27"/>
    <x v="140"/>
    <n v="124.93"/>
    <s v="West"/>
    <n v="580"/>
  </r>
  <r>
    <s v="PBOR00173"/>
    <x v="2"/>
    <x v="29"/>
    <x v="141"/>
    <n v="647.37"/>
    <s v="North"/>
    <n v="835"/>
  </r>
  <r>
    <s v="PBOR00174"/>
    <x v="3"/>
    <x v="1"/>
    <x v="53"/>
    <n v="143.57"/>
    <s v="South"/>
    <n v="445"/>
  </r>
  <r>
    <s v="PBOR00175"/>
    <x v="0"/>
    <x v="11"/>
    <x v="142"/>
    <n v="74.740000000000009"/>
    <s v="East"/>
    <n v="355"/>
  </r>
  <r>
    <s v="PBOR00176"/>
    <x v="1"/>
    <x v="5"/>
    <x v="115"/>
    <n v="641.83000000000004"/>
    <s v="West"/>
    <n v="645"/>
  </r>
  <r>
    <s v="PBOR00177"/>
    <x v="2"/>
    <x v="2"/>
    <x v="143"/>
    <n v="271.49"/>
    <s v="North"/>
    <n v="790"/>
  </r>
  <r>
    <s v="PBOR00178"/>
    <x v="3"/>
    <x v="31"/>
    <x v="89"/>
    <n v="148.94"/>
    <s v="South"/>
    <n v="840"/>
  </r>
  <r>
    <s v="PBOR00179"/>
    <x v="4"/>
    <x v="3"/>
    <x v="144"/>
    <n v="379.59"/>
    <s v="East"/>
    <n v="690"/>
  </r>
  <r>
    <s v="PBOR00180"/>
    <x v="5"/>
    <x v="25"/>
    <x v="138"/>
    <n v="287.14"/>
    <s v="West"/>
    <n v="705"/>
  </r>
  <r>
    <s v="PBOR00181"/>
    <x v="0"/>
    <x v="7"/>
    <x v="145"/>
    <n v="66.45"/>
    <s v="North"/>
    <n v="395"/>
  </r>
  <r>
    <s v="PBOR00182"/>
    <x v="1"/>
    <x v="25"/>
    <x v="15"/>
    <n v="611.20000000000005"/>
    <s v="South"/>
    <n v="670"/>
  </r>
  <r>
    <s v="PBOR00183"/>
    <x v="2"/>
    <x v="32"/>
    <x v="146"/>
    <n v="222.12"/>
    <s v="East"/>
    <n v="815"/>
  </r>
  <r>
    <s v="PBOR00184"/>
    <x v="3"/>
    <x v="33"/>
    <x v="147"/>
    <n v="399.27"/>
    <s v="West"/>
    <n v="485"/>
  </r>
  <r>
    <s v="PBOR00185"/>
    <x v="0"/>
    <x v="33"/>
    <x v="97"/>
    <n v="458.01"/>
    <s v="North"/>
    <n v="510"/>
  </r>
  <r>
    <s v="PBOR00186"/>
    <x v="1"/>
    <x v="22"/>
    <x v="84"/>
    <n v="219.1"/>
    <s v="South"/>
    <n v="300"/>
  </r>
  <r>
    <s v="PBOR00187"/>
    <x v="2"/>
    <x v="34"/>
    <x v="148"/>
    <n v="256.43"/>
    <s v="East"/>
    <n v="700"/>
  </r>
  <r>
    <s v="PBOR00188"/>
    <x v="3"/>
    <x v="7"/>
    <x v="149"/>
    <n v="243.5"/>
    <s v="West"/>
    <n v="305"/>
  </r>
  <r>
    <s v="PBOR00189"/>
    <x v="0"/>
    <x v="3"/>
    <x v="150"/>
    <n v="22.92"/>
    <s v="North"/>
    <n v="285"/>
  </r>
  <r>
    <s v="PBOR00190"/>
    <x v="1"/>
    <x v="31"/>
    <x v="143"/>
    <n v="304.75"/>
    <s v="South"/>
    <n v="790"/>
  </r>
  <r>
    <s v="PBOR00191"/>
    <x v="2"/>
    <x v="4"/>
    <x v="151"/>
    <n v="128.79"/>
    <s v="East"/>
    <n v="285"/>
  </r>
  <r>
    <s v="PBOR00192"/>
    <x v="3"/>
    <x v="34"/>
    <x v="5"/>
    <n v="509.49"/>
    <s v="West"/>
    <n v="545"/>
  </r>
  <r>
    <s v="PBOR00193"/>
    <x v="0"/>
    <x v="13"/>
    <x v="152"/>
    <n v="71.820000000000007"/>
    <s v="North"/>
    <n v="490"/>
  </r>
  <r>
    <s v="PBOR00194"/>
    <x v="1"/>
    <x v="35"/>
    <x v="153"/>
    <n v="79.350000000000009"/>
    <s v="South"/>
    <n v="780"/>
  </r>
  <r>
    <s v="PBOR00195"/>
    <x v="2"/>
    <x v="2"/>
    <x v="154"/>
    <n v="294.36"/>
    <s v="East"/>
    <n v="590"/>
  </r>
  <r>
    <s v="PBOR00196"/>
    <x v="3"/>
    <x v="13"/>
    <x v="155"/>
    <n v="591.13"/>
    <s v="West"/>
    <n v="840"/>
  </r>
  <r>
    <s v="PBOR00197"/>
    <x v="4"/>
    <x v="18"/>
    <x v="156"/>
    <n v="503.03"/>
    <s v="North"/>
    <n v="695"/>
  </r>
  <r>
    <s v="PBOR00198"/>
    <x v="0"/>
    <x v="23"/>
    <x v="53"/>
    <n v="96.940000000000012"/>
    <s v="South"/>
    <n v="445"/>
  </r>
  <r>
    <s v="PBOR00199"/>
    <x v="1"/>
    <x v="36"/>
    <x v="157"/>
    <n v="180.23999999999998"/>
    <s v="East"/>
    <n v="540"/>
  </r>
  <r>
    <s v="PBOR00200"/>
    <x v="2"/>
    <x v="37"/>
    <x v="158"/>
    <n v="207.73"/>
    <s v="West"/>
    <n v="520"/>
  </r>
  <r>
    <s v="PBOR00201"/>
    <x v="3"/>
    <x v="4"/>
    <x v="159"/>
    <n v="410.09"/>
    <s v="North"/>
    <n v="490"/>
  </r>
  <r>
    <s v="PBOR00202"/>
    <x v="0"/>
    <x v="3"/>
    <x v="160"/>
    <n v="6.58"/>
    <s v="South"/>
    <n v="755"/>
  </r>
  <r>
    <s v="PBOR00203"/>
    <x v="1"/>
    <x v="35"/>
    <x v="161"/>
    <n v="771.99"/>
    <s v="East"/>
    <n v="810"/>
  </r>
  <r>
    <s v="PBOR00204"/>
    <x v="2"/>
    <x v="11"/>
    <x v="86"/>
    <n v="57.559999999999995"/>
    <s v="West"/>
    <n v="885"/>
  </r>
  <r>
    <s v="PBOR00205"/>
    <x v="3"/>
    <x v="10"/>
    <x v="162"/>
    <n v="356.75"/>
    <s v="North"/>
    <n v="815"/>
  </r>
  <r>
    <s v="PBOR00206"/>
    <x v="4"/>
    <x v="1"/>
    <x v="132"/>
    <n v="176.63"/>
    <s v="South"/>
    <n v="420"/>
  </r>
  <r>
    <s v="PBOR00207"/>
    <x v="5"/>
    <x v="17"/>
    <x v="163"/>
    <n v="258.95999999999998"/>
    <s v="East"/>
    <n v="665"/>
  </r>
  <r>
    <s v="PBOR00208"/>
    <x v="0"/>
    <x v="17"/>
    <x v="164"/>
    <n v="186.32999999999998"/>
    <s v="West"/>
    <n v="245"/>
  </r>
  <r>
    <s v="PBOR00209"/>
    <x v="1"/>
    <x v="37"/>
    <x v="56"/>
    <n v="485.93"/>
    <s v="North"/>
    <n v="790"/>
  </r>
  <r>
    <s v="PBOR00210"/>
    <x v="2"/>
    <x v="4"/>
    <x v="165"/>
    <n v="322.43"/>
    <s v="South"/>
    <n v="405"/>
  </r>
  <r>
    <s v="PBOR00211"/>
    <x v="3"/>
    <x v="2"/>
    <x v="166"/>
    <n v="431.89"/>
    <s v="East"/>
    <n v="635"/>
  </r>
  <r>
    <s v="PBOR00212"/>
    <x v="0"/>
    <x v="12"/>
    <x v="71"/>
    <n v="12.45"/>
    <s v="West"/>
    <n v="755"/>
  </r>
  <r>
    <s v="PBOR00213"/>
    <x v="1"/>
    <x v="0"/>
    <x v="167"/>
    <n v="149.54999999999998"/>
    <s v="North"/>
    <n v="650"/>
  </r>
  <r>
    <s v="PBOR00214"/>
    <x v="2"/>
    <x v="38"/>
    <x v="168"/>
    <n v="17.12"/>
    <s v="South"/>
    <n v="770"/>
  </r>
  <r>
    <s v="PBOR00215"/>
    <x v="3"/>
    <x v="1"/>
    <x v="169"/>
    <n v="307.59999999999997"/>
    <s v="East"/>
    <n v="425"/>
  </r>
  <r>
    <s v="PBOR00216"/>
    <x v="4"/>
    <x v="2"/>
    <x v="53"/>
    <n v="293.34999999999997"/>
    <s v="West"/>
    <n v="445"/>
  </r>
  <r>
    <s v="PBOR00217"/>
    <x v="0"/>
    <x v="5"/>
    <x v="170"/>
    <n v="58.449999999999996"/>
    <s v="North"/>
    <n v="415"/>
  </r>
  <r>
    <s v="PBOR00218"/>
    <x v="1"/>
    <x v="3"/>
    <x v="171"/>
    <n v="186.34"/>
    <s v="South"/>
    <n v="490"/>
  </r>
  <r>
    <s v="PBOR00219"/>
    <x v="2"/>
    <x v="36"/>
    <x v="172"/>
    <n v="318.25"/>
    <s v="East"/>
    <n v="445"/>
  </r>
  <r>
    <s v="PBOR00220"/>
    <x v="3"/>
    <x v="24"/>
    <x v="52"/>
    <n v="172.16"/>
    <s v="West"/>
    <n v="805"/>
  </r>
  <r>
    <s v="PBOR00221"/>
    <x v="0"/>
    <x v="21"/>
    <x v="77"/>
    <n v="65.990000000000009"/>
    <s v="North"/>
    <n v="400"/>
  </r>
  <r>
    <s v="PBOR00222"/>
    <x v="1"/>
    <x v="32"/>
    <x v="105"/>
    <n v="66.740000000000009"/>
    <s v="South"/>
    <n v="260"/>
  </r>
  <r>
    <s v="PBOR00223"/>
    <x v="2"/>
    <x v="4"/>
    <x v="173"/>
    <n v="643.75"/>
    <s v="East"/>
    <n v="715"/>
  </r>
  <r>
    <s v="PBOR00224"/>
    <x v="3"/>
    <x v="2"/>
    <x v="10"/>
    <n v="81.650000000000006"/>
    <s v="West"/>
    <n v="255"/>
  </r>
  <r>
    <s v="PBOR00225"/>
    <x v="4"/>
    <x v="27"/>
    <x v="174"/>
    <n v="72.36"/>
    <s v="North"/>
    <n v="535"/>
  </r>
  <r>
    <s v="PBOR00226"/>
    <x v="5"/>
    <x v="0"/>
    <x v="175"/>
    <n v="434.17"/>
    <s v="South"/>
    <n v="475"/>
  </r>
  <r>
    <s v="PBOR00227"/>
    <x v="0"/>
    <x v="1"/>
    <x v="107"/>
    <n v="240.16"/>
    <s v="East"/>
    <n v="245"/>
  </r>
  <r>
    <s v="PBOR00228"/>
    <x v="1"/>
    <x v="28"/>
    <x v="147"/>
    <n v="32.809999999999995"/>
    <s v="West"/>
    <n v="485"/>
  </r>
  <r>
    <s v="PBOR00229"/>
    <x v="2"/>
    <x v="8"/>
    <x v="170"/>
    <n v="207.62"/>
    <s v="North"/>
    <n v="415"/>
  </r>
  <r>
    <s v="PBOR00230"/>
    <x v="3"/>
    <x v="33"/>
    <x v="176"/>
    <n v="422.89"/>
    <s v="South"/>
    <n v="690"/>
  </r>
  <r>
    <s v="PBOR00231"/>
    <x v="0"/>
    <x v="14"/>
    <x v="177"/>
    <n v="488.34999999999997"/>
    <s v="East"/>
    <n v="515"/>
  </r>
  <r>
    <s v="PBOR00232"/>
    <x v="1"/>
    <x v="16"/>
    <x v="178"/>
    <n v="599.56999999999994"/>
    <s v="West"/>
    <n v="630"/>
  </r>
  <r>
    <s v="PBOR00233"/>
    <x v="2"/>
    <x v="17"/>
    <x v="179"/>
    <n v="216.57"/>
    <s v="North"/>
    <n v="385"/>
  </r>
  <r>
    <s v="PBOR00234"/>
    <x v="3"/>
    <x v="17"/>
    <x v="180"/>
    <n v="236.54"/>
    <s v="South"/>
    <n v="290"/>
  </r>
  <r>
    <s v="PBOR00235"/>
    <x v="0"/>
    <x v="5"/>
    <x v="181"/>
    <n v="309.48"/>
    <s v="East"/>
    <n v="875"/>
  </r>
  <r>
    <s v="PBOR00236"/>
    <x v="1"/>
    <x v="16"/>
    <x v="182"/>
    <n v="245.67"/>
    <s v="West"/>
    <n v="705"/>
  </r>
  <r>
    <s v="PBOR00237"/>
    <x v="2"/>
    <x v="1"/>
    <x v="137"/>
    <n v="258.27"/>
    <s v="North"/>
    <n v="495"/>
  </r>
  <r>
    <s v="PBOR00238"/>
    <x v="3"/>
    <x v="18"/>
    <x v="183"/>
    <n v="293.09999999999997"/>
    <s v="South"/>
    <n v="420"/>
  </r>
  <r>
    <s v="PBOR00239"/>
    <x v="0"/>
    <x v="3"/>
    <x v="145"/>
    <n v="220.32999999999998"/>
    <s v="East"/>
    <n v="395"/>
  </r>
  <r>
    <s v="PBOR00240"/>
    <x v="1"/>
    <x v="19"/>
    <x v="184"/>
    <n v="41.57"/>
    <s v="West"/>
    <n v="530"/>
  </r>
  <r>
    <s v="PBOR00241"/>
    <x v="2"/>
    <x v="20"/>
    <x v="185"/>
    <n v="101.26"/>
    <s v="North"/>
    <n v="270"/>
  </r>
  <r>
    <s v="PBOR00242"/>
    <x v="3"/>
    <x v="21"/>
    <x v="186"/>
    <n v="307.13"/>
    <s v="South"/>
    <n v="900"/>
  </r>
  <r>
    <s v="PBOR00243"/>
    <x v="4"/>
    <x v="22"/>
    <x v="187"/>
    <n v="625.05999999999995"/>
    <s v="East"/>
    <n v="675"/>
  </r>
  <r>
    <s v="PBOR00244"/>
    <x v="0"/>
    <x v="23"/>
    <x v="188"/>
    <n v="405.21"/>
    <s v="West"/>
    <n v="420"/>
  </r>
  <r>
    <s v="PBOR00245"/>
    <x v="1"/>
    <x v="24"/>
    <x v="189"/>
    <n v="88.600000000000009"/>
    <s v="North"/>
    <n v="365"/>
  </r>
  <r>
    <s v="PBOR00246"/>
    <x v="2"/>
    <x v="16"/>
    <x v="190"/>
    <n v="354.74"/>
    <s v="South"/>
    <n v="380"/>
  </r>
  <r>
    <s v="PBOR00247"/>
    <x v="3"/>
    <x v="25"/>
    <x v="191"/>
    <n v="341.90999999999997"/>
    <s v="East"/>
    <n v="505"/>
  </r>
  <r>
    <s v="PBOR00248"/>
    <x v="0"/>
    <x v="6"/>
    <x v="192"/>
    <n v="435.90999999999997"/>
    <s v="West"/>
    <n v="480"/>
  </r>
  <r>
    <s v="PBOR00249"/>
    <x v="1"/>
    <x v="2"/>
    <x v="108"/>
    <n v="385.8"/>
    <s v="North"/>
    <n v="835"/>
  </r>
  <r>
    <s v="PBOR00250"/>
    <x v="2"/>
    <x v="26"/>
    <x v="193"/>
    <n v="17.510000000000002"/>
    <s v="South"/>
    <n v="325"/>
  </r>
  <r>
    <s v="PBOR00251"/>
    <x v="3"/>
    <x v="4"/>
    <x v="14"/>
    <n v="25.650000000000002"/>
    <s v="East"/>
    <n v="255"/>
  </r>
  <r>
    <s v="PBOR00252"/>
    <x v="4"/>
    <x v="27"/>
    <x v="32"/>
    <n v="91.100000000000009"/>
    <s v="West"/>
    <n v="590"/>
  </r>
  <r>
    <s v="PBOR00253"/>
    <x v="5"/>
    <x v="15"/>
    <x v="194"/>
    <n v="356.94"/>
    <s v="North"/>
    <n v="360"/>
  </r>
  <r>
    <s v="PBOR00254"/>
    <x v="0"/>
    <x v="28"/>
    <x v="195"/>
    <n v="77.7"/>
    <s v="South"/>
    <n v="290"/>
  </r>
  <r>
    <s v="PBOR00255"/>
    <x v="1"/>
    <x v="8"/>
    <x v="196"/>
    <n v="319.48"/>
    <s v="East"/>
    <n v="475"/>
  </r>
  <r>
    <s v="PBOR00256"/>
    <x v="2"/>
    <x v="6"/>
    <x v="49"/>
    <n v="40.43"/>
    <s v="West"/>
    <n v="375"/>
  </r>
  <r>
    <s v="PBOR00257"/>
    <x v="3"/>
    <x v="27"/>
    <x v="197"/>
    <n v="37.919999999999995"/>
    <s v="North"/>
    <n v="575"/>
  </r>
  <r>
    <s v="PBOR00258"/>
    <x v="0"/>
    <x v="10"/>
    <x v="198"/>
    <n v="281.39"/>
    <s v="South"/>
    <n v="780"/>
  </r>
  <r>
    <s v="PBOR00259"/>
    <x v="1"/>
    <x v="29"/>
    <x v="199"/>
    <n v="91.17"/>
    <s v="East"/>
    <n v="585"/>
  </r>
  <r>
    <s v="PBOR00260"/>
    <x v="2"/>
    <x v="30"/>
    <x v="111"/>
    <n v="55.55"/>
    <s v="West"/>
    <n v="465"/>
  </r>
  <r>
    <s v="PBOR00261"/>
    <x v="3"/>
    <x v="31"/>
    <x v="148"/>
    <n v="660.2"/>
    <s v="North"/>
    <n v="700"/>
  </r>
  <r>
    <s v="PBOR00262"/>
    <x v="4"/>
    <x v="27"/>
    <x v="200"/>
    <n v="253.26"/>
    <s v="South"/>
    <n v="310"/>
  </r>
  <r>
    <s v="PBOR00263"/>
    <x v="0"/>
    <x v="29"/>
    <x v="201"/>
    <n v="11.18"/>
    <s v="East"/>
    <n v="720"/>
  </r>
  <r>
    <s v="PBOR00264"/>
    <x v="1"/>
    <x v="1"/>
    <x v="202"/>
    <n v="116.29"/>
    <s v="West"/>
    <n v="205"/>
  </r>
  <r>
    <s v="PBOR00265"/>
    <x v="2"/>
    <x v="11"/>
    <x v="203"/>
    <n v="146.32"/>
    <s v="North"/>
    <n v="660"/>
  </r>
  <r>
    <s v="PBOR00266"/>
    <x v="3"/>
    <x v="5"/>
    <x v="204"/>
    <n v="128.34"/>
    <s v="South"/>
    <n v="785"/>
  </r>
  <r>
    <s v="PBOR00267"/>
    <x v="0"/>
    <x v="2"/>
    <x v="205"/>
    <n v="453.59999999999997"/>
    <s v="East"/>
    <n v="635"/>
  </r>
  <r>
    <s v="PBOR00268"/>
    <x v="1"/>
    <x v="31"/>
    <x v="206"/>
    <n v="252.38"/>
    <s v="West"/>
    <n v="435"/>
  </r>
  <r>
    <s v="PBOR00269"/>
    <x v="2"/>
    <x v="3"/>
    <x v="207"/>
    <n v="253.87"/>
    <s v="North"/>
    <n v="270"/>
  </r>
  <r>
    <s v="PBOR00270"/>
    <x v="3"/>
    <x v="25"/>
    <x v="194"/>
    <n v="308.51"/>
    <s v="South"/>
    <n v="360"/>
  </r>
  <r>
    <s v="PBOR00271"/>
    <x v="4"/>
    <x v="7"/>
    <x v="19"/>
    <n v="259.45"/>
    <s v="East"/>
    <n v="350"/>
  </r>
  <r>
    <s v="PBOR00272"/>
    <x v="5"/>
    <x v="25"/>
    <x v="208"/>
    <n v="474.89"/>
    <s v="West"/>
    <n v="475"/>
  </r>
  <r>
    <s v="PBOR00273"/>
    <x v="0"/>
    <x v="32"/>
    <x v="209"/>
    <n v="475.90999999999997"/>
    <s v="North"/>
    <n v="580"/>
  </r>
  <r>
    <s v="PBOR00274"/>
    <x v="1"/>
    <x v="33"/>
    <x v="210"/>
    <n v="182.37"/>
    <s v="South"/>
    <n v="850"/>
  </r>
  <r>
    <s v="PBOR00275"/>
    <x v="2"/>
    <x v="33"/>
    <x v="211"/>
    <n v="385.46"/>
    <s v="East"/>
    <n v="390"/>
  </r>
  <r>
    <s v="PBOR00276"/>
    <x v="3"/>
    <x v="22"/>
    <x v="201"/>
    <n v="15.01"/>
    <s v="West"/>
    <n v="720"/>
  </r>
  <r>
    <s v="PBOR00277"/>
    <x v="0"/>
    <x v="34"/>
    <x v="212"/>
    <n v="226.42"/>
    <s v="North"/>
    <n v="560"/>
  </r>
  <r>
    <s v="PBOR00278"/>
    <x v="1"/>
    <x v="7"/>
    <x v="189"/>
    <n v="313.02"/>
    <s v="South"/>
    <n v="365"/>
  </r>
  <r>
    <s v="PBOR00279"/>
    <x v="2"/>
    <x v="3"/>
    <x v="213"/>
    <n v="151"/>
    <s v="East"/>
    <n v="745"/>
  </r>
  <r>
    <s v="PBOR00280"/>
    <x v="3"/>
    <x v="31"/>
    <x v="145"/>
    <n v="169.17999999999998"/>
    <s v="West"/>
    <n v="395"/>
  </r>
  <r>
    <s v="PBOR00281"/>
    <x v="0"/>
    <x v="4"/>
    <x v="214"/>
    <n v="720.39"/>
    <s v="North"/>
    <n v="825"/>
  </r>
  <r>
    <s v="PBOR00282"/>
    <x v="1"/>
    <x v="34"/>
    <x v="215"/>
    <n v="9.1999999999999993"/>
    <s v="South"/>
    <n v="350"/>
  </r>
  <r>
    <s v="PBOR00283"/>
    <x v="2"/>
    <x v="13"/>
    <x v="172"/>
    <n v="346.07"/>
    <s v="East"/>
    <n v="445"/>
  </r>
  <r>
    <s v="PBOR00284"/>
    <x v="3"/>
    <x v="35"/>
    <x v="107"/>
    <n v="168.28"/>
    <s v="West"/>
    <n v="245"/>
  </r>
  <r>
    <s v="PBOR00285"/>
    <x v="0"/>
    <x v="2"/>
    <x v="216"/>
    <n v="521.51"/>
    <s v="North"/>
    <n v="895"/>
  </r>
  <r>
    <s v="PBOR00286"/>
    <x v="1"/>
    <x v="13"/>
    <x v="44"/>
    <n v="338.32"/>
    <s v="South"/>
    <n v="765"/>
  </r>
  <r>
    <s v="PBOR00287"/>
    <x v="2"/>
    <x v="18"/>
    <x v="217"/>
    <n v="43.01"/>
    <s v="East"/>
    <n v="340"/>
  </r>
  <r>
    <s v="PBOR00288"/>
    <x v="3"/>
    <x v="23"/>
    <x v="17"/>
    <n v="465.21999999999997"/>
    <s v="West"/>
    <n v="795"/>
  </r>
  <r>
    <s v="PBOR00289"/>
    <x v="4"/>
    <x v="36"/>
    <x v="218"/>
    <n v="156.48999999999998"/>
    <s v="North"/>
    <n v="770"/>
  </r>
  <r>
    <s v="PBOR00290"/>
    <x v="0"/>
    <x v="37"/>
    <x v="219"/>
    <n v="110.69000000000001"/>
    <s v="South"/>
    <n v="320"/>
  </r>
  <r>
    <s v="PBOR00291"/>
    <x v="1"/>
    <x v="4"/>
    <x v="220"/>
    <n v="335.13"/>
    <s v="East"/>
    <n v="745"/>
  </r>
  <r>
    <s v="PBOR00292"/>
    <x v="2"/>
    <x v="3"/>
    <x v="98"/>
    <n v="99.29"/>
    <s v="West"/>
    <n v="240"/>
  </r>
  <r>
    <s v="PBOR00293"/>
    <x v="3"/>
    <x v="35"/>
    <x v="34"/>
    <n v="546.36"/>
    <s v="North"/>
    <n v="695"/>
  </r>
  <r>
    <s v="PBOR00294"/>
    <x v="0"/>
    <x v="11"/>
    <x v="221"/>
    <n v="646.08000000000004"/>
    <s v="South"/>
    <n v="785"/>
  </r>
  <r>
    <s v="PBOR00295"/>
    <x v="1"/>
    <x v="10"/>
    <x v="222"/>
    <n v="470.51"/>
    <s v="East"/>
    <n v="830"/>
  </r>
  <r>
    <s v="PBOR00296"/>
    <x v="2"/>
    <x v="1"/>
    <x v="174"/>
    <n v="257.28999999999996"/>
    <s v="West"/>
    <n v="535"/>
  </r>
  <r>
    <s v="PBOR00297"/>
    <x v="3"/>
    <x v="17"/>
    <x v="223"/>
    <n v="428.53999999999996"/>
    <s v="North"/>
    <n v="530"/>
  </r>
  <r>
    <s v="PBOR00298"/>
    <x v="4"/>
    <x v="17"/>
    <x v="224"/>
    <n v="81.650000000000006"/>
    <s v="South"/>
    <n v="605"/>
  </r>
  <r>
    <s v="PBOR00299"/>
    <x v="5"/>
    <x v="37"/>
    <x v="225"/>
    <n v="366.48"/>
    <s v="East"/>
    <n v="680"/>
  </r>
  <r>
    <s v="PBOR00300"/>
    <x v="0"/>
    <x v="4"/>
    <x v="226"/>
    <n v="584.70000000000005"/>
    <s v="West"/>
    <n v="675"/>
  </r>
  <r>
    <s v="PBOR00301"/>
    <x v="1"/>
    <x v="2"/>
    <x v="227"/>
    <n v="90.300000000000011"/>
    <s v="North"/>
    <n v="615"/>
  </r>
  <r>
    <s v="PBOR00302"/>
    <x v="2"/>
    <x v="12"/>
    <x v="228"/>
    <n v="311.07"/>
    <s v="South"/>
    <n v="625"/>
  </r>
  <r>
    <s v="PBOR00303"/>
    <x v="3"/>
    <x v="0"/>
    <x v="121"/>
    <n v="47.1"/>
    <s v="East"/>
    <n v="280"/>
  </r>
  <r>
    <s v="PBOR00304"/>
    <x v="0"/>
    <x v="38"/>
    <x v="229"/>
    <n v="492.26"/>
    <s v="West"/>
    <n v="865"/>
  </r>
  <r>
    <s v="PBOR00305"/>
    <x v="1"/>
    <x v="1"/>
    <x v="230"/>
    <n v="154.01"/>
    <s v="North"/>
    <n v="435"/>
  </r>
  <r>
    <s v="PBOR00306"/>
    <x v="2"/>
    <x v="2"/>
    <x v="231"/>
    <n v="45.059999999999995"/>
    <s v="South"/>
    <n v="400"/>
  </r>
  <r>
    <s v="PBOR00307"/>
    <x v="3"/>
    <x v="5"/>
    <x v="32"/>
    <n v="341.83"/>
    <s v="East"/>
    <n v="590"/>
  </r>
  <r>
    <s v="PBOR00308"/>
    <x v="4"/>
    <x v="3"/>
    <x v="232"/>
    <n v="115.16000000000001"/>
    <s v="West"/>
    <n v="615"/>
  </r>
  <r>
    <s v="PBOR00309"/>
    <x v="0"/>
    <x v="36"/>
    <x v="233"/>
    <n v="345.49"/>
    <s v="North"/>
    <n v="500"/>
  </r>
  <r>
    <s v="PBOR00310"/>
    <x v="1"/>
    <x v="24"/>
    <x v="234"/>
    <n v="556.53"/>
    <s v="South"/>
    <n v="760"/>
  </r>
  <r>
    <s v="PBOR00311"/>
    <x v="2"/>
    <x v="21"/>
    <x v="235"/>
    <n v="138.78"/>
    <s v="East"/>
    <n v="350"/>
  </r>
  <r>
    <s v="PBOR00312"/>
    <x v="3"/>
    <x v="32"/>
    <x v="236"/>
    <n v="181.63"/>
    <s v="West"/>
    <n v="385"/>
  </r>
  <r>
    <s v="PBOR00313"/>
    <x v="0"/>
    <x v="4"/>
    <x v="68"/>
    <n v="523.30999999999995"/>
    <s v="North"/>
    <n v="580"/>
  </r>
  <r>
    <s v="PBOR00314"/>
    <x v="1"/>
    <x v="2"/>
    <x v="237"/>
    <n v="59.64"/>
    <s v="South"/>
    <n v="240"/>
  </r>
  <r>
    <s v="PBOR00315"/>
    <x v="2"/>
    <x v="27"/>
    <x v="238"/>
    <n v="270.24"/>
    <s v="East"/>
    <n v="475"/>
  </r>
  <r>
    <s v="PBOR00316"/>
    <x v="3"/>
    <x v="0"/>
    <x v="239"/>
    <n v="11.39"/>
    <s v="West"/>
    <n v="340"/>
  </r>
  <r>
    <s v="PBOR00317"/>
    <x v="4"/>
    <x v="1"/>
    <x v="240"/>
    <n v="45.309999999999995"/>
    <s v="North"/>
    <n v="385"/>
  </r>
  <r>
    <s v="PBOR00318"/>
    <x v="5"/>
    <x v="28"/>
    <x v="241"/>
    <n v="15.33"/>
    <s v="South"/>
    <n v="545"/>
  </r>
  <r>
    <s v="PBOR00319"/>
    <x v="0"/>
    <x v="8"/>
    <x v="242"/>
    <n v="347.43"/>
    <s v="East"/>
    <n v="520"/>
  </r>
  <r>
    <s v="PBOR00320"/>
    <x v="1"/>
    <x v="33"/>
    <x v="66"/>
    <n v="195"/>
    <s v="West"/>
    <n v="535"/>
  </r>
  <r>
    <s v="PBOR00321"/>
    <x v="2"/>
    <x v="14"/>
    <x v="243"/>
    <n v="133.19999999999999"/>
    <s v="North"/>
    <n v="865"/>
  </r>
  <r>
    <s v="PBOR00322"/>
    <x v="3"/>
    <x v="16"/>
    <x v="244"/>
    <n v="337.9"/>
    <s v="South"/>
    <n v="505"/>
  </r>
  <r>
    <s v="PBOR00323"/>
    <x v="0"/>
    <x v="17"/>
    <x v="245"/>
    <n v="174.35"/>
    <s v="East"/>
    <n v="250"/>
  </r>
  <r>
    <s v="PBOR00324"/>
    <x v="1"/>
    <x v="17"/>
    <x v="246"/>
    <n v="71.06"/>
    <s v="West"/>
    <n v="485"/>
  </r>
  <r>
    <s v="PBOR00325"/>
    <x v="2"/>
    <x v="5"/>
    <x v="247"/>
    <n v="211.87"/>
    <s v="North"/>
    <n v="215"/>
  </r>
  <r>
    <s v="PBOR00326"/>
    <x v="3"/>
    <x v="16"/>
    <x v="248"/>
    <n v="217.91"/>
    <s v="South"/>
    <n v="680"/>
  </r>
  <r>
    <s v="PBOR00327"/>
    <x v="0"/>
    <x v="1"/>
    <x v="249"/>
    <n v="530.12"/>
    <s v="East"/>
    <n v="560"/>
  </r>
  <r>
    <s v="PBOR00328"/>
    <x v="1"/>
    <x v="18"/>
    <x v="145"/>
    <n v="201.6"/>
    <s v="West"/>
    <n v="395"/>
  </r>
  <r>
    <s v="PBOR00329"/>
    <x v="2"/>
    <x v="3"/>
    <x v="212"/>
    <n v="369.94"/>
    <s v="North"/>
    <n v="560"/>
  </r>
  <r>
    <s v="PBOR00330"/>
    <x v="3"/>
    <x v="19"/>
    <x v="25"/>
    <n v="530.53"/>
    <s v="South"/>
    <n v="590"/>
  </r>
  <r>
    <s v="PBOR00331"/>
    <x v="0"/>
    <x v="20"/>
    <x v="74"/>
    <n v="68.45"/>
    <s v="East"/>
    <n v="510"/>
  </r>
  <r>
    <s v="PBOR00332"/>
    <x v="1"/>
    <x v="21"/>
    <x v="250"/>
    <n v="340.71"/>
    <s v="West"/>
    <n v="890"/>
  </r>
  <r>
    <s v="PBOR00333"/>
    <x v="2"/>
    <x v="22"/>
    <x v="251"/>
    <n v="46.129999999999995"/>
    <s v="North"/>
    <n v="305"/>
  </r>
  <r>
    <s v="PBOR00334"/>
    <x v="3"/>
    <x v="23"/>
    <x v="252"/>
    <n v="588.98"/>
    <s v="South"/>
    <n v="610"/>
  </r>
  <r>
    <s v="PBOR00335"/>
    <x v="4"/>
    <x v="24"/>
    <x v="253"/>
    <n v="313.61"/>
    <s v="East"/>
    <n v="335"/>
  </r>
  <r>
    <s v="PBOR00336"/>
    <x v="0"/>
    <x v="16"/>
    <x v="136"/>
    <n v="437.23"/>
    <s v="West"/>
    <n v="485"/>
  </r>
  <r>
    <s v="PBOR00337"/>
    <x v="1"/>
    <x v="25"/>
    <x v="240"/>
    <n v="238.89"/>
    <s v="North"/>
    <n v="385"/>
  </r>
  <r>
    <s v="PBOR00338"/>
    <x v="2"/>
    <x v="6"/>
    <x v="254"/>
    <n v="38.68"/>
    <s v="South"/>
    <n v="625"/>
  </r>
  <r>
    <s v="PBOR00339"/>
    <x v="3"/>
    <x v="2"/>
    <x v="255"/>
    <n v="435.53999999999996"/>
    <s v="East"/>
    <n v="885"/>
  </r>
  <r>
    <s v="PBOR00340"/>
    <x v="0"/>
    <x v="26"/>
    <x v="25"/>
    <n v="411.76"/>
    <s v="West"/>
    <n v="590"/>
  </r>
  <r>
    <s v="PBOR00341"/>
    <x v="1"/>
    <x v="4"/>
    <x v="256"/>
    <n v="490.21999999999997"/>
    <s v="North"/>
    <n v="900"/>
  </r>
  <r>
    <s v="PBOR00342"/>
    <x v="2"/>
    <x v="27"/>
    <x v="257"/>
    <n v="176.35"/>
    <s v="South"/>
    <n v="500"/>
  </r>
  <r>
    <s v="PBOR00343"/>
    <x v="3"/>
    <x v="15"/>
    <x v="239"/>
    <n v="20.440000000000001"/>
    <s v="East"/>
    <n v="340"/>
  </r>
  <r>
    <s v="PBOR00344"/>
    <x v="4"/>
    <x v="28"/>
    <x v="119"/>
    <n v="28.060000000000002"/>
    <s v="West"/>
    <n v="675"/>
  </r>
  <r>
    <s v="PBOR00345"/>
    <x v="5"/>
    <x v="8"/>
    <x v="258"/>
    <n v="70.550000000000011"/>
    <s v="North"/>
    <n v="240"/>
  </r>
  <r>
    <s v="PBOR00346"/>
    <x v="0"/>
    <x v="6"/>
    <x v="195"/>
    <n v="197.64999999999998"/>
    <s v="South"/>
    <n v="290"/>
  </r>
  <r>
    <s v="PBOR00347"/>
    <x v="1"/>
    <x v="27"/>
    <x v="149"/>
    <n v="161.59"/>
    <s v="East"/>
    <n v="305"/>
  </r>
  <r>
    <s v="PBOR00348"/>
    <x v="2"/>
    <x v="10"/>
    <x v="259"/>
    <n v="43.559999999999995"/>
    <s v="West"/>
    <n v="800"/>
  </r>
  <r>
    <s v="PBOR00349"/>
    <x v="3"/>
    <x v="29"/>
    <x v="260"/>
    <n v="708.46"/>
    <s v="North"/>
    <n v="745"/>
  </r>
  <r>
    <s v="PBOR00350"/>
    <x v="0"/>
    <x v="30"/>
    <x v="121"/>
    <n v="131.31"/>
    <s v="South"/>
    <n v="280"/>
  </r>
  <r>
    <s v="PBOR00351"/>
    <x v="1"/>
    <x v="31"/>
    <x v="261"/>
    <n v="292.33999999999997"/>
    <s v="East"/>
    <n v="485"/>
  </r>
  <r>
    <s v="PBOR00352"/>
    <x v="2"/>
    <x v="27"/>
    <x v="60"/>
    <n v="146.70999999999998"/>
    <s v="West"/>
    <n v="855"/>
  </r>
  <r>
    <s v="PBOR00353"/>
    <x v="3"/>
    <x v="29"/>
    <x v="262"/>
    <n v="290.76"/>
    <s v="North"/>
    <n v="650"/>
  </r>
  <r>
    <s v="PBOR00354"/>
    <x v="4"/>
    <x v="1"/>
    <x v="263"/>
    <n v="318.43"/>
    <s v="South"/>
    <n v="585"/>
  </r>
  <r>
    <s v="PBOR00355"/>
    <x v="0"/>
    <x v="11"/>
    <x v="264"/>
    <n v="371.57"/>
    <s v="East"/>
    <n v="735"/>
  </r>
  <r>
    <s v="PBOR00356"/>
    <x v="1"/>
    <x v="5"/>
    <x v="216"/>
    <n v="82.63000000000001"/>
    <s v="West"/>
    <n v="895"/>
  </r>
  <r>
    <s v="PBOR00357"/>
    <x v="2"/>
    <x v="2"/>
    <x v="94"/>
    <n v="300.56"/>
    <s v="North"/>
    <n v="860"/>
  </r>
  <r>
    <s v="PBOR00358"/>
    <x v="3"/>
    <x v="31"/>
    <x v="185"/>
    <n v="241.29"/>
    <s v="South"/>
    <n v="270"/>
  </r>
  <r>
    <s v="PBOR00359"/>
    <x v="0"/>
    <x v="3"/>
    <x v="253"/>
    <n v="60.29"/>
    <s v="East"/>
    <n v="335"/>
  </r>
  <r>
    <s v="PBOR00360"/>
    <x v="1"/>
    <x v="25"/>
    <x v="45"/>
    <n v="7.05"/>
    <s v="West"/>
    <n v="275"/>
  </r>
  <r>
    <s v="PBOR00361"/>
    <x v="2"/>
    <x v="7"/>
    <x v="98"/>
    <n v="191.95"/>
    <s v="North"/>
    <n v="240"/>
  </r>
  <r>
    <s v="PBOR00362"/>
    <x v="3"/>
    <x v="25"/>
    <x v="27"/>
    <n v="134.88999999999999"/>
    <s v="South"/>
    <n v="840"/>
  </r>
  <r>
    <s v="PBOR00363"/>
    <x v="4"/>
    <x v="32"/>
    <x v="161"/>
    <n v="200.51999999999998"/>
    <s v="East"/>
    <n v="810"/>
  </r>
  <r>
    <s v="PBOR00364"/>
    <x v="5"/>
    <x v="33"/>
    <x v="23"/>
    <n v="119.83"/>
    <s v="West"/>
    <n v="540"/>
  </r>
  <r>
    <s v="PBOR00365"/>
    <x v="0"/>
    <x v="33"/>
    <x v="265"/>
    <n v="528.79999999999995"/>
    <s v="North"/>
    <n v="740"/>
  </r>
  <r>
    <s v="PBOR00366"/>
    <x v="1"/>
    <x v="22"/>
    <x v="266"/>
    <n v="99.440000000000012"/>
    <s v="South"/>
    <n v="880"/>
  </r>
  <r>
    <s v="PBOR00367"/>
    <x v="2"/>
    <x v="34"/>
    <x v="267"/>
    <n v="49.62"/>
    <s v="East"/>
    <n v="760"/>
  </r>
  <r>
    <s v="PBOR00368"/>
    <x v="3"/>
    <x v="7"/>
    <x v="268"/>
    <n v="379.99"/>
    <s v="West"/>
    <n v="815"/>
  </r>
  <r>
    <s v="PBOR00369"/>
    <x v="0"/>
    <x v="3"/>
    <x v="269"/>
    <n v="513.56999999999994"/>
    <s v="North"/>
    <n v="555"/>
  </r>
  <r>
    <s v="PBOR00370"/>
    <x v="1"/>
    <x v="31"/>
    <x v="99"/>
    <n v="106.83"/>
    <s v="South"/>
    <n v="565"/>
  </r>
  <r>
    <s v="PBOR00371"/>
    <x v="2"/>
    <x v="4"/>
    <x v="270"/>
    <n v="74.36"/>
    <s v="East"/>
    <n v="265"/>
  </r>
  <r>
    <s v="PBOR00372"/>
    <x v="3"/>
    <x v="34"/>
    <x v="271"/>
    <n v="572.70000000000005"/>
    <s v="West"/>
    <n v="725"/>
  </r>
  <r>
    <s v="PBOR00373"/>
    <x v="0"/>
    <x v="13"/>
    <x v="272"/>
    <n v="61.489999999999995"/>
    <s v="North"/>
    <n v="335"/>
  </r>
  <r>
    <s v="PBOR00374"/>
    <x v="1"/>
    <x v="35"/>
    <x v="273"/>
    <n v="131.59"/>
    <s v="South"/>
    <n v="640"/>
  </r>
  <r>
    <s v="PBOR00375"/>
    <x v="2"/>
    <x v="2"/>
    <x v="195"/>
    <n v="6.18"/>
    <s v="East"/>
    <n v="290"/>
  </r>
  <r>
    <s v="PBOR00376"/>
    <x v="3"/>
    <x v="13"/>
    <x v="274"/>
    <n v="6.96"/>
    <s v="West"/>
    <n v="305"/>
  </r>
  <r>
    <s v="PBOR00377"/>
    <x v="0"/>
    <x v="18"/>
    <x v="49"/>
    <n v="249.19"/>
    <s v="North"/>
    <n v="375"/>
  </r>
  <r>
    <s v="PBOR00378"/>
    <x v="1"/>
    <x v="23"/>
    <x v="275"/>
    <n v="203.48999999999998"/>
    <s v="South"/>
    <n v="700"/>
  </r>
  <r>
    <s v="PBOR00379"/>
    <x v="2"/>
    <x v="36"/>
    <x v="276"/>
    <n v="335.21999999999997"/>
    <s v="East"/>
    <n v="600"/>
  </r>
  <r>
    <s v="PBOR00380"/>
    <x v="3"/>
    <x v="37"/>
    <x v="277"/>
    <n v="497.43"/>
    <s v="West"/>
    <n v="870"/>
  </r>
  <r>
    <s v="PBOR00381"/>
    <x v="4"/>
    <x v="4"/>
    <x v="278"/>
    <n v="21.39"/>
    <s v="North"/>
    <n v="250"/>
  </r>
  <r>
    <s v="PBOR00382"/>
    <x v="0"/>
    <x v="3"/>
    <x v="279"/>
    <n v="594.70000000000005"/>
    <s v="South"/>
    <n v="620"/>
  </r>
  <r>
    <s v="PBOR00383"/>
    <x v="1"/>
    <x v="35"/>
    <x v="280"/>
    <n v="122.28"/>
    <s v="East"/>
    <n v="500"/>
  </r>
  <r>
    <s v="PBOR00384"/>
    <x v="2"/>
    <x v="11"/>
    <x v="281"/>
    <n v="507.48"/>
    <s v="West"/>
    <n v="895"/>
  </r>
  <r>
    <s v="PBOR00385"/>
    <x v="3"/>
    <x v="10"/>
    <x v="282"/>
    <n v="34.93"/>
    <s v="North"/>
    <n v="775"/>
  </r>
  <r>
    <s v="PBOR00386"/>
    <x v="0"/>
    <x v="1"/>
    <x v="283"/>
    <n v="817.71"/>
    <s v="South"/>
    <n v="840"/>
  </r>
  <r>
    <s v="PBOR00387"/>
    <x v="1"/>
    <x v="17"/>
    <x v="284"/>
    <n v="371.03999999999996"/>
    <s v="East"/>
    <n v="655"/>
  </r>
  <r>
    <s v="PBOR00388"/>
    <x v="2"/>
    <x v="17"/>
    <x v="104"/>
    <n v="315.19"/>
    <s v="West"/>
    <n v="830"/>
  </r>
  <r>
    <s v="PBOR00389"/>
    <x v="3"/>
    <x v="37"/>
    <x v="285"/>
    <n v="549.45000000000005"/>
    <s v="North"/>
    <n v="875"/>
  </r>
  <r>
    <s v="PBOR00390"/>
    <x v="4"/>
    <x v="4"/>
    <x v="79"/>
    <n v="213.97"/>
    <s v="South"/>
    <n v="565"/>
  </r>
  <r>
    <s v="PBOR00391"/>
    <x v="5"/>
    <x v="2"/>
    <x v="286"/>
    <n v="273.5"/>
    <s v="East"/>
    <n v="760"/>
  </r>
  <r>
    <s v="PBOR00392"/>
    <x v="0"/>
    <x v="12"/>
    <x v="287"/>
    <n v="776.86"/>
    <s v="West"/>
    <n v="860"/>
  </r>
  <r>
    <s v="PBOR00393"/>
    <x v="1"/>
    <x v="0"/>
    <x v="288"/>
    <n v="322.7"/>
    <s v="North"/>
    <n v="855"/>
  </r>
  <r>
    <s v="PBOR00394"/>
    <x v="2"/>
    <x v="38"/>
    <x v="51"/>
    <n v="166.17"/>
    <s v="South"/>
    <n v="425"/>
  </r>
  <r>
    <s v="PBOR00395"/>
    <x v="3"/>
    <x v="1"/>
    <x v="289"/>
    <n v="521.54"/>
    <s v="East"/>
    <n v="860"/>
  </r>
  <r>
    <s v="PBOR00396"/>
    <x v="0"/>
    <x v="2"/>
    <x v="174"/>
    <n v="92.52000000000001"/>
    <s v="West"/>
    <n v="535"/>
  </r>
  <r>
    <s v="PBOR00397"/>
    <x v="1"/>
    <x v="5"/>
    <x v="290"/>
    <n v="7.24"/>
    <s v="North"/>
    <n v="210"/>
  </r>
  <r>
    <s v="PBOR00398"/>
    <x v="2"/>
    <x v="3"/>
    <x v="291"/>
    <n v="207.89999999999998"/>
    <s v="South"/>
    <n v="570"/>
  </r>
  <r>
    <s v="PBOR00399"/>
    <x v="3"/>
    <x v="36"/>
    <x v="292"/>
    <n v="83.350000000000009"/>
    <s v="East"/>
    <n v="225"/>
  </r>
  <r>
    <s v="PBOR00400"/>
    <x v="4"/>
    <x v="24"/>
    <x v="293"/>
    <n v="672.68"/>
    <s v="West"/>
    <n v="855"/>
  </r>
  <r>
    <s v="PBOR00401"/>
    <x v="0"/>
    <x v="21"/>
    <x v="64"/>
    <n v="237"/>
    <s v="North"/>
    <n v="265"/>
  </r>
  <r>
    <s v="PBOR00402"/>
    <x v="1"/>
    <x v="32"/>
    <x v="294"/>
    <n v="193.45999999999998"/>
    <s v="South"/>
    <n v="355"/>
  </r>
  <r>
    <s v="PBOR00403"/>
    <x v="2"/>
    <x v="4"/>
    <x v="295"/>
    <n v="757.46"/>
    <s v="East"/>
    <n v="895"/>
  </r>
  <r>
    <s v="PBOR00404"/>
    <x v="3"/>
    <x v="2"/>
    <x v="92"/>
    <n v="53.43"/>
    <s v="West"/>
    <n v="480"/>
  </r>
  <r>
    <s v="PBOR00405"/>
    <x v="0"/>
    <x v="27"/>
    <x v="296"/>
    <n v="162.97999999999999"/>
    <s v="North"/>
    <n v="610"/>
  </r>
  <r>
    <s v="PBOR00406"/>
    <x v="1"/>
    <x v="0"/>
    <x v="135"/>
    <n v="103.18"/>
    <s v="South"/>
    <n v="775"/>
  </r>
  <r>
    <s v="PBOR00407"/>
    <x v="2"/>
    <x v="1"/>
    <x v="297"/>
    <n v="118.95"/>
    <s v="East"/>
    <n v="570"/>
  </r>
  <r>
    <s v="PBOR00408"/>
    <x v="3"/>
    <x v="28"/>
    <x v="144"/>
    <n v="526.14"/>
    <s v="West"/>
    <n v="690"/>
  </r>
  <r>
    <s v="PBOR00409"/>
    <x v="4"/>
    <x v="8"/>
    <x v="143"/>
    <n v="188.29999999999998"/>
    <s v="North"/>
    <n v="790"/>
  </r>
  <r>
    <s v="PBOR00410"/>
    <x v="5"/>
    <x v="33"/>
    <x v="298"/>
    <n v="41.58"/>
    <s v="South"/>
    <n v="330"/>
  </r>
  <r>
    <s v="PBOR00411"/>
    <x v="0"/>
    <x v="14"/>
    <x v="98"/>
    <n v="16.180000000000003"/>
    <s v="East"/>
    <n v="240"/>
  </r>
  <r>
    <s v="PBOR00412"/>
    <x v="1"/>
    <x v="16"/>
    <x v="137"/>
    <n v="488.92"/>
    <s v="West"/>
    <n v="495"/>
  </r>
  <r>
    <s v="PBOR00413"/>
    <x v="2"/>
    <x v="17"/>
    <x v="105"/>
    <n v="68.13000000000001"/>
    <s v="North"/>
    <n v="260"/>
  </r>
  <r>
    <s v="PBOR00414"/>
    <x v="3"/>
    <x v="17"/>
    <x v="271"/>
    <n v="633.54"/>
    <s v="South"/>
    <n v="725"/>
  </r>
  <r>
    <s v="PBOR00415"/>
    <x v="0"/>
    <x v="5"/>
    <x v="231"/>
    <n v="308.64999999999998"/>
    <s v="East"/>
    <n v="400"/>
  </r>
  <r>
    <s v="PBOR00416"/>
    <x v="1"/>
    <x v="16"/>
    <x v="299"/>
    <n v="58.12"/>
    <s v="West"/>
    <n v="370"/>
  </r>
  <r>
    <s v="PBOR00417"/>
    <x v="2"/>
    <x v="1"/>
    <x v="300"/>
    <n v="351.96"/>
    <s v="North"/>
    <n v="655"/>
  </r>
  <r>
    <s v="PBOR00418"/>
    <x v="3"/>
    <x v="18"/>
    <x v="92"/>
    <n v="425.21"/>
    <s v="South"/>
    <n v="480"/>
  </r>
  <r>
    <s v="PBOR00419"/>
    <x v="0"/>
    <x v="3"/>
    <x v="301"/>
    <n v="48.809999999999995"/>
    <s v="East"/>
    <n v="650"/>
  </r>
  <r>
    <s v="PBOR00420"/>
    <x v="1"/>
    <x v="19"/>
    <x v="302"/>
    <n v="257.07"/>
    <s v="West"/>
    <n v="555"/>
  </r>
  <r>
    <s v="PBOR00421"/>
    <x v="2"/>
    <x v="20"/>
    <x v="303"/>
    <n v="243.31"/>
    <s v="North"/>
    <n v="705"/>
  </r>
  <r>
    <s v="PBOR00422"/>
    <x v="3"/>
    <x v="21"/>
    <x v="304"/>
    <n v="321.59999999999997"/>
    <s v="South"/>
    <n v="460"/>
  </r>
  <r>
    <s v="PBOR00423"/>
    <x v="0"/>
    <x v="22"/>
    <x v="278"/>
    <n v="4.6899999999999995"/>
    <s v="East"/>
    <n v="250"/>
  </r>
  <r>
    <s v="PBOR00424"/>
    <x v="1"/>
    <x v="23"/>
    <x v="305"/>
    <n v="512.72"/>
    <s v="West"/>
    <n v="700"/>
  </r>
  <r>
    <s v="PBOR00425"/>
    <x v="2"/>
    <x v="24"/>
    <x v="306"/>
    <n v="237.85999999999999"/>
    <s v="North"/>
    <n v="330"/>
  </r>
  <r>
    <s v="PBOR00426"/>
    <x v="3"/>
    <x v="16"/>
    <x v="307"/>
    <n v="639.06999999999994"/>
    <s v="South"/>
    <n v="655"/>
  </r>
  <r>
    <s v="PBOR00427"/>
    <x v="4"/>
    <x v="25"/>
    <x v="308"/>
    <n v="417.84"/>
    <s v="East"/>
    <n v="450"/>
  </r>
  <r>
    <s v="PBOR00428"/>
    <x v="0"/>
    <x v="6"/>
    <x v="27"/>
    <n v="292.32"/>
    <s v="West"/>
    <n v="840"/>
  </r>
  <r>
    <s v="PBOR00429"/>
    <x v="1"/>
    <x v="2"/>
    <x v="309"/>
    <n v="311.5"/>
    <s v="North"/>
    <n v="845"/>
  </r>
  <r>
    <s v="PBOR00430"/>
    <x v="2"/>
    <x v="26"/>
    <x v="60"/>
    <n v="327.3"/>
    <s v="South"/>
    <n v="855"/>
  </r>
  <r>
    <s v="PBOR00431"/>
    <x v="3"/>
    <x v="4"/>
    <x v="310"/>
    <n v="326.89"/>
    <s v="East"/>
    <n v="425"/>
  </r>
  <r>
    <s v="PBOR00432"/>
    <x v="0"/>
    <x v="27"/>
    <x v="3"/>
    <n v="619.61"/>
    <s v="West"/>
    <n v="630"/>
  </r>
  <r>
    <s v="PBOR00433"/>
    <x v="1"/>
    <x v="15"/>
    <x v="95"/>
    <n v="196.69"/>
    <s v="North"/>
    <n v="805"/>
  </r>
  <r>
    <s v="PBOR00434"/>
    <x v="2"/>
    <x v="28"/>
    <x v="311"/>
    <n v="426.18"/>
    <s v="South"/>
    <n v="835"/>
  </r>
  <r>
    <s v="PBOR00435"/>
    <x v="3"/>
    <x v="8"/>
    <x v="226"/>
    <n v="670.08"/>
    <s v="East"/>
    <n v="675"/>
  </r>
  <r>
    <s v="PBOR00436"/>
    <x v="4"/>
    <x v="6"/>
    <x v="312"/>
    <n v="191.41"/>
    <s v="West"/>
    <n v="330"/>
  </r>
  <r>
    <s v="PBOR00437"/>
    <x v="5"/>
    <x v="27"/>
    <x v="57"/>
    <n v="105.13000000000001"/>
    <s v="North"/>
    <n v="525"/>
  </r>
  <r>
    <s v="PBOR00438"/>
    <x v="0"/>
    <x v="10"/>
    <x v="59"/>
    <n v="75.77000000000001"/>
    <s v="South"/>
    <n v="865"/>
  </r>
  <r>
    <s v="PBOR00439"/>
    <x v="1"/>
    <x v="29"/>
    <x v="134"/>
    <n v="456.40999999999997"/>
    <s v="East"/>
    <n v="495"/>
  </r>
  <r>
    <s v="PBOR00440"/>
    <x v="2"/>
    <x v="30"/>
    <x v="313"/>
    <n v="293.07"/>
    <s v="West"/>
    <n v="720"/>
  </r>
  <r>
    <s v="PBOR00441"/>
    <x v="3"/>
    <x v="31"/>
    <x v="109"/>
    <n v="117.45"/>
    <s v="North"/>
    <n v="260"/>
  </r>
  <r>
    <s v="PBOR00442"/>
    <x v="0"/>
    <x v="27"/>
    <x v="314"/>
    <n v="384.15"/>
    <s v="South"/>
    <n v="845"/>
  </r>
  <r>
    <s v="PBOR00443"/>
    <x v="1"/>
    <x v="29"/>
    <x v="315"/>
    <n v="59.35"/>
    <s v="East"/>
    <n v="195"/>
  </r>
  <r>
    <s v="PBOR00444"/>
    <x v="2"/>
    <x v="1"/>
    <x v="316"/>
    <n v="49.44"/>
    <s v="West"/>
    <n v="215"/>
  </r>
  <r>
    <s v="PBOR00445"/>
    <x v="3"/>
    <x v="11"/>
    <x v="317"/>
    <n v="124.10000000000001"/>
    <s v="North"/>
    <n v="255"/>
  </r>
  <r>
    <s v="PBOR00446"/>
    <x v="4"/>
    <x v="5"/>
    <x v="318"/>
    <n v="408.84"/>
    <s v="South"/>
    <n v="465"/>
  </r>
  <r>
    <s v="PBOR00447"/>
    <x v="0"/>
    <x v="2"/>
    <x v="319"/>
    <n v="157.20999999999998"/>
    <s v="East"/>
    <n v="510"/>
  </r>
  <r>
    <s v="PBOR00448"/>
    <x v="1"/>
    <x v="31"/>
    <x v="320"/>
    <n v="702.79"/>
    <s v="West"/>
    <n v="820"/>
  </r>
  <r>
    <s v="PBOR00449"/>
    <x v="2"/>
    <x v="3"/>
    <x v="321"/>
    <n v="181.09"/>
    <s v="North"/>
    <n v="620"/>
  </r>
  <r>
    <s v="PBOR00450"/>
    <x v="3"/>
    <x v="25"/>
    <x v="322"/>
    <n v="159.51"/>
    <s v="South"/>
    <n v="615"/>
  </r>
  <r>
    <s v="PBOR00451"/>
    <x v="0"/>
    <x v="7"/>
    <x v="191"/>
    <n v="149.48999999999998"/>
    <s v="East"/>
    <n v="505"/>
  </r>
  <r>
    <s v="PBOR00452"/>
    <x v="1"/>
    <x v="25"/>
    <x v="323"/>
    <n v="18.260000000000002"/>
    <s v="West"/>
    <n v="245"/>
  </r>
  <r>
    <s v="PBOR00453"/>
    <x v="2"/>
    <x v="32"/>
    <x v="324"/>
    <n v="25.360000000000003"/>
    <s v="North"/>
    <n v="650"/>
  </r>
  <r>
    <s v="PBOR00454"/>
    <x v="3"/>
    <x v="33"/>
    <x v="183"/>
    <n v="321.94"/>
    <s v="South"/>
    <n v="420"/>
  </r>
  <r>
    <s v="PBOR00455"/>
    <x v="4"/>
    <x v="33"/>
    <x v="325"/>
    <n v="610.91999999999996"/>
    <s v="East"/>
    <n v="815"/>
  </r>
  <r>
    <s v="PBOR00456"/>
    <x v="5"/>
    <x v="22"/>
    <x v="326"/>
    <n v="283.45"/>
    <s v="West"/>
    <n v="410"/>
  </r>
  <r>
    <s v="PBOR00457"/>
    <x v="0"/>
    <x v="34"/>
    <x v="327"/>
    <n v="176.29"/>
    <s v="North"/>
    <n v="335"/>
  </r>
  <r>
    <s v="PBOR00458"/>
    <x v="1"/>
    <x v="7"/>
    <x v="310"/>
    <n v="137.10999999999999"/>
    <s v="South"/>
    <n v="425"/>
  </r>
  <r>
    <s v="PBOR00459"/>
    <x v="2"/>
    <x v="3"/>
    <x v="274"/>
    <n v="109.52000000000001"/>
    <s v="East"/>
    <n v="305"/>
  </r>
  <r>
    <s v="PBOR00460"/>
    <x v="3"/>
    <x v="31"/>
    <x v="328"/>
    <n v="248.48"/>
    <s v="West"/>
    <n v="375"/>
  </r>
  <r>
    <s v="PBOR00461"/>
    <x v="0"/>
    <x v="4"/>
    <x v="329"/>
    <n v="208.10999999999999"/>
    <s v="North"/>
    <n v="405"/>
  </r>
  <r>
    <s v="PBOR00462"/>
    <x v="1"/>
    <x v="34"/>
    <x v="319"/>
    <n v="392.53"/>
    <s v="South"/>
    <n v="510"/>
  </r>
  <r>
    <s v="PBOR00463"/>
    <x v="2"/>
    <x v="13"/>
    <x v="299"/>
    <n v="271.33"/>
    <s v="East"/>
    <n v="370"/>
  </r>
  <r>
    <s v="PBOR00464"/>
    <x v="3"/>
    <x v="35"/>
    <x v="296"/>
    <n v="272.76"/>
    <s v="West"/>
    <n v="610"/>
  </r>
  <r>
    <s v="PBOR00465"/>
    <x v="0"/>
    <x v="2"/>
    <x v="175"/>
    <n v="380.73"/>
    <s v="North"/>
    <n v="475"/>
  </r>
  <r>
    <s v="PBOR00466"/>
    <x v="1"/>
    <x v="13"/>
    <x v="140"/>
    <n v="367.5"/>
    <s v="South"/>
    <n v="580"/>
  </r>
  <r>
    <s v="PBOR00467"/>
    <x v="2"/>
    <x v="18"/>
    <x v="330"/>
    <n v="479.96999999999997"/>
    <s v="East"/>
    <n v="885"/>
  </r>
  <r>
    <s v="PBOR00468"/>
    <x v="3"/>
    <x v="23"/>
    <x v="331"/>
    <n v="378.15999999999997"/>
    <s v="West"/>
    <n v="735"/>
  </r>
  <r>
    <s v="PBOR00469"/>
    <x v="0"/>
    <x v="36"/>
    <x v="332"/>
    <n v="123.76"/>
    <s v="North"/>
    <n v="520"/>
  </r>
  <r>
    <s v="PBOR00470"/>
    <x v="1"/>
    <x v="37"/>
    <x v="333"/>
    <n v="550.12"/>
    <s v="South"/>
    <n v="555"/>
  </r>
  <r>
    <s v="PBOR00471"/>
    <x v="2"/>
    <x v="4"/>
    <x v="334"/>
    <n v="330.18"/>
    <s v="East"/>
    <n v="555"/>
  </r>
  <r>
    <s v="PBOR00472"/>
    <x v="3"/>
    <x v="3"/>
    <x v="335"/>
    <n v="113.14"/>
    <s v="West"/>
    <n v="240"/>
  </r>
  <r>
    <s v="PBOR00473"/>
    <x v="4"/>
    <x v="35"/>
    <x v="58"/>
    <n v="361.99"/>
    <s v="North"/>
    <n v="880"/>
  </r>
  <r>
    <s v="PBOR00474"/>
    <x v="0"/>
    <x v="11"/>
    <x v="336"/>
    <n v="56.46"/>
    <s v="South"/>
    <n v="785"/>
  </r>
  <r>
    <s v="PBOR00475"/>
    <x v="1"/>
    <x v="10"/>
    <x v="59"/>
    <n v="245.88"/>
    <s v="East"/>
    <n v="865"/>
  </r>
  <r>
    <s v="PBOR00476"/>
    <x v="2"/>
    <x v="1"/>
    <x v="164"/>
    <n v="127.14"/>
    <s v="West"/>
    <n v="245"/>
  </r>
  <r>
    <s v="PBOR00477"/>
    <x v="3"/>
    <x v="17"/>
    <x v="337"/>
    <n v="366.96999999999997"/>
    <s v="North"/>
    <n v="435"/>
  </r>
  <r>
    <s v="PBOR00478"/>
    <x v="0"/>
    <x v="17"/>
    <x v="113"/>
    <n v="689.29"/>
    <s v="South"/>
    <n v="870"/>
  </r>
  <r>
    <s v="PBOR00479"/>
    <x v="1"/>
    <x v="37"/>
    <x v="338"/>
    <n v="241.47"/>
    <s v="East"/>
    <n v="550"/>
  </r>
  <r>
    <s v="PBOR00480"/>
    <x v="2"/>
    <x v="4"/>
    <x v="339"/>
    <n v="275.25"/>
    <s v="West"/>
    <n v="440"/>
  </r>
  <r>
    <s v="PBOR00481"/>
    <x v="3"/>
    <x v="2"/>
    <x v="340"/>
    <n v="347.57"/>
    <s v="North"/>
    <n v="390"/>
  </r>
  <r>
    <s v="PBOR00482"/>
    <x v="4"/>
    <x v="12"/>
    <x v="130"/>
    <n v="79.320000000000007"/>
    <s v="South"/>
    <n v="430"/>
  </r>
  <r>
    <s v="PBOR00483"/>
    <x v="5"/>
    <x v="0"/>
    <x v="341"/>
    <n v="55.04"/>
    <s v="East"/>
    <n v="345"/>
  </r>
  <r>
    <s v="PBOR00484"/>
    <x v="0"/>
    <x v="38"/>
    <x v="326"/>
    <n v="120.52000000000001"/>
    <s v="West"/>
    <n v="410"/>
  </r>
  <r>
    <s v="PBOR00485"/>
    <x v="1"/>
    <x v="1"/>
    <x v="342"/>
    <n v="110.5"/>
    <s v="North"/>
    <n v="310"/>
  </r>
  <r>
    <s v="PBOR00486"/>
    <x v="2"/>
    <x v="2"/>
    <x v="151"/>
    <n v="114.52000000000001"/>
    <s v="South"/>
    <n v="285"/>
  </r>
  <r>
    <s v="PBOR00487"/>
    <x v="3"/>
    <x v="5"/>
    <x v="343"/>
    <n v="380.19"/>
    <s v="East"/>
    <n v="670"/>
  </r>
  <r>
    <s v="PBOR00488"/>
    <x v="0"/>
    <x v="3"/>
    <x v="344"/>
    <n v="220.29999999999998"/>
    <s v="West"/>
    <n v="320"/>
  </r>
  <r>
    <s v="PBOR00489"/>
    <x v="1"/>
    <x v="36"/>
    <x v="345"/>
    <n v="343.45"/>
    <s v="North"/>
    <n v="715"/>
  </r>
  <r>
    <s v="PBOR00490"/>
    <x v="2"/>
    <x v="24"/>
    <x v="258"/>
    <n v="212.82"/>
    <s v="South"/>
    <n v="240"/>
  </r>
  <r>
    <s v="PBOR00491"/>
    <x v="3"/>
    <x v="21"/>
    <x v="90"/>
    <n v="258.83"/>
    <s v="East"/>
    <n v="510"/>
  </r>
  <r>
    <s v="PBOR00492"/>
    <x v="4"/>
    <x v="32"/>
    <x v="139"/>
    <n v="631.6"/>
    <s v="West"/>
    <n v="805"/>
  </r>
  <r>
    <s v="PBOR00493"/>
    <x v="0"/>
    <x v="4"/>
    <x v="316"/>
    <n v="14.25"/>
    <s v="North"/>
    <n v="215"/>
  </r>
  <r>
    <s v="PBOR00494"/>
    <x v="1"/>
    <x v="2"/>
    <x v="346"/>
    <n v="130.01"/>
    <s v="South"/>
    <n v="730"/>
  </r>
  <r>
    <s v="PBOR00495"/>
    <x v="2"/>
    <x v="27"/>
    <x v="347"/>
    <n v="121.18"/>
    <s v="East"/>
    <n v="280"/>
  </r>
  <r>
    <s v="PBOR00496"/>
    <x v="3"/>
    <x v="0"/>
    <x v="348"/>
    <n v="493.11"/>
    <s v="West"/>
    <n v="665"/>
  </r>
  <r>
    <s v="PBOR00497"/>
    <x v="0"/>
    <x v="1"/>
    <x v="349"/>
    <n v="476.17"/>
    <s v="North"/>
    <n v="880"/>
  </r>
  <r>
    <s v="PBOR00498"/>
    <x v="1"/>
    <x v="28"/>
    <x v="339"/>
    <n v="314.31"/>
    <s v="South"/>
    <n v="440"/>
  </r>
  <r>
    <s v="PBOR00499"/>
    <x v="2"/>
    <x v="8"/>
    <x v="350"/>
    <n v="528.66999999999996"/>
    <s v="East"/>
    <n v="800"/>
  </r>
  <r>
    <s v="PBOR00500"/>
    <x v="3"/>
    <x v="33"/>
    <x v="211"/>
    <n v="200.59"/>
    <s v="West"/>
    <n v="390"/>
  </r>
  <r>
    <s v="PBOR00501"/>
    <x v="4"/>
    <x v="14"/>
    <x v="351"/>
    <n v="205.59"/>
    <s v="North"/>
    <n v="240"/>
  </r>
  <r>
    <s v="PBOR00502"/>
    <x v="5"/>
    <x v="16"/>
    <x v="22"/>
    <n v="452.46999999999997"/>
    <s v="South"/>
    <n v="785"/>
  </r>
  <r>
    <s v="PBOR00503"/>
    <x v="0"/>
    <x v="17"/>
    <x v="352"/>
    <n v="17"/>
    <s v="East"/>
    <n v="895"/>
  </r>
  <r>
    <s v="PBOR00504"/>
    <x v="1"/>
    <x v="39"/>
    <x v="3"/>
    <n v="597.52"/>
    <s v="West"/>
    <n v="630"/>
  </r>
  <r>
    <s v="PBOR00505"/>
    <x v="2"/>
    <x v="40"/>
    <x v="313"/>
    <n v="452.75"/>
    <s v="North"/>
    <n v="720"/>
  </r>
  <r>
    <s v="PBOR00506"/>
    <x v="3"/>
    <x v="41"/>
    <x v="353"/>
    <n v="352.19"/>
    <s v="South"/>
    <n v="385"/>
  </r>
  <r>
    <s v="PBOR00507"/>
    <x v="0"/>
    <x v="42"/>
    <x v="144"/>
    <n v="244.64"/>
    <s v="East"/>
    <n v="690"/>
  </r>
  <r>
    <s v="PBOR00508"/>
    <x v="1"/>
    <x v="43"/>
    <x v="154"/>
    <n v="295.56"/>
    <s v="West"/>
    <n v="590"/>
  </r>
  <r>
    <s v="PBOR00509"/>
    <x v="2"/>
    <x v="44"/>
    <x v="306"/>
    <n v="289.33999999999997"/>
    <s v="North"/>
    <n v="330"/>
  </r>
  <r>
    <s v="PBOR00510"/>
    <x v="3"/>
    <x v="45"/>
    <x v="236"/>
    <n v="139.75"/>
    <s v="South"/>
    <n v="385"/>
  </r>
  <r>
    <s v="PBOR00511"/>
    <x v="0"/>
    <x v="46"/>
    <x v="354"/>
    <n v="101.16000000000001"/>
    <s v="East"/>
    <n v="515"/>
  </r>
  <r>
    <s v="PBOR00512"/>
    <x v="1"/>
    <x v="47"/>
    <x v="355"/>
    <n v="321.96999999999997"/>
    <s v="West"/>
    <n v="725"/>
  </r>
  <r>
    <s v="PBOR00513"/>
    <x v="2"/>
    <x v="48"/>
    <x v="186"/>
    <n v="694.53"/>
    <s v="North"/>
    <n v="900"/>
  </r>
  <r>
    <s v="PBOR00514"/>
    <x v="3"/>
    <x v="32"/>
    <x v="356"/>
    <n v="286.2"/>
    <s v="South"/>
    <n v="595"/>
  </r>
  <r>
    <s v="PBOR00515"/>
    <x v="0"/>
    <x v="49"/>
    <x v="357"/>
    <n v="504.92"/>
    <s v="East"/>
    <n v="865"/>
  </r>
  <r>
    <s v="PBOR00516"/>
    <x v="1"/>
    <x v="19"/>
    <x v="358"/>
    <n v="114.22"/>
    <s v="West"/>
    <n v="820"/>
  </r>
  <r>
    <s v="PBOR00517"/>
    <x v="2"/>
    <x v="50"/>
    <x v="23"/>
    <n v="278.33999999999997"/>
    <s v="North"/>
    <n v="540"/>
  </r>
  <r>
    <s v="PBOR00518"/>
    <x v="3"/>
    <x v="51"/>
    <x v="48"/>
    <n v="148.35"/>
    <s v="South"/>
    <n v="270"/>
  </r>
  <r>
    <s v="PBOR00519"/>
    <x v="4"/>
    <x v="29"/>
    <x v="354"/>
    <n v="497.36"/>
    <s v="East"/>
    <n v="515"/>
  </r>
  <r>
    <s v="PBOR00520"/>
    <x v="0"/>
    <x v="52"/>
    <x v="161"/>
    <n v="89.26"/>
    <s v="West"/>
    <n v="810"/>
  </r>
  <r>
    <s v="PBOR00521"/>
    <x v="1"/>
    <x v="26"/>
    <x v="281"/>
    <n v="562.04999999999995"/>
    <s v="North"/>
    <n v="895"/>
  </r>
  <r>
    <s v="PBOR00522"/>
    <x v="2"/>
    <x v="47"/>
    <x v="359"/>
    <n v="252.09"/>
    <s v="South"/>
    <n v="750"/>
  </r>
  <r>
    <s v="PBOR00523"/>
    <x v="3"/>
    <x v="46"/>
    <x v="360"/>
    <n v="194.73999999999998"/>
    <s v="East"/>
    <n v="265"/>
  </r>
  <r>
    <s v="PBOR00524"/>
    <x v="0"/>
    <x v="41"/>
    <x v="361"/>
    <n v="123.37"/>
    <s v="West"/>
    <n v="210"/>
  </r>
  <r>
    <s v="PBOR00525"/>
    <x v="1"/>
    <x v="53"/>
    <x v="237"/>
    <n v="0.48"/>
    <s v="North"/>
    <n v="240"/>
  </r>
  <r>
    <s v="PBOR00526"/>
    <x v="2"/>
    <x v="54"/>
    <x v="240"/>
    <n v="211.32999999999998"/>
    <s v="South"/>
    <n v="385"/>
  </r>
  <r>
    <s v="PBOR00527"/>
    <x v="3"/>
    <x v="32"/>
    <x v="362"/>
    <n v="406.59999999999997"/>
    <s v="East"/>
    <n v="420"/>
  </r>
  <r>
    <s v="PBOR00528"/>
    <x v="4"/>
    <x v="30"/>
    <x v="218"/>
    <n v="620.05999999999995"/>
    <s v="West"/>
    <n v="770"/>
  </r>
  <r>
    <s v="PBOR00529"/>
    <x v="5"/>
    <x v="55"/>
    <x v="71"/>
    <n v="262.08999999999997"/>
    <s v="North"/>
    <n v="755"/>
  </r>
  <r>
    <s v="PBOR00530"/>
    <x v="0"/>
    <x v="19"/>
    <x v="363"/>
    <n v="86.23"/>
    <s v="South"/>
    <n v="675"/>
  </r>
  <r>
    <s v="PBOR00531"/>
    <x v="1"/>
    <x v="39"/>
    <x v="364"/>
    <n v="382.96"/>
    <s v="East"/>
    <n v="410"/>
  </r>
  <r>
    <s v="PBOR00532"/>
    <x v="2"/>
    <x v="33"/>
    <x v="365"/>
    <n v="165.14"/>
    <s v="West"/>
    <n v="515"/>
  </r>
  <r>
    <s v="PBOR00533"/>
    <x v="3"/>
    <x v="40"/>
    <x v="366"/>
    <n v="143.60999999999999"/>
    <s v="North"/>
    <n v="750"/>
  </r>
  <r>
    <s v="PBOR00534"/>
    <x v="0"/>
    <x v="56"/>
    <x v="367"/>
    <n v="238.92999999999998"/>
    <s v="South"/>
    <n v="280"/>
  </r>
  <r>
    <s v="PBOR00535"/>
    <x v="1"/>
    <x v="57"/>
    <x v="368"/>
    <n v="202.1"/>
    <s v="East"/>
    <n v="285"/>
  </r>
  <r>
    <s v="PBOR00536"/>
    <x v="2"/>
    <x v="58"/>
    <x v="97"/>
    <n v="370.15"/>
    <s v="West"/>
    <n v="510"/>
  </r>
  <r>
    <s v="PBOR00537"/>
    <x v="3"/>
    <x v="59"/>
    <x v="369"/>
    <n v="38.89"/>
    <s v="North"/>
    <n v="205"/>
  </r>
  <r>
    <s v="PBOR00538"/>
    <x v="4"/>
    <x v="58"/>
    <x v="97"/>
    <n v="404.28999999999996"/>
    <s v="South"/>
    <n v="510"/>
  </r>
  <r>
    <s v="PBOR00539"/>
    <x v="0"/>
    <x v="30"/>
    <x v="370"/>
    <n v="18.060000000000002"/>
    <s v="East"/>
    <n v="370"/>
  </r>
  <r>
    <s v="PBOR00540"/>
    <x v="1"/>
    <x v="40"/>
    <x v="371"/>
    <n v="414.27"/>
    <s v="West"/>
    <n v="700"/>
  </r>
  <r>
    <s v="PBOR00541"/>
    <x v="2"/>
    <x v="57"/>
    <x v="251"/>
    <n v="104.25"/>
    <s v="North"/>
    <n v="305"/>
  </r>
  <r>
    <s v="PBOR00542"/>
    <x v="3"/>
    <x v="58"/>
    <x v="130"/>
    <n v="70.290000000000006"/>
    <s v="South"/>
    <n v="430"/>
  </r>
  <r>
    <s v="PBOR00543"/>
    <x v="0"/>
    <x v="60"/>
    <x v="239"/>
    <n v="328.15999999999997"/>
    <s v="East"/>
    <n v="340"/>
  </r>
  <r>
    <s v="PBOR00544"/>
    <x v="1"/>
    <x v="61"/>
    <x v="372"/>
    <n v="84"/>
    <s v="West"/>
    <n v="800"/>
  </r>
  <r>
    <s v="PBOR00545"/>
    <x v="2"/>
    <x v="56"/>
    <x v="187"/>
    <n v="219.84"/>
    <s v="North"/>
    <n v="675"/>
  </r>
  <r>
    <s v="PBOR00546"/>
    <x v="3"/>
    <x v="30"/>
    <x v="373"/>
    <n v="183.85999999999999"/>
    <s v="South"/>
    <n v="400"/>
  </r>
  <r>
    <s v="PBOR00547"/>
    <x v="4"/>
    <x v="43"/>
    <x v="374"/>
    <n v="608.65"/>
    <s v="East"/>
    <n v="690"/>
  </r>
  <r>
    <s v="PBOR00548"/>
    <x v="5"/>
    <x v="62"/>
    <x v="375"/>
    <n v="224.23"/>
    <s v="West"/>
    <n v="230"/>
  </r>
  <r>
    <s v="PBOR00549"/>
    <x v="0"/>
    <x v="51"/>
    <x v="235"/>
    <n v="280.12"/>
    <s v="North"/>
    <n v="350"/>
  </r>
  <r>
    <s v="PBOR00550"/>
    <x v="1"/>
    <x v="63"/>
    <x v="376"/>
    <n v="266.67"/>
    <s v="South"/>
    <n v="715"/>
  </r>
  <r>
    <s v="PBOR00551"/>
    <x v="2"/>
    <x v="64"/>
    <x v="240"/>
    <n v="17.100000000000001"/>
    <s v="East"/>
    <n v="385"/>
  </r>
  <r>
    <s v="PBOR00552"/>
    <x v="3"/>
    <x v="63"/>
    <x v="377"/>
    <n v="407.13"/>
    <s v="West"/>
    <n v="445"/>
  </r>
  <r>
    <s v="PBOR00553"/>
    <x v="0"/>
    <x v="61"/>
    <x v="378"/>
    <n v="478.23"/>
    <s v="North"/>
    <n v="585"/>
  </r>
  <r>
    <s v="PBOR00554"/>
    <x v="1"/>
    <x v="62"/>
    <x v="228"/>
    <n v="244.23"/>
    <s v="South"/>
    <n v="625"/>
  </r>
  <r>
    <s v="PBOR00555"/>
    <x v="2"/>
    <x v="19"/>
    <x v="379"/>
    <n v="306.33"/>
    <s v="East"/>
    <n v="350"/>
  </r>
  <r>
    <s v="PBOR00556"/>
    <x v="3"/>
    <x v="62"/>
    <x v="380"/>
    <n v="145.07"/>
    <s v="West"/>
    <n v="225"/>
  </r>
  <r>
    <s v="PBOR00557"/>
    <x v="0"/>
    <x v="43"/>
    <x v="172"/>
    <n v="18.84"/>
    <s v="North"/>
    <n v="445"/>
  </r>
  <r>
    <s v="PBOR00558"/>
    <x v="1"/>
    <x v="65"/>
    <x v="381"/>
    <n v="29.810000000000002"/>
    <s v="South"/>
    <n v="410"/>
  </r>
  <r>
    <s v="PBOR00559"/>
    <x v="2"/>
    <x v="57"/>
    <x v="89"/>
    <n v="373.82"/>
    <s v="East"/>
    <n v="840"/>
  </r>
  <r>
    <s v="PBOR00560"/>
    <x v="3"/>
    <x v="56"/>
    <x v="218"/>
    <n v="92.83"/>
    <s v="West"/>
    <n v="770"/>
  </r>
  <r>
    <s v="PBOR00561"/>
    <x v="0"/>
    <x v="66"/>
    <x v="382"/>
    <n v="643.05999999999995"/>
    <s v="North"/>
    <n v="710"/>
  </r>
  <r>
    <s v="PBOR00562"/>
    <x v="1"/>
    <x v="37"/>
    <x v="383"/>
    <n v="676.11"/>
    <s v="South"/>
    <n v="685"/>
  </r>
  <r>
    <s v="PBOR00563"/>
    <x v="2"/>
    <x v="45"/>
    <x v="384"/>
    <n v="102.09"/>
    <s v="East"/>
    <n v="260"/>
  </r>
  <r>
    <s v="PBOR00564"/>
    <x v="3"/>
    <x v="67"/>
    <x v="322"/>
    <n v="615.79"/>
    <s v="West"/>
    <n v="615"/>
  </r>
  <r>
    <s v="PBOR00565"/>
    <x v="4"/>
    <x v="43"/>
    <x v="385"/>
    <n v="164.29"/>
    <s v="North"/>
    <n v="775"/>
  </r>
  <r>
    <s v="PBOR00566"/>
    <x v="0"/>
    <x v="68"/>
    <x v="322"/>
    <n v="361.74"/>
    <s v="South"/>
    <n v="615"/>
  </r>
  <r>
    <s v="PBOR00567"/>
    <x v="1"/>
    <x v="69"/>
    <x v="245"/>
    <n v="6.24"/>
    <s v="East"/>
    <n v="250"/>
  </r>
  <r>
    <s v="PBOR00568"/>
    <x v="2"/>
    <x v="52"/>
    <x v="386"/>
    <n v="499.92"/>
    <s v="West"/>
    <n v="755"/>
  </r>
  <r>
    <s v="PBOR00569"/>
    <x v="3"/>
    <x v="19"/>
    <x v="12"/>
    <n v="95.28"/>
    <s v="North"/>
    <n v="615"/>
  </r>
  <r>
    <s v="PBOR00570"/>
    <x v="0"/>
    <x v="47"/>
    <x v="387"/>
    <n v="360.83"/>
    <s v="South"/>
    <n v="415"/>
  </r>
  <r>
    <s v="PBOR00571"/>
    <x v="1"/>
    <x v="70"/>
    <x v="216"/>
    <n v="681.21"/>
    <s v="East"/>
    <n v="895"/>
  </r>
  <r>
    <s v="PBOR00572"/>
    <x v="2"/>
    <x v="71"/>
    <x v="304"/>
    <n v="195.5"/>
    <s v="West"/>
    <n v="460"/>
  </r>
  <r>
    <s v="PBOR00573"/>
    <x v="3"/>
    <x v="58"/>
    <x v="388"/>
    <n v="236.85"/>
    <s v="North"/>
    <n v="680"/>
  </r>
  <r>
    <s v="PBOR00574"/>
    <x v="4"/>
    <x v="19"/>
    <x v="389"/>
    <n v="33.019999999999996"/>
    <s v="South"/>
    <n v="550"/>
  </r>
  <r>
    <s v="PBOR00575"/>
    <x v="5"/>
    <x v="32"/>
    <x v="390"/>
    <n v="210.42"/>
    <s v="East"/>
    <n v="265"/>
  </r>
  <r>
    <s v="PBOR00576"/>
    <x v="0"/>
    <x v="60"/>
    <x v="391"/>
    <n v="4.3499999999999996"/>
    <s v="West"/>
    <n v="430"/>
  </r>
  <r>
    <s v="PBOR00577"/>
    <x v="1"/>
    <x v="21"/>
    <x v="218"/>
    <n v="314.52999999999997"/>
    <s v="North"/>
    <n v="770"/>
  </r>
  <r>
    <s v="PBOR00578"/>
    <x v="2"/>
    <x v="53"/>
    <x v="14"/>
    <n v="143.16"/>
    <s v="South"/>
    <n v="255"/>
  </r>
  <r>
    <s v="PBOR00579"/>
    <x v="3"/>
    <x v="72"/>
    <x v="392"/>
    <n v="153.47"/>
    <s v="East"/>
    <n v="790"/>
  </r>
  <r>
    <s v="PBOR00580"/>
    <x v="0"/>
    <x v="32"/>
    <x v="96"/>
    <n v="388.51"/>
    <s v="West"/>
    <n v="630"/>
  </r>
  <r>
    <s v="PBOR00581"/>
    <x v="1"/>
    <x v="73"/>
    <x v="393"/>
    <n v="535.29"/>
    <s v="North"/>
    <n v="810"/>
  </r>
  <r>
    <s v="PBOR00582"/>
    <x v="2"/>
    <x v="74"/>
    <x v="394"/>
    <n v="9.86"/>
    <s v="South"/>
    <n v="345"/>
  </r>
  <r>
    <s v="PBOR00583"/>
    <x v="3"/>
    <x v="75"/>
    <x v="34"/>
    <n v="227.10999999999999"/>
    <s v="East"/>
    <n v="695"/>
  </r>
  <r>
    <s v="PBOR00584"/>
    <x v="4"/>
    <x v="76"/>
    <x v="395"/>
    <n v="62.199999999999996"/>
    <s v="West"/>
    <n v="550"/>
  </r>
  <r>
    <s v="PBOR00585"/>
    <x v="0"/>
    <x v="61"/>
    <x v="396"/>
    <n v="17.510000000000002"/>
    <s v="North"/>
    <n v="275"/>
  </r>
  <r>
    <s v="PBOR00586"/>
    <x v="1"/>
    <x v="71"/>
    <x v="228"/>
    <n v="372.84999999999997"/>
    <s v="South"/>
    <n v="625"/>
  </r>
  <r>
    <s v="PBOR00587"/>
    <x v="2"/>
    <x v="59"/>
    <x v="397"/>
    <n v="200.48999999999998"/>
    <s v="East"/>
    <n v="575"/>
  </r>
  <r>
    <s v="PBOR00588"/>
    <x v="3"/>
    <x v="77"/>
    <x v="398"/>
    <n v="148.01999999999998"/>
    <s v="West"/>
    <n v="480"/>
  </r>
  <r>
    <s v="PBOR00589"/>
    <x v="0"/>
    <x v="19"/>
    <x v="23"/>
    <n v="1.17"/>
    <s v="North"/>
    <n v="540"/>
  </r>
  <r>
    <s v="PBOR00590"/>
    <x v="1"/>
    <x v="70"/>
    <x v="399"/>
    <n v="218.26999999999998"/>
    <s v="South"/>
    <n v="880"/>
  </r>
  <r>
    <s v="PBOR00591"/>
    <x v="2"/>
    <x v="46"/>
    <x v="358"/>
    <n v="103.81"/>
    <s v="East"/>
    <n v="820"/>
  </r>
  <r>
    <s v="PBOR00592"/>
    <x v="3"/>
    <x v="39"/>
    <x v="400"/>
    <n v="220.10999999999999"/>
    <s v="West"/>
    <n v="320"/>
  </r>
  <r>
    <s v="PBOR00593"/>
    <x v="4"/>
    <x v="39"/>
    <x v="401"/>
    <n v="70.34"/>
    <s v="North"/>
    <n v="585"/>
  </r>
  <r>
    <s v="PBOR00594"/>
    <x v="5"/>
    <x v="19"/>
    <x v="24"/>
    <n v="244.47"/>
    <s v="South"/>
    <n v="325"/>
  </r>
  <r>
    <s v="PBOR00595"/>
    <x v="0"/>
    <x v="26"/>
    <x v="402"/>
    <n v="40.659999999999997"/>
    <s v="East"/>
    <n v="345"/>
  </r>
  <r>
    <s v="PBOR00596"/>
    <x v="1"/>
    <x v="51"/>
    <x v="403"/>
    <n v="201.06"/>
    <s v="West"/>
    <n v="425"/>
  </r>
  <r>
    <s v="PBOR00597"/>
    <x v="2"/>
    <x v="51"/>
    <x v="288"/>
    <n v="150.10999999999999"/>
    <s v="North"/>
    <n v="855"/>
  </r>
  <r>
    <s v="PBOR00598"/>
    <x v="3"/>
    <x v="62"/>
    <x v="404"/>
    <n v="152.57999999999998"/>
    <s v="South"/>
    <n v="310"/>
  </r>
  <r>
    <s v="PBOR00599"/>
    <x v="0"/>
    <x v="54"/>
    <x v="179"/>
    <n v="379.69"/>
    <s v="East"/>
    <n v="385"/>
  </r>
  <r>
    <s v="PBOR00600"/>
    <x v="1"/>
    <x v="53"/>
    <x v="231"/>
    <n v="176.37"/>
    <s v="West"/>
    <n v="400"/>
  </r>
  <r>
    <s v="PBOR00601"/>
    <x v="2"/>
    <x v="53"/>
    <x v="405"/>
    <n v="190.39"/>
    <s v="North"/>
    <n v="810"/>
  </r>
  <r>
    <s v="PBOR00602"/>
    <x v="3"/>
    <x v="67"/>
    <x v="9"/>
    <n v="521.72"/>
    <s v="South"/>
    <n v="670"/>
  </r>
  <r>
    <s v="PBOR00603"/>
    <x v="0"/>
    <x v="30"/>
    <x v="406"/>
    <n v="66.81"/>
    <s v="East"/>
    <n v="535"/>
  </r>
  <r>
    <s v="PBOR00604"/>
    <x v="1"/>
    <x v="52"/>
    <x v="83"/>
    <n v="55.879999999999995"/>
    <s v="West"/>
    <n v="690"/>
  </r>
  <r>
    <s v="PBOR00605"/>
    <x v="2"/>
    <x v="66"/>
    <x v="73"/>
    <n v="57.86"/>
    <s v="North"/>
    <n v="235"/>
  </r>
  <r>
    <s v="PBOR00606"/>
    <x v="3"/>
    <x v="56"/>
    <x v="407"/>
    <n v="78.86"/>
    <s v="South"/>
    <n v="525"/>
  </r>
  <r>
    <s v="PBOR00607"/>
    <x v="0"/>
    <x v="53"/>
    <x v="115"/>
    <n v="104.95"/>
    <s v="East"/>
    <n v="645"/>
  </r>
  <r>
    <s v="PBOR00608"/>
    <x v="1"/>
    <x v="61"/>
    <x v="200"/>
    <n v="187.28"/>
    <s v="West"/>
    <n v="310"/>
  </r>
  <r>
    <s v="PBOR00609"/>
    <x v="2"/>
    <x v="66"/>
    <x v="408"/>
    <n v="349.9"/>
    <s v="North"/>
    <n v="835"/>
  </r>
  <r>
    <s v="PBOR00610"/>
    <x v="3"/>
    <x v="53"/>
    <x v="210"/>
    <n v="31.700000000000003"/>
    <s v="South"/>
    <n v="850"/>
  </r>
  <r>
    <s v="PBOR00611"/>
    <x v="4"/>
    <x v="44"/>
    <x v="99"/>
    <n v="222.2"/>
    <s v="East"/>
    <n v="565"/>
  </r>
  <r>
    <s v="PBOR00612"/>
    <x v="0"/>
    <x v="78"/>
    <x v="409"/>
    <n v="133.51"/>
    <s v="West"/>
    <n v="565"/>
  </r>
  <r>
    <s v="PBOR00613"/>
    <x v="1"/>
    <x v="41"/>
    <x v="107"/>
    <n v="243.38"/>
    <s v="North"/>
    <n v="245"/>
  </r>
  <r>
    <s v="PBOR00614"/>
    <x v="2"/>
    <x v="62"/>
    <x v="410"/>
    <n v="628.01"/>
    <s v="South"/>
    <n v="765"/>
  </r>
  <r>
    <s v="PBOR00615"/>
    <x v="3"/>
    <x v="72"/>
    <x v="411"/>
    <n v="598.1"/>
    <s v="East"/>
    <n v="745"/>
  </r>
  <r>
    <s v="PBOR00616"/>
    <x v="0"/>
    <x v="30"/>
    <x v="412"/>
    <n v="109.26"/>
    <s v="West"/>
    <n v="470"/>
  </r>
  <r>
    <s v="PBOR00617"/>
    <x v="1"/>
    <x v="69"/>
    <x v="156"/>
    <n v="528.72"/>
    <s v="North"/>
    <n v="695"/>
  </r>
  <r>
    <s v="PBOR00618"/>
    <x v="2"/>
    <x v="71"/>
    <x v="27"/>
    <n v="694.64"/>
    <s v="South"/>
    <n v="840"/>
  </r>
  <r>
    <s v="PBOR00619"/>
    <x v="3"/>
    <x v="67"/>
    <x v="413"/>
    <n v="141.51"/>
    <s v="East"/>
    <n v="475"/>
  </r>
  <r>
    <s v="PBOR00620"/>
    <x v="4"/>
    <x v="68"/>
    <x v="414"/>
    <n v="162.29"/>
    <s v="West"/>
    <n v="200"/>
  </r>
  <r>
    <s v="PBOR00621"/>
    <x v="5"/>
    <x v="48"/>
    <x v="415"/>
    <n v="15.74"/>
    <s v="North"/>
    <n v="215"/>
  </r>
  <r>
    <s v="PBOR00622"/>
    <x v="0"/>
    <x v="26"/>
    <x v="416"/>
    <n v="92.77000000000001"/>
    <s v="South"/>
    <n v="710"/>
  </r>
  <r>
    <s v="PBOR00623"/>
    <x v="1"/>
    <x v="76"/>
    <x v="329"/>
    <n v="344.51"/>
    <s v="East"/>
    <n v="405"/>
  </r>
  <r>
    <s v="PBOR00624"/>
    <x v="2"/>
    <x v="45"/>
    <x v="417"/>
    <n v="17.720000000000002"/>
    <s v="West"/>
    <n v="490"/>
  </r>
  <r>
    <s v="PBOR00625"/>
    <x v="3"/>
    <x v="63"/>
    <x v="133"/>
    <n v="652.41999999999996"/>
    <s v="North"/>
    <n v="720"/>
  </r>
  <r>
    <s v="PBOR00626"/>
    <x v="0"/>
    <x v="58"/>
    <x v="84"/>
    <n v="24.42"/>
    <s v="South"/>
    <n v="300"/>
  </r>
  <r>
    <s v="PBOR00627"/>
    <x v="1"/>
    <x v="62"/>
    <x v="296"/>
    <n v="432.81"/>
    <s v="East"/>
    <n v="610"/>
  </r>
  <r>
    <s v="PBOR00628"/>
    <x v="2"/>
    <x v="79"/>
    <x v="128"/>
    <n v="599.6"/>
    <s v="West"/>
    <n v="795"/>
  </r>
  <r>
    <s v="PBOR00629"/>
    <x v="3"/>
    <x v="70"/>
    <x v="418"/>
    <n v="353.75"/>
    <s v="North"/>
    <n v="450"/>
  </r>
  <r>
    <s v="PBOR00630"/>
    <x v="4"/>
    <x v="64"/>
    <x v="319"/>
    <n v="350.17"/>
    <s v="South"/>
    <n v="510"/>
  </r>
  <r>
    <s v="PBOR00631"/>
    <x v="0"/>
    <x v="37"/>
    <x v="51"/>
    <n v="334.95"/>
    <s v="East"/>
    <n v="425"/>
  </r>
  <r>
    <s v="PBOR00632"/>
    <x v="1"/>
    <x v="54"/>
    <x v="419"/>
    <n v="56.6"/>
    <s v="West"/>
    <n v="255"/>
  </r>
  <r>
    <s v="PBOR00633"/>
    <x v="2"/>
    <x v="40"/>
    <x v="387"/>
    <n v="72.070000000000007"/>
    <s v="North"/>
    <n v="415"/>
  </r>
  <r>
    <s v="PBOR00634"/>
    <x v="3"/>
    <x v="43"/>
    <x v="409"/>
    <n v="160.51999999999998"/>
    <s v="South"/>
    <n v="565"/>
  </r>
  <r>
    <s v="PBOR00635"/>
    <x v="0"/>
    <x v="50"/>
    <x v="128"/>
    <n v="225.42999999999998"/>
    <s v="East"/>
    <n v="795"/>
  </r>
  <r>
    <s v="PBOR00636"/>
    <x v="1"/>
    <x v="21"/>
    <x v="6"/>
    <n v="209.64999999999998"/>
    <s v="West"/>
    <n v="830"/>
  </r>
  <r>
    <s v="PBOR00637"/>
    <x v="2"/>
    <x v="80"/>
    <x v="415"/>
    <n v="95.77000000000001"/>
    <s v="North"/>
    <n v="215"/>
  </r>
  <r>
    <s v="PBOR00638"/>
    <x v="3"/>
    <x v="17"/>
    <x v="148"/>
    <n v="308.40999999999997"/>
    <s v="South"/>
    <n v="700"/>
  </r>
  <r>
    <s v="PBOR00639"/>
    <x v="4"/>
    <x v="48"/>
    <x v="232"/>
    <n v="270.06"/>
    <s v="East"/>
    <n v="615"/>
  </r>
  <r>
    <s v="PBOR00640"/>
    <x v="5"/>
    <x v="77"/>
    <x v="354"/>
    <n v="416.59999999999997"/>
    <s v="West"/>
    <n v="515"/>
  </r>
  <r>
    <s v="PBOR00641"/>
    <x v="0"/>
    <x v="40"/>
    <x v="420"/>
    <n v="309.19"/>
    <s v="North"/>
    <n v="445"/>
  </r>
  <r>
    <s v="PBOR00642"/>
    <x v="1"/>
    <x v="46"/>
    <x v="421"/>
    <n v="658.53"/>
    <s v="South"/>
    <n v="670"/>
  </r>
  <r>
    <s v="PBOR00643"/>
    <x v="2"/>
    <x v="26"/>
    <x v="422"/>
    <n v="10.56"/>
    <s v="East"/>
    <n v="375"/>
  </r>
  <r>
    <s v="PBOR00644"/>
    <x v="3"/>
    <x v="67"/>
    <x v="423"/>
    <n v="57.97"/>
    <s v="West"/>
    <n v="645"/>
  </r>
  <r>
    <s v="PBOR00645"/>
    <x v="0"/>
    <x v="29"/>
    <x v="211"/>
    <n v="322.61"/>
    <s v="North"/>
    <n v="390"/>
  </r>
  <r>
    <s v="PBOR00646"/>
    <x v="1"/>
    <x v="58"/>
    <x v="259"/>
    <n v="513.64"/>
    <s v="South"/>
    <n v="800"/>
  </r>
  <r>
    <s v="PBOR00647"/>
    <x v="2"/>
    <x v="48"/>
    <x v="78"/>
    <n v="608.68999999999994"/>
    <s v="East"/>
    <n v="870"/>
  </r>
  <r>
    <s v="PBOR00648"/>
    <x v="3"/>
    <x v="44"/>
    <x v="424"/>
    <n v="371.40999999999997"/>
    <s v="West"/>
    <n v="760"/>
  </r>
  <r>
    <s v="PBOR00649"/>
    <x v="0"/>
    <x v="81"/>
    <x v="425"/>
    <n v="299.90999999999997"/>
    <s v="North"/>
    <n v="435"/>
  </r>
  <r>
    <s v="PBOR00650"/>
    <x v="1"/>
    <x v="71"/>
    <x v="189"/>
    <n v="73.150000000000006"/>
    <s v="South"/>
    <n v="365"/>
  </r>
  <r>
    <s v="PBOR00651"/>
    <x v="2"/>
    <x v="70"/>
    <x v="426"/>
    <n v="144.97"/>
    <s v="East"/>
    <n v="455"/>
  </r>
  <r>
    <s v="PBOR00652"/>
    <x v="3"/>
    <x v="70"/>
    <x v="251"/>
    <n v="150.1"/>
    <s v="West"/>
    <n v="305"/>
  </r>
  <r>
    <s v="PBOR00653"/>
    <x v="0"/>
    <x v="73"/>
    <x v="81"/>
    <n v="640.86"/>
    <s v="North"/>
    <n v="695"/>
  </r>
  <r>
    <s v="PBOR00654"/>
    <x v="1"/>
    <x v="81"/>
    <x v="125"/>
    <n v="392.90999999999997"/>
    <s v="South"/>
    <n v="795"/>
  </r>
  <r>
    <s v="PBOR00655"/>
    <x v="2"/>
    <x v="29"/>
    <x v="427"/>
    <n v="124.44000000000001"/>
    <s v="East"/>
    <n v="335"/>
  </r>
  <r>
    <s v="PBOR00656"/>
    <x v="3"/>
    <x v="43"/>
    <x v="343"/>
    <n v="145.26"/>
    <s v="West"/>
    <n v="670"/>
  </r>
  <r>
    <s v="PBOR00657"/>
    <x v="4"/>
    <x v="40"/>
    <x v="242"/>
    <n v="476.52"/>
    <s v="North"/>
    <n v="520"/>
  </r>
  <r>
    <s v="PBOR00658"/>
    <x v="0"/>
    <x v="78"/>
    <x v="428"/>
    <n v="272.07"/>
    <s v="South"/>
    <n v="305"/>
  </r>
  <r>
    <s v="PBOR00659"/>
    <x v="1"/>
    <x v="43"/>
    <x v="429"/>
    <n v="23.700000000000003"/>
    <s v="East"/>
    <n v="595"/>
  </r>
  <r>
    <s v="PBOR00660"/>
    <x v="2"/>
    <x v="48"/>
    <x v="430"/>
    <n v="57.379999999999995"/>
    <s v="West"/>
    <n v="300"/>
  </r>
  <r>
    <s v="PBOR00661"/>
    <x v="3"/>
    <x v="42"/>
    <x v="431"/>
    <n v="331"/>
    <s v="North"/>
    <n v="400"/>
  </r>
  <r>
    <s v="PBOR00662"/>
    <x v="0"/>
    <x v="59"/>
    <x v="134"/>
    <n v="225.19"/>
    <s v="South"/>
    <n v="495"/>
  </r>
  <r>
    <s v="PBOR00663"/>
    <x v="1"/>
    <x v="61"/>
    <x v="432"/>
    <n v="435.08"/>
    <s v="East"/>
    <n v="525"/>
  </r>
  <r>
    <s v="PBOR00664"/>
    <x v="2"/>
    <x v="77"/>
    <x v="433"/>
    <n v="116.46000000000001"/>
    <s v="West"/>
    <n v="245"/>
  </r>
  <r>
    <s v="PBOR00665"/>
    <x v="3"/>
    <x v="69"/>
    <x v="118"/>
    <n v="31.810000000000002"/>
    <s v="North"/>
    <n v="635"/>
  </r>
  <r>
    <s v="PBOR00666"/>
    <x v="4"/>
    <x v="19"/>
    <x v="207"/>
    <n v="98.36"/>
    <s v="South"/>
    <n v="270"/>
  </r>
  <r>
    <s v="PBOR00667"/>
    <x v="5"/>
    <x v="46"/>
    <x v="434"/>
    <n v="22.970000000000002"/>
    <s v="East"/>
    <n v="365"/>
  </r>
  <r>
    <s v="PBOR00668"/>
    <x v="0"/>
    <x v="69"/>
    <x v="435"/>
    <n v="38.199999999999996"/>
    <s v="West"/>
    <n v="645"/>
  </r>
  <r>
    <s v="PBOR00669"/>
    <x v="1"/>
    <x v="54"/>
    <x v="411"/>
    <n v="242.97"/>
    <s v="North"/>
    <n v="745"/>
  </r>
  <r>
    <s v="PBOR00670"/>
    <x v="2"/>
    <x v="71"/>
    <x v="436"/>
    <n v="164.06"/>
    <s v="South"/>
    <n v="450"/>
  </r>
  <r>
    <s v="PBOR00671"/>
    <x v="3"/>
    <x v="48"/>
    <x v="387"/>
    <n v="200.25"/>
    <s v="East"/>
    <n v="415"/>
  </r>
  <r>
    <s v="PBOR00672"/>
    <x v="0"/>
    <x v="37"/>
    <x v="437"/>
    <n v="313.19"/>
    <s v="West"/>
    <n v="470"/>
  </r>
  <r>
    <s v="PBOR00673"/>
    <x v="1"/>
    <x v="49"/>
    <x v="31"/>
    <n v="124.68"/>
    <s v="North"/>
    <n v="550"/>
  </r>
  <r>
    <s v="PBOR00674"/>
    <x v="2"/>
    <x v="50"/>
    <x v="220"/>
    <n v="288.3"/>
    <s v="South"/>
    <n v="745"/>
  </r>
  <r>
    <s v="PBOR00675"/>
    <x v="3"/>
    <x v="67"/>
    <x v="338"/>
    <n v="12.77"/>
    <s v="East"/>
    <n v="550"/>
  </r>
  <r>
    <s v="PBOR00676"/>
    <x v="4"/>
    <x v="68"/>
    <x v="339"/>
    <n v="181.06"/>
    <s v="West"/>
    <n v="440"/>
  </r>
  <r>
    <s v="PBOR00677"/>
    <x v="0"/>
    <x v="68"/>
    <x v="438"/>
    <n v="89.160000000000011"/>
    <s v="North"/>
    <n v="310"/>
  </r>
  <r>
    <s v="PBOR00678"/>
    <x v="1"/>
    <x v="47"/>
    <x v="439"/>
    <n v="633.31999999999994"/>
    <s v="South"/>
    <n v="830"/>
  </r>
  <r>
    <s v="PBOR00679"/>
    <x v="2"/>
    <x v="69"/>
    <x v="109"/>
    <n v="176.7"/>
    <s v="East"/>
    <n v="260"/>
  </r>
  <r>
    <s v="PBOR00680"/>
    <x v="3"/>
    <x v="77"/>
    <x v="8"/>
    <n v="371.15999999999997"/>
    <s v="West"/>
    <n v="430"/>
  </r>
  <r>
    <s v="PBOR00681"/>
    <x v="0"/>
    <x v="41"/>
    <x v="33"/>
    <n v="35.58"/>
    <s v="North"/>
    <n v="790"/>
  </r>
  <r>
    <s v="PBOR00682"/>
    <x v="1"/>
    <x v="69"/>
    <x v="440"/>
    <n v="14.12"/>
    <s v="South"/>
    <n v="605"/>
  </r>
  <r>
    <s v="PBOR00683"/>
    <x v="2"/>
    <x v="63"/>
    <x v="441"/>
    <n v="51.3"/>
    <s v="East"/>
    <n v="320"/>
  </r>
  <r>
    <s v="PBOR00684"/>
    <x v="3"/>
    <x v="41"/>
    <x v="442"/>
    <n v="260.45999999999998"/>
    <s v="West"/>
    <n v="580"/>
  </r>
  <r>
    <s v="PBOR00685"/>
    <x v="4"/>
    <x v="45"/>
    <x v="119"/>
    <n v="411.40999999999997"/>
    <s v="North"/>
    <n v="675"/>
  </r>
  <r>
    <s v="PBOR00686"/>
    <x v="5"/>
    <x v="57"/>
    <x v="443"/>
    <n v="98.77000000000001"/>
    <s v="South"/>
    <n v="685"/>
  </r>
  <r>
    <s v="PBOR00687"/>
    <x v="0"/>
    <x v="64"/>
    <x v="444"/>
    <n v="116.58"/>
    <s v="East"/>
    <n v="875"/>
  </r>
  <r>
    <s v="PBOR00688"/>
    <x v="1"/>
    <x v="33"/>
    <x v="445"/>
    <n v="328.81"/>
    <s v="West"/>
    <n v="695"/>
  </r>
  <r>
    <s v="PBOR00689"/>
    <x v="2"/>
    <x v="40"/>
    <x v="320"/>
    <n v="208.35999999999999"/>
    <s v="North"/>
    <n v="820"/>
  </r>
  <r>
    <s v="PBOR00690"/>
    <x v="3"/>
    <x v="70"/>
    <x v="446"/>
    <n v="200.92999999999998"/>
    <s v="South"/>
    <n v="315"/>
  </r>
  <r>
    <s v="PBOR00691"/>
    <x v="0"/>
    <x v="55"/>
    <x v="447"/>
    <n v="126.82000000000001"/>
    <s v="East"/>
    <n v="275"/>
  </r>
  <r>
    <s v="PBOR00692"/>
    <x v="1"/>
    <x v="48"/>
    <x v="443"/>
    <n v="249.29999999999998"/>
    <s v="West"/>
    <n v="685"/>
  </r>
  <r>
    <s v="PBOR00693"/>
    <x v="2"/>
    <x v="78"/>
    <x v="270"/>
    <n v="3.36"/>
    <s v="North"/>
    <n v="265"/>
  </r>
  <r>
    <s v="PBOR00694"/>
    <x v="3"/>
    <x v="65"/>
    <x v="448"/>
    <n v="315.8"/>
    <s v="South"/>
    <n v="640"/>
  </r>
  <r>
    <s v="PBOR00695"/>
    <x v="0"/>
    <x v="80"/>
    <x v="449"/>
    <n v="157.23999999999998"/>
    <s v="East"/>
    <n v="465"/>
  </r>
  <r>
    <s v="PBOR00696"/>
    <x v="1"/>
    <x v="42"/>
    <x v="450"/>
    <n v="740.55"/>
    <s v="West"/>
    <n v="750"/>
  </r>
  <r>
    <s v="PBOR00697"/>
    <x v="2"/>
    <x v="21"/>
    <x v="247"/>
    <n v="184.82999999999998"/>
    <s v="North"/>
    <n v="215"/>
  </r>
  <r>
    <s v="PBOR00698"/>
    <x v="3"/>
    <x v="30"/>
    <x v="397"/>
    <n v="493.09"/>
    <s v="South"/>
    <n v="575"/>
  </r>
  <r>
    <s v="PBOR00699"/>
    <x v="0"/>
    <x v="17"/>
    <x v="115"/>
    <n v="176.76999999999998"/>
    <s v="East"/>
    <n v="645"/>
  </r>
  <r>
    <s v="PBOR00700"/>
    <x v="1"/>
    <x v="48"/>
    <x v="254"/>
    <n v="468.83"/>
    <s v="West"/>
    <n v="625"/>
  </r>
  <r>
    <s v="PBOR00701"/>
    <x v="2"/>
    <x v="17"/>
    <x v="119"/>
    <n v="251.57"/>
    <s v="North"/>
    <n v="675"/>
  </r>
  <r>
    <s v="PBOR00702"/>
    <x v="3"/>
    <x v="75"/>
    <x v="451"/>
    <n v="310.89999999999998"/>
    <s v="South"/>
    <n v="460"/>
  </r>
  <r>
    <s v="PBOR00703"/>
    <x v="4"/>
    <x v="44"/>
    <x v="452"/>
    <n v="88.9"/>
    <s v="East"/>
    <n v="525"/>
  </r>
  <r>
    <s v="PBOR00704"/>
    <x v="0"/>
    <x v="41"/>
    <x v="287"/>
    <n v="761.42"/>
    <s v="West"/>
    <n v="860"/>
  </r>
  <r>
    <s v="PBOR00705"/>
    <x v="1"/>
    <x v="37"/>
    <x v="90"/>
    <n v="141.57999999999998"/>
    <s v="North"/>
    <n v="510"/>
  </r>
  <r>
    <s v="PBOR00706"/>
    <x v="2"/>
    <x v="65"/>
    <x v="361"/>
    <n v="89.100000000000009"/>
    <s v="South"/>
    <n v="210"/>
  </r>
  <r>
    <s v="PBOR00707"/>
    <x v="3"/>
    <x v="40"/>
    <x v="126"/>
    <n v="199.64"/>
    <s v="East"/>
    <n v="355"/>
  </r>
  <r>
    <s v="PBOR00708"/>
    <x v="0"/>
    <x v="26"/>
    <x v="453"/>
    <n v="335.96"/>
    <s v="West"/>
    <n v="855"/>
  </r>
  <r>
    <s v="PBOR00709"/>
    <x v="1"/>
    <x v="46"/>
    <x v="78"/>
    <n v="127.28"/>
    <s v="North"/>
    <n v="870"/>
  </r>
  <r>
    <s v="PBOR00710"/>
    <x v="2"/>
    <x v="82"/>
    <x v="219"/>
    <n v="192.14"/>
    <s v="South"/>
    <n v="320"/>
  </r>
  <r>
    <s v="PBOR00711"/>
    <x v="3"/>
    <x v="56"/>
    <x v="402"/>
    <n v="326.02999999999997"/>
    <s v="East"/>
    <n v="345"/>
  </r>
  <r>
    <s v="PBOR00712"/>
    <x v="4"/>
    <x v="62"/>
    <x v="454"/>
    <n v="275.33999999999997"/>
    <s v="West"/>
    <n v="370"/>
  </r>
  <r>
    <s v="PBOR00713"/>
    <x v="5"/>
    <x v="74"/>
    <x v="312"/>
    <n v="289.02"/>
    <s v="North"/>
    <n v="330"/>
  </r>
  <r>
    <s v="PBOR00714"/>
    <x v="0"/>
    <x v="26"/>
    <x v="333"/>
    <n v="40.93"/>
    <s v="South"/>
    <n v="555"/>
  </r>
  <r>
    <s v="PBOR00715"/>
    <x v="1"/>
    <x v="43"/>
    <x v="455"/>
    <n v="273.77"/>
    <s v="East"/>
    <n v="395"/>
  </r>
  <r>
    <s v="PBOR00716"/>
    <x v="2"/>
    <x v="57"/>
    <x v="329"/>
    <n v="131.34"/>
    <s v="West"/>
    <n v="405"/>
  </r>
  <r>
    <s v="PBOR00717"/>
    <x v="3"/>
    <x v="40"/>
    <x v="62"/>
    <n v="230.53"/>
    <s v="North"/>
    <n v="725"/>
  </r>
  <r>
    <s v="PBOR00718"/>
    <x v="0"/>
    <x v="32"/>
    <x v="150"/>
    <n v="265.02"/>
    <s v="South"/>
    <n v="285"/>
  </r>
  <r>
    <s v="PBOR00719"/>
    <x v="1"/>
    <x v="33"/>
    <x v="447"/>
    <n v="210.06"/>
    <s v="East"/>
    <n v="275"/>
  </r>
  <r>
    <s v="PBOR00720"/>
    <x v="2"/>
    <x v="49"/>
    <x v="456"/>
    <n v="571.76"/>
    <s v="West"/>
    <n v="870"/>
  </r>
  <r>
    <s v="PBOR00721"/>
    <x v="3"/>
    <x v="33"/>
    <x v="129"/>
    <n v="21.82"/>
    <s v="North"/>
    <n v="605"/>
  </r>
  <r>
    <s v="PBOR00722"/>
    <x v="4"/>
    <x v="79"/>
    <x v="391"/>
    <n v="303.84999999999997"/>
    <s v="South"/>
    <n v="430"/>
  </r>
  <r>
    <s v="PBOR00723"/>
    <x v="0"/>
    <x v="82"/>
    <x v="438"/>
    <n v="147.38999999999999"/>
    <s v="East"/>
    <n v="310"/>
  </r>
  <r>
    <s v="PBOR00724"/>
    <x v="1"/>
    <x v="42"/>
    <x v="260"/>
    <n v="260.75"/>
    <s v="West"/>
    <n v="745"/>
  </r>
  <r>
    <s v="PBOR00725"/>
    <x v="2"/>
    <x v="58"/>
    <x v="244"/>
    <n v="164.7"/>
    <s v="North"/>
    <n v="505"/>
  </r>
  <r>
    <s v="PBOR00726"/>
    <x v="3"/>
    <x v="63"/>
    <x v="25"/>
    <n v="44.879999999999995"/>
    <s v="South"/>
    <n v="590"/>
  </r>
  <r>
    <s v="PBOR00727"/>
    <x v="0"/>
    <x v="72"/>
    <x v="457"/>
    <n v="201.94"/>
    <s v="East"/>
    <n v="290"/>
  </r>
  <r>
    <s v="PBOR00728"/>
    <x v="1"/>
    <x v="79"/>
    <x v="206"/>
    <n v="122.89"/>
    <s v="West"/>
    <n v="435"/>
  </r>
  <r>
    <s v="PBOR00729"/>
    <x v="2"/>
    <x v="17"/>
    <x v="458"/>
    <n v="164.45999999999998"/>
    <s v="North"/>
    <n v="540"/>
  </r>
  <r>
    <s v="PBOR00730"/>
    <x v="3"/>
    <x v="52"/>
    <x v="126"/>
    <n v="72.45"/>
    <s v="South"/>
    <n v="355"/>
  </r>
  <r>
    <s v="PBOR00731"/>
    <x v="4"/>
    <x v="74"/>
    <x v="348"/>
    <n v="616.83000000000004"/>
    <s v="East"/>
    <n v="665"/>
  </r>
  <r>
    <s v="PBOR00732"/>
    <x v="5"/>
    <x v="75"/>
    <x v="326"/>
    <n v="399.59"/>
    <s v="West"/>
    <n v="410"/>
  </r>
  <r>
    <s v="PBOR00733"/>
    <x v="0"/>
    <x v="57"/>
    <x v="459"/>
    <n v="46.41"/>
    <s v="North"/>
    <n v="330"/>
  </r>
  <r>
    <s v="PBOR00734"/>
    <x v="1"/>
    <x v="38"/>
    <x v="348"/>
    <n v="408.55"/>
    <s v="South"/>
    <n v="665"/>
  </r>
  <r>
    <s v="PBOR00735"/>
    <x v="2"/>
    <x v="53"/>
    <x v="376"/>
    <n v="15.42"/>
    <s v="East"/>
    <n v="715"/>
  </r>
  <r>
    <s v="PBOR00736"/>
    <x v="3"/>
    <x v="78"/>
    <x v="460"/>
    <n v="185.34"/>
    <s v="West"/>
    <n v="235"/>
  </r>
  <r>
    <s v="PBOR00737"/>
    <x v="0"/>
    <x v="82"/>
    <x v="461"/>
    <n v="67.28"/>
    <s v="North"/>
    <n v="600"/>
  </r>
  <r>
    <s v="PBOR00738"/>
    <x v="1"/>
    <x v="61"/>
    <x v="143"/>
    <n v="652.06999999999994"/>
    <s v="South"/>
    <n v="790"/>
  </r>
  <r>
    <s v="PBOR00739"/>
    <x v="2"/>
    <x v="21"/>
    <x v="300"/>
    <n v="53.94"/>
    <s v="East"/>
    <n v="655"/>
  </r>
  <r>
    <s v="PBOR00740"/>
    <x v="3"/>
    <x v="32"/>
    <x v="353"/>
    <n v="70.490000000000009"/>
    <s v="West"/>
    <n v="385"/>
  </r>
  <r>
    <s v="PBOR00741"/>
    <x v="0"/>
    <x v="54"/>
    <x v="462"/>
    <n v="194.14999999999998"/>
    <s v="North"/>
    <n v="460"/>
  </r>
  <r>
    <s v="PBOR00742"/>
    <x v="1"/>
    <x v="70"/>
    <x v="463"/>
    <n v="9.18"/>
    <s v="South"/>
    <n v="210"/>
  </r>
  <r>
    <s v="PBOR00743"/>
    <x v="2"/>
    <x v="30"/>
    <x v="295"/>
    <n v="643.14"/>
    <s v="East"/>
    <n v="895"/>
  </r>
  <r>
    <s v="PBOR00744"/>
    <x v="3"/>
    <x v="71"/>
    <x v="464"/>
    <n v="101.25"/>
    <s v="West"/>
    <n v="340"/>
  </r>
  <r>
    <s v="PBOR00745"/>
    <x v="0"/>
    <x v="82"/>
    <x v="56"/>
    <n v="217.32999999999998"/>
    <s v="North"/>
    <n v="790"/>
  </r>
  <r>
    <s v="PBOR00746"/>
    <x v="1"/>
    <x v="67"/>
    <x v="106"/>
    <n v="158.38999999999999"/>
    <s v="South"/>
    <n v="250"/>
  </r>
  <r>
    <s v="PBOR00747"/>
    <x v="2"/>
    <x v="43"/>
    <x v="412"/>
    <n v="335.3"/>
    <s v="East"/>
    <n v="470"/>
  </r>
  <r>
    <s v="PBOR00748"/>
    <x v="3"/>
    <x v="52"/>
    <x v="385"/>
    <n v="516.29"/>
    <s v="West"/>
    <n v="775"/>
  </r>
  <r>
    <s v="PBOR00749"/>
    <x v="4"/>
    <x v="41"/>
    <x v="465"/>
    <n v="464.24"/>
    <s v="North"/>
    <n v="740"/>
  </r>
  <r>
    <s v="PBOR00750"/>
    <x v="0"/>
    <x v="63"/>
    <x v="398"/>
    <n v="326.75"/>
    <s v="South"/>
    <n v="480"/>
  </r>
  <r>
    <s v="PBOR00751"/>
    <x v="1"/>
    <x v="63"/>
    <x v="466"/>
    <n v="17.66"/>
    <s v="East"/>
    <n v="460"/>
  </r>
  <r>
    <s v="PBOR00752"/>
    <x v="2"/>
    <x v="74"/>
    <x v="467"/>
    <n v="125.46000000000001"/>
    <s v="West"/>
    <n v="305"/>
  </r>
  <r>
    <s v="PBOR00753"/>
    <x v="3"/>
    <x v="80"/>
    <x v="468"/>
    <n v="171.23"/>
    <s v="North"/>
    <n v="585"/>
  </r>
  <r>
    <s v="PBOR00754"/>
    <x v="0"/>
    <x v="37"/>
    <x v="469"/>
    <n v="307.45"/>
    <s v="South"/>
    <n v="770"/>
  </r>
  <r>
    <s v="PBOR00755"/>
    <x v="1"/>
    <x v="58"/>
    <x v="382"/>
    <n v="535.02"/>
    <s v="East"/>
    <n v="710"/>
  </r>
  <r>
    <s v="PBOR00756"/>
    <x v="2"/>
    <x v="67"/>
    <x v="269"/>
    <n v="0.4"/>
    <s v="West"/>
    <n v="555"/>
  </r>
  <r>
    <s v="PBOR00757"/>
    <x v="3"/>
    <x v="45"/>
    <x v="470"/>
    <n v="817.01"/>
    <s v="North"/>
    <n v="825"/>
  </r>
  <r>
    <s v="PBOR00758"/>
    <x v="4"/>
    <x v="77"/>
    <x v="334"/>
    <n v="119.82000000000001"/>
    <s v="South"/>
    <n v="555"/>
  </r>
  <r>
    <s v="PBOR00759"/>
    <x v="5"/>
    <x v="39"/>
    <x v="65"/>
    <n v="754.06"/>
    <s v="East"/>
    <n v="755"/>
  </r>
  <r>
    <s v="PBOR00760"/>
    <x v="0"/>
    <x v="17"/>
    <x v="471"/>
    <n v="167.51"/>
    <s v="West"/>
    <n v="325"/>
  </r>
  <r>
    <s v="PBOR00761"/>
    <x v="1"/>
    <x v="74"/>
    <x v="472"/>
    <n v="477.88"/>
    <s v="North"/>
    <n v="770"/>
  </r>
  <r>
    <s v="PBOR00762"/>
    <x v="2"/>
    <x v="26"/>
    <x v="181"/>
    <n v="635.64"/>
    <s v="South"/>
    <n v="875"/>
  </r>
  <r>
    <s v="PBOR00763"/>
    <x v="3"/>
    <x v="48"/>
    <x v="235"/>
    <n v="270.82"/>
    <s v="East"/>
    <n v="350"/>
  </r>
  <r>
    <s v="PBOR00764"/>
    <x v="0"/>
    <x v="58"/>
    <x v="473"/>
    <n v="238.98"/>
    <s v="West"/>
    <n v="740"/>
  </r>
  <r>
    <s v="PBOR00765"/>
    <x v="1"/>
    <x v="74"/>
    <x v="474"/>
    <n v="83.940000000000012"/>
    <s v="North"/>
    <n v="710"/>
  </r>
  <r>
    <s v="PBOR00766"/>
    <x v="2"/>
    <x v="50"/>
    <x v="397"/>
    <n v="19.400000000000002"/>
    <s v="South"/>
    <n v="575"/>
  </r>
  <r>
    <s v="PBOR00767"/>
    <x v="3"/>
    <x v="49"/>
    <x v="475"/>
    <n v="193.35999999999999"/>
    <s v="East"/>
    <n v="235"/>
  </r>
  <r>
    <s v="PBOR00768"/>
    <x v="4"/>
    <x v="46"/>
    <x v="229"/>
    <n v="531.63"/>
    <s v="West"/>
    <n v="865"/>
  </r>
  <r>
    <s v="PBOR00769"/>
    <x v="0"/>
    <x v="38"/>
    <x v="288"/>
    <n v="251.81"/>
    <s v="North"/>
    <n v="855"/>
  </r>
  <r>
    <s v="PBOR00770"/>
    <x v="1"/>
    <x v="80"/>
    <x v="206"/>
    <n v="17.200000000000003"/>
    <s v="South"/>
    <n v="435"/>
  </r>
  <r>
    <s v="PBOR00771"/>
    <x v="2"/>
    <x v="42"/>
    <x v="476"/>
    <n v="402.25"/>
    <s v="East"/>
    <n v="710"/>
  </r>
  <r>
    <s v="PBOR00772"/>
    <x v="3"/>
    <x v="79"/>
    <x v="239"/>
    <n v="262.68"/>
    <s v="West"/>
    <n v="340"/>
  </r>
  <r>
    <s v="PBOR00773"/>
    <x v="0"/>
    <x v="46"/>
    <x v="477"/>
    <n v="105.7"/>
    <s v="North"/>
    <n v="415"/>
  </r>
  <r>
    <s v="PBOR00774"/>
    <x v="1"/>
    <x v="42"/>
    <x v="478"/>
    <n v="500.94"/>
    <s v="South"/>
    <n v="575"/>
  </r>
  <r>
    <s v="PBOR00775"/>
    <x v="2"/>
    <x v="47"/>
    <x v="4"/>
    <n v="96.27000000000001"/>
    <s v="East"/>
    <n v="320"/>
  </r>
  <r>
    <s v="PBOR00776"/>
    <x v="3"/>
    <x v="47"/>
    <x v="64"/>
    <n v="236.20999999999998"/>
    <s v="West"/>
    <n v="265"/>
  </r>
  <r>
    <s v="PBOR00777"/>
    <x v="4"/>
    <x v="19"/>
    <x v="479"/>
    <n v="433.83"/>
    <s v="North"/>
    <n v="625"/>
  </r>
  <r>
    <s v="PBOR00778"/>
    <x v="5"/>
    <x v="80"/>
    <x v="298"/>
    <n v="174.76"/>
    <s v="South"/>
    <n v="330"/>
  </r>
  <r>
    <s v="PBOR00779"/>
    <x v="0"/>
    <x v="54"/>
    <x v="266"/>
    <n v="111.65"/>
    <s v="East"/>
    <n v="880"/>
  </r>
  <r>
    <s v="PBOR00780"/>
    <x v="1"/>
    <x v="43"/>
    <x v="371"/>
    <n v="542.18999999999994"/>
    <s v="West"/>
    <n v="700"/>
  </r>
  <r>
    <s v="PBOR00781"/>
    <x v="2"/>
    <x v="81"/>
    <x v="442"/>
    <n v="383.37"/>
    <s v="North"/>
    <n v="580"/>
  </r>
  <r>
    <s v="PBOR00782"/>
    <x v="3"/>
    <x v="48"/>
    <x v="480"/>
    <n v="849.24"/>
    <s v="South"/>
    <n v="860"/>
  </r>
  <r>
    <s v="PBOR00783"/>
    <x v="0"/>
    <x v="37"/>
    <x v="337"/>
    <n v="136.07999999999998"/>
    <s v="East"/>
    <n v="435"/>
  </r>
  <r>
    <s v="PBOR00784"/>
    <x v="1"/>
    <x v="66"/>
    <x v="447"/>
    <n v="177.67"/>
    <s v="West"/>
    <n v="275"/>
  </r>
  <r>
    <s v="PBOR00785"/>
    <x v="2"/>
    <x v="63"/>
    <x v="481"/>
    <n v="27.23"/>
    <s v="North"/>
    <n v="600"/>
  </r>
  <r>
    <s v="PBOR00786"/>
    <x v="3"/>
    <x v="39"/>
    <x v="482"/>
    <n v="439.4"/>
    <s v="South"/>
    <n v="505"/>
  </r>
  <r>
    <s v="PBOR00787"/>
    <x v="0"/>
    <x v="42"/>
    <x v="257"/>
    <n v="270.42"/>
    <s v="East"/>
    <n v="500"/>
  </r>
  <r>
    <s v="PBOR00788"/>
    <x v="1"/>
    <x v="30"/>
    <x v="483"/>
    <n v="83.37"/>
    <s v="West"/>
    <n v="255"/>
  </r>
  <r>
    <s v="PBOR00789"/>
    <x v="2"/>
    <x v="66"/>
    <x v="235"/>
    <n v="192.26999999999998"/>
    <s v="North"/>
    <n v="350"/>
  </r>
  <r>
    <s v="PBOR00790"/>
    <x v="3"/>
    <x v="42"/>
    <x v="37"/>
    <n v="20.680000000000003"/>
    <s v="South"/>
    <n v="725"/>
  </r>
  <r>
    <s v="PBOR00791"/>
    <x v="0"/>
    <x v="83"/>
    <x v="365"/>
    <n v="491.09999999999997"/>
    <s v="East"/>
    <n v="515"/>
  </r>
  <r>
    <s v="PBOR00792"/>
    <x v="1"/>
    <x v="79"/>
    <x v="40"/>
    <n v="190.45"/>
    <s v="West"/>
    <n v="360"/>
  </r>
  <r>
    <s v="PBOR00793"/>
    <x v="2"/>
    <x v="70"/>
    <x v="398"/>
    <n v="213.29999999999998"/>
    <s v="North"/>
    <n v="480"/>
  </r>
  <r>
    <s v="PBOR00794"/>
    <x v="3"/>
    <x v="55"/>
    <x v="459"/>
    <n v="121.88000000000001"/>
    <s v="South"/>
    <n v="330"/>
  </r>
  <r>
    <s v="PBOR00795"/>
    <x v="4"/>
    <x v="51"/>
    <x v="450"/>
    <n v="397.84"/>
    <s v="East"/>
    <n v="750"/>
  </r>
  <r>
    <s v="PBOR00796"/>
    <x v="0"/>
    <x v="77"/>
    <x v="135"/>
    <n v="234.03"/>
    <s v="West"/>
    <n v="775"/>
  </r>
  <r>
    <s v="PBOR00797"/>
    <x v="1"/>
    <x v="30"/>
    <x v="276"/>
    <n v="192.73999999999998"/>
    <s v="North"/>
    <n v="600"/>
  </r>
  <r>
    <s v="PBOR00798"/>
    <x v="2"/>
    <x v="70"/>
    <x v="349"/>
    <n v="753.21"/>
    <s v="South"/>
    <n v="88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x v="0"/>
    <x v="0"/>
    <x v="0"/>
    <x v="0"/>
    <x v="0"/>
    <n v="72"/>
    <s v="Roch Cousineau"/>
    <x v="0"/>
    <n v="1.372080123313592E-2"/>
  </r>
  <r>
    <x v="1"/>
    <x v="1"/>
    <x v="1"/>
    <x v="1"/>
    <x v="1"/>
    <n v="65"/>
    <s v="Adrien Martin"/>
    <x v="1"/>
    <n v="2.2083854314921911E-2"/>
  </r>
  <r>
    <x v="2"/>
    <x v="2"/>
    <x v="2"/>
    <x v="2"/>
    <x v="0"/>
    <n v="250"/>
    <s v="Albain Forestier"/>
    <x v="2"/>
    <n v="0.92842323956324613"/>
  </r>
  <r>
    <x v="3"/>
    <x v="3"/>
    <x v="3"/>
    <x v="3"/>
    <x v="1"/>
    <n v="130"/>
    <s v="Roch Cousineau"/>
    <x v="3"/>
    <n v="0.20990358910221096"/>
  </r>
  <r>
    <x v="4"/>
    <x v="0"/>
    <x v="4"/>
    <x v="0"/>
    <x v="0"/>
    <n v="72"/>
    <s v="Adrien Martin"/>
    <x v="4"/>
    <n v="0.184343159134289"/>
  </r>
  <r>
    <x v="5"/>
    <x v="1"/>
    <x v="5"/>
    <x v="1"/>
    <x v="1"/>
    <n v="65"/>
    <s v="Albain Forestier"/>
    <x v="0"/>
    <n v="0.11144429073382323"/>
  </r>
  <r>
    <x v="6"/>
    <x v="2"/>
    <x v="1"/>
    <x v="2"/>
    <x v="0"/>
    <n v="250"/>
    <s v="Roch Cousineau"/>
    <x v="2"/>
    <n v="0.56286929186816415"/>
  </r>
  <r>
    <x v="7"/>
    <x v="3"/>
    <x v="6"/>
    <x v="3"/>
    <x v="1"/>
    <n v="130"/>
    <s v="Adrien Martin"/>
    <x v="5"/>
    <n v="3.138956050307417E-2"/>
  </r>
  <r>
    <x v="8"/>
    <x v="4"/>
    <x v="7"/>
    <x v="4"/>
    <x v="0"/>
    <n v="60"/>
    <s v="Albain Forestier"/>
    <x v="1"/>
    <n v="0.23798278495106248"/>
  </r>
  <r>
    <x v="9"/>
    <x v="0"/>
    <x v="6"/>
    <x v="0"/>
    <x v="1"/>
    <n v="72"/>
    <s v="Roch Cousineau"/>
    <x v="6"/>
    <n v="0.19712344024473996"/>
  </r>
  <r>
    <x v="10"/>
    <x v="1"/>
    <x v="2"/>
    <x v="1"/>
    <x v="0"/>
    <n v="65"/>
    <s v="Adrien Martin"/>
    <x v="4"/>
    <n v="6.8295799738434873E-2"/>
  </r>
  <r>
    <x v="11"/>
    <x v="2"/>
    <x v="8"/>
    <x v="2"/>
    <x v="1"/>
    <n v="250"/>
    <s v="Albain Forestier"/>
    <x v="2"/>
    <n v="1.6828522965904168E-2"/>
  </r>
  <r>
    <x v="12"/>
    <x v="3"/>
    <x v="9"/>
    <x v="3"/>
    <x v="0"/>
    <n v="130"/>
    <s v="Roch Cousineau"/>
    <x v="3"/>
    <n v="0.26661284065553453"/>
  </r>
  <r>
    <x v="13"/>
    <x v="0"/>
    <x v="4"/>
    <x v="0"/>
    <x v="1"/>
    <n v="72"/>
    <s v="Adrien Martin"/>
    <x v="7"/>
    <n v="0.21251347110701568"/>
  </r>
  <r>
    <x v="14"/>
    <x v="1"/>
    <x v="10"/>
    <x v="1"/>
    <x v="0"/>
    <n v="65"/>
    <s v="Albain Forestier"/>
    <x v="4"/>
    <n v="0.10994257661413849"/>
  </r>
  <r>
    <x v="15"/>
    <x v="2"/>
    <x v="10"/>
    <x v="2"/>
    <x v="1"/>
    <n v="250"/>
    <s v="Roch Cousineau"/>
    <x v="2"/>
    <n v="0.53607498908607099"/>
  </r>
  <r>
    <x v="16"/>
    <x v="3"/>
    <x v="6"/>
    <x v="3"/>
    <x v="0"/>
    <n v="130"/>
    <s v="Adrien Martin"/>
    <x v="3"/>
    <n v="3.7515550327758003E-2"/>
  </r>
  <r>
    <x v="17"/>
    <x v="4"/>
    <x v="9"/>
    <x v="4"/>
    <x v="0"/>
    <n v="60"/>
    <s v="Albain Forestier"/>
    <x v="8"/>
    <n v="2.4938289886663061E-2"/>
  </r>
  <r>
    <x v="18"/>
    <x v="5"/>
    <x v="10"/>
    <x v="5"/>
    <x v="1"/>
    <n v="95"/>
    <s v="Roch Cousineau"/>
    <x v="3"/>
    <n v="1.0123391970414241E-2"/>
  </r>
  <r>
    <x v="19"/>
    <x v="0"/>
    <x v="9"/>
    <x v="0"/>
    <x v="1"/>
    <n v="72"/>
    <s v="Adrien Martin"/>
    <x v="3"/>
    <n v="0.1308869366379137"/>
  </r>
  <r>
    <x v="20"/>
    <x v="1"/>
    <x v="10"/>
    <x v="1"/>
    <x v="1"/>
    <n v="65"/>
    <s v="Albain Forestier"/>
    <x v="4"/>
    <n v="6.6961969492996459E-2"/>
  </r>
  <r>
    <x v="21"/>
    <x v="2"/>
    <x v="2"/>
    <x v="2"/>
    <x v="0"/>
    <n v="250"/>
    <s v="Roch Cousineau"/>
    <x v="2"/>
    <n v="0.36350761794645753"/>
  </r>
  <r>
    <x v="22"/>
    <x v="3"/>
    <x v="11"/>
    <x v="3"/>
    <x v="0"/>
    <n v="130"/>
    <s v="Adrien Martin"/>
    <x v="5"/>
    <n v="0.30841415491993102"/>
  </r>
  <r>
    <x v="23"/>
    <x v="0"/>
    <x v="9"/>
    <x v="0"/>
    <x v="0"/>
    <n v="72"/>
    <s v="Albain Forestier"/>
    <x v="0"/>
    <n v="0.21287301321989574"/>
  </r>
  <r>
    <x v="24"/>
    <x v="1"/>
    <x v="12"/>
    <x v="1"/>
    <x v="0"/>
    <n v="65"/>
    <s v="Roch Cousineau"/>
    <x v="3"/>
    <n v="0.11047742601795077"/>
  </r>
  <r>
    <x v="25"/>
    <x v="2"/>
    <x v="4"/>
    <x v="2"/>
    <x v="0"/>
    <n v="250"/>
    <s v="Adrien Martin"/>
    <x v="9"/>
    <n v="4.8799156151631218E-2"/>
  </r>
  <r>
    <x v="26"/>
    <x v="3"/>
    <x v="10"/>
    <x v="3"/>
    <x v="0"/>
    <n v="130"/>
    <s v="Albain Forestier"/>
    <x v="2"/>
    <n v="0.27879506176921365"/>
  </r>
  <r>
    <x v="27"/>
    <x v="4"/>
    <x v="10"/>
    <x v="4"/>
    <x v="0"/>
    <n v="60"/>
    <s v="Roch Cousineau"/>
    <x v="10"/>
    <n v="7.6045534046593019E-2"/>
  </r>
  <r>
    <x v="28"/>
    <x v="0"/>
    <x v="2"/>
    <x v="0"/>
    <x v="0"/>
    <n v="72"/>
    <s v="Adrien Martin"/>
    <x v="7"/>
    <n v="0.12055762754740325"/>
  </r>
  <r>
    <x v="29"/>
    <x v="1"/>
    <x v="5"/>
    <x v="1"/>
    <x v="0"/>
    <n v="65"/>
    <s v="Albain Forestier"/>
    <x v="3"/>
    <n v="0.30283946337780637"/>
  </r>
  <r>
    <x v="30"/>
    <x v="2"/>
    <x v="11"/>
    <x v="2"/>
    <x v="1"/>
    <n v="250"/>
    <s v="Roch Cousineau"/>
    <x v="11"/>
    <n v="0.41401829873258272"/>
  </r>
  <r>
    <x v="31"/>
    <x v="3"/>
    <x v="13"/>
    <x v="3"/>
    <x v="0"/>
    <n v="130"/>
    <s v="Adrien Martin"/>
    <x v="4"/>
    <n v="6.1603660271292333E-3"/>
  </r>
  <r>
    <x v="32"/>
    <x v="0"/>
    <x v="14"/>
    <x v="0"/>
    <x v="0"/>
    <n v="72"/>
    <s v="Albain Forestier"/>
    <x v="0"/>
    <n v="0.10495963672233184"/>
  </r>
  <r>
    <x v="33"/>
    <x v="1"/>
    <x v="9"/>
    <x v="1"/>
    <x v="0"/>
    <n v="65"/>
    <s v="Roch Cousineau"/>
    <x v="7"/>
    <n v="0.29377273906475571"/>
  </r>
  <r>
    <x v="34"/>
    <x v="2"/>
    <x v="7"/>
    <x v="2"/>
    <x v="0"/>
    <n v="250"/>
    <s v="Adrien Martin"/>
    <x v="2"/>
    <n v="0.56559810101924179"/>
  </r>
  <r>
    <x v="35"/>
    <x v="3"/>
    <x v="15"/>
    <x v="3"/>
    <x v="0"/>
    <n v="130"/>
    <s v="Albain Forestier"/>
    <x v="2"/>
    <n v="0.14180367825735268"/>
  </r>
  <r>
    <x v="36"/>
    <x v="4"/>
    <x v="15"/>
    <x v="4"/>
    <x v="1"/>
    <n v="60"/>
    <s v="Roch Cousineau"/>
    <x v="12"/>
    <n v="0.19727585407121537"/>
  </r>
  <r>
    <x v="37"/>
    <x v="5"/>
    <x v="8"/>
    <x v="5"/>
    <x v="0"/>
    <n v="95"/>
    <s v="Adrien Martin"/>
    <x v="0"/>
    <n v="0.16026707373910823"/>
  </r>
  <r>
    <x v="38"/>
    <x v="0"/>
    <x v="4"/>
    <x v="0"/>
    <x v="0"/>
    <n v="72"/>
    <s v="Albain Forestier"/>
    <x v="3"/>
    <n v="3.6754234817017679E-2"/>
  </r>
  <r>
    <x v="39"/>
    <x v="1"/>
    <x v="12"/>
    <x v="1"/>
    <x v="0"/>
    <n v="65"/>
    <s v="Roch Cousineau"/>
    <x v="5"/>
    <n v="0.12047427034169578"/>
  </r>
  <r>
    <x v="40"/>
    <x v="2"/>
    <x v="5"/>
    <x v="2"/>
    <x v="1"/>
    <n v="250"/>
    <s v="Adrien Martin"/>
    <x v="11"/>
    <n v="0.38636401364592987"/>
  </r>
  <r>
    <x v="41"/>
    <x v="3"/>
    <x v="8"/>
    <x v="3"/>
    <x v="1"/>
    <n v="130"/>
    <s v="Albain Forestier"/>
    <x v="1"/>
    <n v="0.25111930985495906"/>
  </r>
  <r>
    <x v="42"/>
    <x v="0"/>
    <x v="15"/>
    <x v="0"/>
    <x v="1"/>
    <n v="72"/>
    <s v="Roch Cousineau"/>
    <x v="1"/>
    <n v="0.18099169049889144"/>
  </r>
  <r>
    <x v="43"/>
    <x v="1"/>
    <x v="10"/>
    <x v="1"/>
    <x v="1"/>
    <n v="65"/>
    <s v="Adrien Martin"/>
    <x v="2"/>
    <n v="0.17363786365000505"/>
  </r>
  <r>
    <x v="44"/>
    <x v="2"/>
    <x v="9"/>
    <x v="2"/>
    <x v="1"/>
    <n v="250"/>
    <s v="Albain Forestier"/>
    <x v="11"/>
    <n v="0.75489814137474298"/>
  </r>
  <r>
    <x v="45"/>
    <x v="3"/>
    <x v="7"/>
    <x v="3"/>
    <x v="1"/>
    <n v="130"/>
    <s v="Roch Cousineau"/>
    <x v="5"/>
    <n v="0.41826226246410803"/>
  </r>
  <r>
    <x v="46"/>
    <x v="0"/>
    <x v="14"/>
    <x v="0"/>
    <x v="0"/>
    <n v="72"/>
    <s v="Roch Cousineau"/>
    <x v="4"/>
    <n v="1.372080123313592E-2"/>
  </r>
  <r>
    <x v="47"/>
    <x v="1"/>
    <x v="16"/>
    <x v="1"/>
    <x v="1"/>
    <n v="65"/>
    <s v="Adrien Martin"/>
    <x v="5"/>
    <n v="2.2083854314921911E-2"/>
  </r>
  <r>
    <x v="48"/>
    <x v="2"/>
    <x v="17"/>
    <x v="2"/>
    <x v="0"/>
    <n v="250"/>
    <s v="Albain Forestier"/>
    <x v="2"/>
    <n v="0.92842323956324613"/>
  </r>
  <r>
    <x v="49"/>
    <x v="3"/>
    <x v="17"/>
    <x v="3"/>
    <x v="1"/>
    <n v="130"/>
    <s v="Roch Cousineau"/>
    <x v="9"/>
    <n v="0.20990358910221096"/>
  </r>
  <r>
    <x v="50"/>
    <x v="0"/>
    <x v="5"/>
    <x v="0"/>
    <x v="0"/>
    <n v="72"/>
    <s v="Adrien Martin"/>
    <x v="3"/>
    <n v="0.184343159134289"/>
  </r>
  <r>
    <x v="51"/>
    <x v="1"/>
    <x v="16"/>
    <x v="1"/>
    <x v="1"/>
    <n v="65"/>
    <s v="Albain Forestier"/>
    <x v="0"/>
    <n v="0.11144429073382323"/>
  </r>
  <r>
    <x v="52"/>
    <x v="2"/>
    <x v="1"/>
    <x v="2"/>
    <x v="0"/>
    <n v="250"/>
    <s v="Roch Cousineau"/>
    <x v="2"/>
    <n v="0.56286929186816415"/>
  </r>
  <r>
    <x v="53"/>
    <x v="3"/>
    <x v="18"/>
    <x v="3"/>
    <x v="1"/>
    <n v="130"/>
    <s v="Adrien Martin"/>
    <x v="2"/>
    <n v="3.138956050307417E-2"/>
  </r>
  <r>
    <x v="54"/>
    <x v="4"/>
    <x v="3"/>
    <x v="4"/>
    <x v="0"/>
    <n v="60"/>
    <s v="Albain Forestier"/>
    <x v="8"/>
    <n v="0.23798278495106248"/>
  </r>
  <r>
    <x v="55"/>
    <x v="0"/>
    <x v="19"/>
    <x v="0"/>
    <x v="1"/>
    <n v="72"/>
    <s v="Roch Cousineau"/>
    <x v="3"/>
    <n v="0.19712344024473996"/>
  </r>
  <r>
    <x v="56"/>
    <x v="1"/>
    <x v="20"/>
    <x v="1"/>
    <x v="0"/>
    <n v="65"/>
    <s v="Adrien Martin"/>
    <x v="1"/>
    <n v="6.8295799738434873E-2"/>
  </r>
  <r>
    <x v="57"/>
    <x v="2"/>
    <x v="21"/>
    <x v="2"/>
    <x v="1"/>
    <n v="250"/>
    <s v="Albain Forestier"/>
    <x v="2"/>
    <n v="1.6828522965904168E-2"/>
  </r>
  <r>
    <x v="58"/>
    <x v="3"/>
    <x v="22"/>
    <x v="3"/>
    <x v="0"/>
    <n v="130"/>
    <s v="Roch Cousineau"/>
    <x v="5"/>
    <n v="0.26661284065553453"/>
  </r>
  <r>
    <x v="59"/>
    <x v="0"/>
    <x v="23"/>
    <x v="0"/>
    <x v="1"/>
    <n v="72"/>
    <s v="Adrien Martin"/>
    <x v="12"/>
    <n v="0.21251347110701568"/>
  </r>
  <r>
    <x v="60"/>
    <x v="1"/>
    <x v="24"/>
    <x v="1"/>
    <x v="0"/>
    <n v="65"/>
    <s v="Albain Forestier"/>
    <x v="7"/>
    <n v="0.10994257661413849"/>
  </r>
  <r>
    <x v="61"/>
    <x v="2"/>
    <x v="16"/>
    <x v="2"/>
    <x v="1"/>
    <n v="250"/>
    <s v="Roch Cousineau"/>
    <x v="9"/>
    <n v="0.53607498908607099"/>
  </r>
  <r>
    <x v="62"/>
    <x v="3"/>
    <x v="25"/>
    <x v="3"/>
    <x v="0"/>
    <n v="130"/>
    <s v="Adrien Martin"/>
    <x v="5"/>
    <n v="3.7515550327758003E-2"/>
  </r>
  <r>
    <x v="63"/>
    <x v="4"/>
    <x v="6"/>
    <x v="4"/>
    <x v="0"/>
    <n v="60"/>
    <s v="Albain Forestier"/>
    <x v="13"/>
    <n v="2.4938289886663061E-2"/>
  </r>
  <r>
    <x v="64"/>
    <x v="5"/>
    <x v="2"/>
    <x v="5"/>
    <x v="1"/>
    <n v="95"/>
    <s v="Roch Cousineau"/>
    <x v="6"/>
    <n v="1.0123391970414241E-2"/>
  </r>
  <r>
    <x v="65"/>
    <x v="0"/>
    <x v="26"/>
    <x v="0"/>
    <x v="1"/>
    <n v="72"/>
    <s v="Adrien Martin"/>
    <x v="7"/>
    <n v="0.1308869366379137"/>
  </r>
  <r>
    <x v="66"/>
    <x v="1"/>
    <x v="4"/>
    <x v="1"/>
    <x v="1"/>
    <n v="65"/>
    <s v="Albain Forestier"/>
    <x v="1"/>
    <n v="6.6961969492996459E-2"/>
  </r>
  <r>
    <x v="67"/>
    <x v="2"/>
    <x v="27"/>
    <x v="2"/>
    <x v="0"/>
    <n v="250"/>
    <s v="Roch Cousineau"/>
    <x v="2"/>
    <n v="0.36350761794645753"/>
  </r>
  <r>
    <x v="68"/>
    <x v="3"/>
    <x v="15"/>
    <x v="3"/>
    <x v="0"/>
    <n v="130"/>
    <s v="Adrien Martin"/>
    <x v="5"/>
    <n v="0.30841415491993102"/>
  </r>
  <r>
    <x v="69"/>
    <x v="0"/>
    <x v="28"/>
    <x v="0"/>
    <x v="0"/>
    <n v="72"/>
    <s v="Albain Forestier"/>
    <x v="6"/>
    <n v="0.21287301321989574"/>
  </r>
  <r>
    <x v="70"/>
    <x v="1"/>
    <x v="8"/>
    <x v="1"/>
    <x v="0"/>
    <n v="65"/>
    <s v="Roch Cousineau"/>
    <x v="4"/>
    <n v="0.11047742601795077"/>
  </r>
  <r>
    <x v="71"/>
    <x v="2"/>
    <x v="6"/>
    <x v="2"/>
    <x v="0"/>
    <n v="250"/>
    <s v="Adrien Martin"/>
    <x v="9"/>
    <n v="4.8799156151631218E-2"/>
  </r>
  <r>
    <x v="72"/>
    <x v="3"/>
    <x v="27"/>
    <x v="3"/>
    <x v="0"/>
    <n v="130"/>
    <s v="Albain Forestier"/>
    <x v="5"/>
    <n v="0.27879506176921365"/>
  </r>
  <r>
    <x v="73"/>
    <x v="4"/>
    <x v="10"/>
    <x v="4"/>
    <x v="0"/>
    <n v="60"/>
    <s v="Roch Cousineau"/>
    <x v="6"/>
    <n v="7.6045534046593019E-2"/>
  </r>
  <r>
    <x v="74"/>
    <x v="0"/>
    <x v="29"/>
    <x v="0"/>
    <x v="0"/>
    <n v="72"/>
    <s v="Adrien Martin"/>
    <x v="12"/>
    <n v="0.12055762754740325"/>
  </r>
  <r>
    <x v="75"/>
    <x v="1"/>
    <x v="30"/>
    <x v="1"/>
    <x v="0"/>
    <n v="65"/>
    <s v="Albain Forestier"/>
    <x v="8"/>
    <n v="0.30283946337780637"/>
  </r>
  <r>
    <x v="76"/>
    <x v="2"/>
    <x v="31"/>
    <x v="2"/>
    <x v="1"/>
    <n v="250"/>
    <s v="Roch Cousineau"/>
    <x v="9"/>
    <n v="0.41401829873258272"/>
  </r>
  <r>
    <x v="77"/>
    <x v="3"/>
    <x v="27"/>
    <x v="3"/>
    <x v="0"/>
    <n v="130"/>
    <s v="Adrien Martin"/>
    <x v="5"/>
    <n v="6.1603660271292333E-3"/>
  </r>
  <r>
    <x v="78"/>
    <x v="0"/>
    <x v="29"/>
    <x v="0"/>
    <x v="0"/>
    <n v="72"/>
    <s v="Albain Forestier"/>
    <x v="7"/>
    <n v="0.10495963672233184"/>
  </r>
  <r>
    <x v="79"/>
    <x v="1"/>
    <x v="1"/>
    <x v="1"/>
    <x v="0"/>
    <n v="65"/>
    <s v="Roch Cousineau"/>
    <x v="12"/>
    <n v="0.29377273906475571"/>
  </r>
  <r>
    <x v="80"/>
    <x v="2"/>
    <x v="11"/>
    <x v="2"/>
    <x v="0"/>
    <n v="250"/>
    <s v="Adrien Martin"/>
    <x v="2"/>
    <n v="0.56559810101924179"/>
  </r>
  <r>
    <x v="81"/>
    <x v="3"/>
    <x v="5"/>
    <x v="3"/>
    <x v="0"/>
    <n v="130"/>
    <s v="Albain Forestier"/>
    <x v="4"/>
    <n v="0.14180367825735268"/>
  </r>
  <r>
    <x v="82"/>
    <x v="4"/>
    <x v="2"/>
    <x v="4"/>
    <x v="1"/>
    <n v="60"/>
    <s v="Roch Cousineau"/>
    <x v="10"/>
    <n v="0.19727585407121537"/>
  </r>
  <r>
    <x v="83"/>
    <x v="5"/>
    <x v="31"/>
    <x v="5"/>
    <x v="0"/>
    <n v="95"/>
    <s v="Adrien Martin"/>
    <x v="9"/>
    <n v="0.16026707373910823"/>
  </r>
  <r>
    <x v="84"/>
    <x v="0"/>
    <x v="3"/>
    <x v="0"/>
    <x v="0"/>
    <n v="72"/>
    <s v="Albain Forestier"/>
    <x v="4"/>
    <n v="3.6754234817017679E-2"/>
  </r>
  <r>
    <x v="85"/>
    <x v="1"/>
    <x v="25"/>
    <x v="1"/>
    <x v="0"/>
    <n v="65"/>
    <s v="Roch Cousineau"/>
    <x v="5"/>
    <n v="0.12047427034169578"/>
  </r>
  <r>
    <x v="86"/>
    <x v="2"/>
    <x v="7"/>
    <x v="2"/>
    <x v="1"/>
    <n v="250"/>
    <s v="Adrien Martin"/>
    <x v="9"/>
    <n v="0.38636401364592987"/>
  </r>
  <r>
    <x v="87"/>
    <x v="3"/>
    <x v="25"/>
    <x v="3"/>
    <x v="1"/>
    <n v="130"/>
    <s v="Albain Forestier"/>
    <x v="3"/>
    <n v="0.25111930985495906"/>
  </r>
  <r>
    <x v="88"/>
    <x v="0"/>
    <x v="32"/>
    <x v="0"/>
    <x v="1"/>
    <n v="72"/>
    <s v="Roch Cousineau"/>
    <x v="5"/>
    <n v="0.18099169049889144"/>
  </r>
  <r>
    <x v="89"/>
    <x v="1"/>
    <x v="33"/>
    <x v="1"/>
    <x v="1"/>
    <n v="65"/>
    <s v="Adrien Martin"/>
    <x v="5"/>
    <n v="0.17363786365000505"/>
  </r>
  <r>
    <x v="90"/>
    <x v="2"/>
    <x v="33"/>
    <x v="2"/>
    <x v="1"/>
    <n v="250"/>
    <s v="Albain Forestier"/>
    <x v="2"/>
    <n v="0.75489814137474298"/>
  </r>
  <r>
    <x v="91"/>
    <x v="3"/>
    <x v="22"/>
    <x v="3"/>
    <x v="1"/>
    <n v="130"/>
    <s v="Roch Cousineau"/>
    <x v="4"/>
    <n v="0.41826226246410803"/>
  </r>
  <r>
    <x v="92"/>
    <x v="0"/>
    <x v="34"/>
    <x v="0"/>
    <x v="0"/>
    <n v="72"/>
    <s v="Roch Cousineau"/>
    <x v="12"/>
    <n v="0.52183512590850833"/>
  </r>
  <r>
    <x v="93"/>
    <x v="1"/>
    <x v="7"/>
    <x v="1"/>
    <x v="1"/>
    <n v="65"/>
    <s v="Adrien Martin"/>
    <x v="7"/>
    <n v="0.4407264983607897"/>
  </r>
  <r>
    <x v="94"/>
    <x v="2"/>
    <x v="3"/>
    <x v="2"/>
    <x v="0"/>
    <n v="250"/>
    <s v="Albain Forestier"/>
    <x v="2"/>
    <n v="0.30123769132028422"/>
  </r>
  <r>
    <x v="95"/>
    <x v="3"/>
    <x v="31"/>
    <x v="3"/>
    <x v="1"/>
    <n v="130"/>
    <s v="Roch Cousineau"/>
    <x v="4"/>
    <n v="0.42020557863905661"/>
  </r>
  <r>
    <x v="96"/>
    <x v="0"/>
    <x v="4"/>
    <x v="0"/>
    <x v="0"/>
    <n v="72"/>
    <s v="Adrien Martin"/>
    <x v="14"/>
    <n v="0.38179966249899233"/>
  </r>
  <r>
    <x v="97"/>
    <x v="1"/>
    <x v="34"/>
    <x v="1"/>
    <x v="1"/>
    <n v="65"/>
    <s v="Albain Forestier"/>
    <x v="3"/>
    <n v="4.8435914836800764E-3"/>
  </r>
  <r>
    <x v="98"/>
    <x v="2"/>
    <x v="13"/>
    <x v="2"/>
    <x v="0"/>
    <n v="250"/>
    <s v="Roch Cousineau"/>
    <x v="9"/>
    <n v="0.63857584714373206"/>
  </r>
  <r>
    <x v="99"/>
    <x v="3"/>
    <x v="35"/>
    <x v="3"/>
    <x v="1"/>
    <n v="130"/>
    <s v="Adrien Martin"/>
    <x v="1"/>
    <n v="0.92544771931561698"/>
  </r>
  <r>
    <x v="100"/>
    <x v="4"/>
    <x v="2"/>
    <x v="4"/>
    <x v="0"/>
    <n v="60"/>
    <s v="Albain Forestier"/>
    <x v="14"/>
    <n v="4.9069353138029403E-2"/>
  </r>
  <r>
    <x v="101"/>
    <x v="0"/>
    <x v="13"/>
    <x v="0"/>
    <x v="1"/>
    <n v="72"/>
    <s v="Roch Cousineau"/>
    <x v="12"/>
    <n v="0.7875779554918797"/>
  </r>
  <r>
    <x v="102"/>
    <x v="1"/>
    <x v="18"/>
    <x v="1"/>
    <x v="0"/>
    <n v="65"/>
    <s v="Adrien Martin"/>
    <x v="8"/>
    <n v="0.4468603878067412"/>
  </r>
  <r>
    <x v="103"/>
    <x v="2"/>
    <x v="23"/>
    <x v="2"/>
    <x v="1"/>
    <n v="250"/>
    <s v="Albain Forestier"/>
    <x v="9"/>
    <n v="0.89674363393446022"/>
  </r>
  <r>
    <x v="104"/>
    <x v="3"/>
    <x v="36"/>
    <x v="3"/>
    <x v="0"/>
    <n v="130"/>
    <s v="Roch Cousineau"/>
    <x v="5"/>
    <n v="3.2373342558606799E-2"/>
  </r>
  <r>
    <x v="105"/>
    <x v="0"/>
    <x v="37"/>
    <x v="0"/>
    <x v="1"/>
    <n v="72"/>
    <s v="Adrien Martin"/>
    <x v="12"/>
    <n v="0.94247200152138155"/>
  </r>
  <r>
    <x v="106"/>
    <x v="1"/>
    <x v="4"/>
    <x v="1"/>
    <x v="0"/>
    <n v="65"/>
    <s v="Albain Forestier"/>
    <x v="1"/>
    <n v="0.24863680679080546"/>
  </r>
  <r>
    <x v="107"/>
    <x v="2"/>
    <x v="3"/>
    <x v="2"/>
    <x v="1"/>
    <n v="250"/>
    <s v="Roch Cousineau"/>
    <x v="11"/>
    <n v="4.9896521056402299E-2"/>
  </r>
  <r>
    <x v="108"/>
    <x v="3"/>
    <x v="35"/>
    <x v="3"/>
    <x v="0"/>
    <n v="130"/>
    <s v="Adrien Martin"/>
    <x v="1"/>
    <n v="0.49618340188276622"/>
  </r>
  <r>
    <x v="109"/>
    <x v="4"/>
    <x v="11"/>
    <x v="4"/>
    <x v="0"/>
    <n v="60"/>
    <s v="Albain Forestier"/>
    <x v="8"/>
    <n v="0.62889621592411693"/>
  </r>
  <r>
    <x v="110"/>
    <x v="5"/>
    <x v="10"/>
    <x v="5"/>
    <x v="1"/>
    <n v="95"/>
    <s v="Roch Cousineau"/>
    <x v="0"/>
    <n v="0.87580490637929664"/>
  </r>
  <r>
    <x v="111"/>
    <x v="0"/>
    <x v="1"/>
    <x v="0"/>
    <x v="1"/>
    <n v="72"/>
    <s v="Adrien Martin"/>
    <x v="12"/>
    <n v="0.37069854126093349"/>
  </r>
  <r>
    <x v="112"/>
    <x v="1"/>
    <x v="17"/>
    <x v="1"/>
    <x v="1"/>
    <n v="65"/>
    <s v="Albain Forestier"/>
    <x v="14"/>
    <n v="0.64422602074286228"/>
  </r>
  <r>
    <x v="113"/>
    <x v="2"/>
    <x v="17"/>
    <x v="2"/>
    <x v="0"/>
    <n v="250"/>
    <s v="Roch Cousineau"/>
    <x v="9"/>
    <n v="0.76652707543193765"/>
  </r>
  <r>
    <x v="114"/>
    <x v="3"/>
    <x v="37"/>
    <x v="3"/>
    <x v="0"/>
    <n v="130"/>
    <s v="Adrien Martin"/>
    <x v="9"/>
    <n v="0.74416329829954486"/>
  </r>
  <r>
    <x v="115"/>
    <x v="0"/>
    <x v="4"/>
    <x v="0"/>
    <x v="0"/>
    <n v="72"/>
    <s v="Albain Forestier"/>
    <x v="0"/>
    <n v="0.48484032292333201"/>
  </r>
  <r>
    <x v="116"/>
    <x v="1"/>
    <x v="2"/>
    <x v="1"/>
    <x v="0"/>
    <n v="65"/>
    <s v="Roch Cousineau"/>
    <x v="0"/>
    <n v="0.10556900790048951"/>
  </r>
  <r>
    <x v="117"/>
    <x v="2"/>
    <x v="12"/>
    <x v="2"/>
    <x v="0"/>
    <n v="250"/>
    <s v="Adrien Martin"/>
    <x v="11"/>
    <n v="0.35681327352398817"/>
  </r>
  <r>
    <x v="118"/>
    <x v="3"/>
    <x v="0"/>
    <x v="3"/>
    <x v="0"/>
    <n v="130"/>
    <s v="Albain Forestier"/>
    <x v="9"/>
    <n v="0.38966155247167111"/>
  </r>
  <r>
    <x v="119"/>
    <x v="4"/>
    <x v="38"/>
    <x v="4"/>
    <x v="0"/>
    <n v="60"/>
    <s v="Roch Cousineau"/>
    <x v="5"/>
    <n v="0.27342799854809485"/>
  </r>
  <r>
    <x v="120"/>
    <x v="0"/>
    <x v="1"/>
    <x v="0"/>
    <x v="0"/>
    <n v="72"/>
    <s v="Adrien Martin"/>
    <x v="12"/>
    <n v="0.68404340685026022"/>
  </r>
  <r>
    <x v="121"/>
    <x v="1"/>
    <x v="2"/>
    <x v="1"/>
    <x v="0"/>
    <n v="65"/>
    <s v="Albain Forestier"/>
    <x v="4"/>
    <n v="0.30511671475159663"/>
  </r>
  <r>
    <x v="122"/>
    <x v="2"/>
    <x v="5"/>
    <x v="2"/>
    <x v="1"/>
    <n v="250"/>
    <s v="Roch Cousineau"/>
    <x v="2"/>
    <n v="0.26634683182511409"/>
  </r>
  <r>
    <x v="123"/>
    <x v="3"/>
    <x v="3"/>
    <x v="3"/>
    <x v="0"/>
    <n v="130"/>
    <s v="Adrien Martin"/>
    <x v="9"/>
    <n v="0.95598379426073032"/>
  </r>
  <r>
    <x v="124"/>
    <x v="0"/>
    <x v="36"/>
    <x v="0"/>
    <x v="0"/>
    <n v="72"/>
    <s v="Albain Forestier"/>
    <x v="2"/>
    <n v="0.78465682989488972"/>
  </r>
  <r>
    <x v="125"/>
    <x v="1"/>
    <x v="24"/>
    <x v="1"/>
    <x v="0"/>
    <n v="65"/>
    <s v="Roch Cousineau"/>
    <x v="4"/>
    <n v="0.92531650826605816"/>
  </r>
  <r>
    <x v="126"/>
    <x v="2"/>
    <x v="21"/>
    <x v="2"/>
    <x v="0"/>
    <n v="250"/>
    <s v="Adrien Martin"/>
    <x v="2"/>
    <n v="0.91314982692991542"/>
  </r>
  <r>
    <x v="127"/>
    <x v="3"/>
    <x v="32"/>
    <x v="3"/>
    <x v="0"/>
    <n v="130"/>
    <s v="Albain Forestier"/>
    <x v="9"/>
    <n v="8.4586093307030152E-2"/>
  </r>
  <r>
    <x v="128"/>
    <x v="4"/>
    <x v="4"/>
    <x v="4"/>
    <x v="1"/>
    <n v="60"/>
    <s v="Roch Cousineau"/>
    <x v="1"/>
    <n v="0.92983220282837542"/>
  </r>
  <r>
    <x v="129"/>
    <x v="5"/>
    <x v="2"/>
    <x v="5"/>
    <x v="0"/>
    <n v="95"/>
    <s v="Adrien Martin"/>
    <x v="5"/>
    <n v="0.13029960752667558"/>
  </r>
  <r>
    <x v="130"/>
    <x v="0"/>
    <x v="27"/>
    <x v="0"/>
    <x v="0"/>
    <n v="72"/>
    <s v="Albain Forestier"/>
    <x v="5"/>
    <n v="0.41456728266200249"/>
  </r>
  <r>
    <x v="131"/>
    <x v="1"/>
    <x v="0"/>
    <x v="1"/>
    <x v="0"/>
    <n v="65"/>
    <s v="Roch Cousineau"/>
    <x v="0"/>
    <n v="0.77953807822657883"/>
  </r>
  <r>
    <x v="132"/>
    <x v="2"/>
    <x v="1"/>
    <x v="2"/>
    <x v="1"/>
    <n v="250"/>
    <s v="Adrien Martin"/>
    <x v="2"/>
    <n v="0.56602493379943331"/>
  </r>
  <r>
    <x v="133"/>
    <x v="3"/>
    <x v="28"/>
    <x v="3"/>
    <x v="1"/>
    <n v="130"/>
    <s v="Albain Forestier"/>
    <x v="9"/>
    <n v="0.7922771947085826"/>
  </r>
  <r>
    <x v="134"/>
    <x v="0"/>
    <x v="8"/>
    <x v="0"/>
    <x v="1"/>
    <n v="72"/>
    <s v="Roch Cousineau"/>
    <x v="6"/>
    <n v="9.6806596410280221E-2"/>
  </r>
  <r>
    <x v="135"/>
    <x v="1"/>
    <x v="33"/>
    <x v="1"/>
    <x v="1"/>
    <n v="65"/>
    <s v="Adrien Martin"/>
    <x v="0"/>
    <n v="0.10738058788365801"/>
  </r>
  <r>
    <x v="136"/>
    <x v="2"/>
    <x v="14"/>
    <x v="2"/>
    <x v="1"/>
    <n v="250"/>
    <s v="Albain Forestier"/>
    <x v="11"/>
    <n v="0.68298720032284699"/>
  </r>
  <r>
    <x v="137"/>
    <x v="3"/>
    <x v="16"/>
    <x v="3"/>
    <x v="1"/>
    <n v="130"/>
    <s v="Roch Cousineau"/>
    <x v="9"/>
    <n v="8.8476327566971991E-2"/>
  </r>
  <r>
    <x v="138"/>
    <x v="0"/>
    <x v="17"/>
    <x v="0"/>
    <x v="0"/>
    <n v="72"/>
    <s v="Roch Cousineau"/>
    <x v="6"/>
    <n v="0.12263076179640997"/>
  </r>
  <r>
    <x v="139"/>
    <x v="1"/>
    <x v="17"/>
    <x v="1"/>
    <x v="1"/>
    <n v="65"/>
    <s v="Adrien Martin"/>
    <x v="1"/>
    <n v="0.21348123854438894"/>
  </r>
  <r>
    <x v="140"/>
    <x v="2"/>
    <x v="5"/>
    <x v="2"/>
    <x v="0"/>
    <n v="250"/>
    <s v="Albain Forestier"/>
    <x v="2"/>
    <n v="0.51777110877083832"/>
  </r>
  <r>
    <x v="141"/>
    <x v="3"/>
    <x v="16"/>
    <x v="3"/>
    <x v="1"/>
    <n v="130"/>
    <s v="Roch Cousineau"/>
    <x v="2"/>
    <n v="0.2471412366587864"/>
  </r>
  <r>
    <x v="142"/>
    <x v="0"/>
    <x v="1"/>
    <x v="0"/>
    <x v="0"/>
    <n v="72"/>
    <s v="Adrien Martin"/>
    <x v="4"/>
    <n v="0.74108890181243625"/>
  </r>
  <r>
    <x v="143"/>
    <x v="1"/>
    <x v="18"/>
    <x v="1"/>
    <x v="1"/>
    <n v="65"/>
    <s v="Albain Forestier"/>
    <x v="3"/>
    <n v="0.7589550474918334"/>
  </r>
  <r>
    <x v="144"/>
    <x v="2"/>
    <x v="3"/>
    <x v="2"/>
    <x v="0"/>
    <n v="250"/>
    <s v="Roch Cousineau"/>
    <x v="4"/>
    <n v="0.39519452416647527"/>
  </r>
  <r>
    <x v="145"/>
    <x v="3"/>
    <x v="19"/>
    <x v="3"/>
    <x v="1"/>
    <n v="130"/>
    <s v="Adrien Martin"/>
    <x v="3"/>
    <n v="2.5857814158937731E-2"/>
  </r>
  <r>
    <x v="146"/>
    <x v="4"/>
    <x v="20"/>
    <x v="4"/>
    <x v="0"/>
    <n v="60"/>
    <s v="Albain Forestier"/>
    <x v="14"/>
    <n v="0.35224195755599907"/>
  </r>
  <r>
    <x v="147"/>
    <x v="0"/>
    <x v="21"/>
    <x v="0"/>
    <x v="1"/>
    <n v="72"/>
    <s v="Roch Cousineau"/>
    <x v="7"/>
    <n v="4.2934737769464881E-2"/>
  </r>
  <r>
    <x v="148"/>
    <x v="1"/>
    <x v="22"/>
    <x v="1"/>
    <x v="0"/>
    <n v="65"/>
    <s v="Adrien Martin"/>
    <x v="7"/>
    <n v="6.8824781708392013E-3"/>
  </r>
  <r>
    <x v="149"/>
    <x v="2"/>
    <x v="23"/>
    <x v="2"/>
    <x v="1"/>
    <n v="250"/>
    <s v="Albain Forestier"/>
    <x v="11"/>
    <n v="0.8553400747255635"/>
  </r>
  <r>
    <x v="150"/>
    <x v="3"/>
    <x v="24"/>
    <x v="3"/>
    <x v="0"/>
    <n v="130"/>
    <s v="Roch Cousineau"/>
    <x v="5"/>
    <n v="0.62107648533214554"/>
  </r>
  <r>
    <x v="151"/>
    <x v="0"/>
    <x v="16"/>
    <x v="0"/>
    <x v="1"/>
    <n v="72"/>
    <s v="Adrien Martin"/>
    <x v="2"/>
    <n v="0.93819201157518672"/>
  </r>
  <r>
    <x v="152"/>
    <x v="1"/>
    <x v="25"/>
    <x v="1"/>
    <x v="0"/>
    <n v="65"/>
    <s v="Albain Forestier"/>
    <x v="7"/>
    <n v="0.97731506347213748"/>
  </r>
  <r>
    <x v="153"/>
    <x v="2"/>
    <x v="6"/>
    <x v="2"/>
    <x v="1"/>
    <n v="250"/>
    <s v="Roch Cousineau"/>
    <x v="2"/>
    <n v="0.93618769203099483"/>
  </r>
  <r>
    <x v="154"/>
    <x v="3"/>
    <x v="2"/>
    <x v="3"/>
    <x v="0"/>
    <n v="130"/>
    <s v="Adrien Martin"/>
    <x v="3"/>
    <n v="0.92747059451906588"/>
  </r>
  <r>
    <x v="155"/>
    <x v="4"/>
    <x v="26"/>
    <x v="4"/>
    <x v="0"/>
    <n v="60"/>
    <s v="Albain Forestier"/>
    <x v="0"/>
    <n v="9.8331104648150314E-2"/>
  </r>
  <r>
    <x v="156"/>
    <x v="5"/>
    <x v="4"/>
    <x v="5"/>
    <x v="1"/>
    <n v="95"/>
    <s v="Roch Cousineau"/>
    <x v="3"/>
    <n v="4.5012478047171678E-3"/>
  </r>
  <r>
    <x v="157"/>
    <x v="0"/>
    <x v="27"/>
    <x v="0"/>
    <x v="1"/>
    <n v="72"/>
    <s v="Adrien Martin"/>
    <x v="6"/>
    <n v="0.22169192366246837"/>
  </r>
  <r>
    <x v="158"/>
    <x v="1"/>
    <x v="15"/>
    <x v="1"/>
    <x v="1"/>
    <n v="65"/>
    <s v="Albain Forestier"/>
    <x v="5"/>
    <n v="0.91624709117858605"/>
  </r>
  <r>
    <x v="159"/>
    <x v="2"/>
    <x v="28"/>
    <x v="2"/>
    <x v="0"/>
    <n v="250"/>
    <s v="Roch Cousineau"/>
    <x v="2"/>
    <n v="0.61362516317019966"/>
  </r>
  <r>
    <x v="160"/>
    <x v="3"/>
    <x v="8"/>
    <x v="3"/>
    <x v="0"/>
    <n v="130"/>
    <s v="Adrien Martin"/>
    <x v="4"/>
    <n v="0.81572623665656485"/>
  </r>
  <r>
    <x v="161"/>
    <x v="0"/>
    <x v="6"/>
    <x v="0"/>
    <x v="0"/>
    <n v="72"/>
    <s v="Albain Forestier"/>
    <x v="12"/>
    <n v="0.60394772308749511"/>
  </r>
  <r>
    <x v="162"/>
    <x v="1"/>
    <x v="27"/>
    <x v="1"/>
    <x v="0"/>
    <n v="65"/>
    <s v="Roch Cousineau"/>
    <x v="1"/>
    <n v="0.2716676542664398"/>
  </r>
  <r>
    <x v="163"/>
    <x v="2"/>
    <x v="10"/>
    <x v="2"/>
    <x v="0"/>
    <n v="250"/>
    <s v="Adrien Martin"/>
    <x v="9"/>
    <n v="0.56293228162406539"/>
  </r>
  <r>
    <x v="164"/>
    <x v="3"/>
    <x v="29"/>
    <x v="3"/>
    <x v="0"/>
    <n v="130"/>
    <s v="Albain Forestier"/>
    <x v="4"/>
    <n v="0.73579140219525918"/>
  </r>
  <r>
    <x v="165"/>
    <x v="4"/>
    <x v="30"/>
    <x v="4"/>
    <x v="0"/>
    <n v="60"/>
    <s v="Roch Cousineau"/>
    <x v="7"/>
    <n v="0.44112931781121201"/>
  </r>
  <r>
    <x v="166"/>
    <x v="0"/>
    <x v="31"/>
    <x v="0"/>
    <x v="0"/>
    <n v="72"/>
    <s v="Adrien Martin"/>
    <x v="12"/>
    <n v="0.67026763876764872"/>
  </r>
  <r>
    <x v="167"/>
    <x v="1"/>
    <x v="27"/>
    <x v="1"/>
    <x v="0"/>
    <n v="65"/>
    <s v="Albain Forestier"/>
    <x v="6"/>
    <n v="0.21501842814819261"/>
  </r>
  <r>
    <x v="168"/>
    <x v="2"/>
    <x v="29"/>
    <x v="2"/>
    <x v="1"/>
    <n v="250"/>
    <s v="Roch Cousineau"/>
    <x v="2"/>
    <n v="0.77528388030776896"/>
  </r>
  <r>
    <x v="169"/>
    <x v="3"/>
    <x v="1"/>
    <x v="3"/>
    <x v="0"/>
    <n v="130"/>
    <s v="Adrien Martin"/>
    <x v="2"/>
    <n v="0.32334348690445713"/>
  </r>
  <r>
    <x v="170"/>
    <x v="0"/>
    <x v="11"/>
    <x v="0"/>
    <x v="0"/>
    <n v="72"/>
    <s v="Albain Forestier"/>
    <x v="3"/>
    <n v="0.2117276391971491"/>
  </r>
  <r>
    <x v="171"/>
    <x v="1"/>
    <x v="5"/>
    <x v="1"/>
    <x v="0"/>
    <n v="65"/>
    <s v="Roch Cousineau"/>
    <x v="14"/>
    <n v="0.99817658128489728"/>
  </r>
  <r>
    <x v="172"/>
    <x v="2"/>
    <x v="2"/>
    <x v="2"/>
    <x v="0"/>
    <n v="250"/>
    <s v="Adrien Martin"/>
    <x v="2"/>
    <n v="0.34321661485625221"/>
  </r>
  <r>
    <x v="173"/>
    <x v="3"/>
    <x v="31"/>
    <x v="3"/>
    <x v="0"/>
    <n v="130"/>
    <s v="Albain Forestier"/>
    <x v="5"/>
    <n v="0.17688363553653064"/>
  </r>
  <r>
    <x v="174"/>
    <x v="4"/>
    <x v="3"/>
    <x v="4"/>
    <x v="1"/>
    <n v="60"/>
    <s v="Roch Cousineau"/>
    <x v="7"/>
    <n v="0.54853763527560739"/>
  </r>
  <r>
    <x v="175"/>
    <x v="5"/>
    <x v="25"/>
    <x v="5"/>
    <x v="0"/>
    <n v="95"/>
    <s v="Adrien Martin"/>
    <x v="1"/>
    <n v="0.40612729229894939"/>
  </r>
  <r>
    <x v="176"/>
    <x v="0"/>
    <x v="7"/>
    <x v="0"/>
    <x v="0"/>
    <n v="72"/>
    <s v="Albain Forestier"/>
    <x v="5"/>
    <n v="0.16780300089638589"/>
  </r>
  <r>
    <x v="177"/>
    <x v="1"/>
    <x v="25"/>
    <x v="1"/>
    <x v="0"/>
    <n v="65"/>
    <s v="Roch Cousineau"/>
    <x v="14"/>
    <n v="0.91086777790941564"/>
  </r>
  <r>
    <x v="178"/>
    <x v="2"/>
    <x v="32"/>
    <x v="2"/>
    <x v="1"/>
    <n v="250"/>
    <s v="Adrien Martin"/>
    <x v="2"/>
    <n v="0.2731985494536886"/>
  </r>
  <r>
    <x v="179"/>
    <x v="3"/>
    <x v="33"/>
    <x v="3"/>
    <x v="1"/>
    <n v="130"/>
    <s v="Albain Forestier"/>
    <x v="4"/>
    <n v="0.81984662786178419"/>
  </r>
  <r>
    <x v="180"/>
    <x v="0"/>
    <x v="33"/>
    <x v="0"/>
    <x v="1"/>
    <n v="72"/>
    <s v="Roch Cousineau"/>
    <x v="1"/>
    <n v="0.89980934003543744"/>
  </r>
  <r>
    <x v="181"/>
    <x v="1"/>
    <x v="22"/>
    <x v="1"/>
    <x v="1"/>
    <n v="65"/>
    <s v="Adrien Martin"/>
    <x v="3"/>
    <n v="0.73522347452625669"/>
  </r>
  <r>
    <x v="182"/>
    <x v="2"/>
    <x v="34"/>
    <x v="2"/>
    <x v="1"/>
    <n v="250"/>
    <s v="Albain Forestier"/>
    <x v="2"/>
    <n v="0.36579213338930128"/>
  </r>
  <r>
    <x v="183"/>
    <x v="3"/>
    <x v="7"/>
    <x v="3"/>
    <x v="1"/>
    <n v="130"/>
    <s v="Roch Cousineau"/>
    <x v="9"/>
    <n v="0.79313642440033238"/>
  </r>
  <r>
    <x v="184"/>
    <x v="0"/>
    <x v="3"/>
    <x v="0"/>
    <x v="0"/>
    <n v="72"/>
    <s v="Roch Cousineau"/>
    <x v="4"/>
    <n v="8.0407664979564641E-2"/>
  </r>
  <r>
    <x v="185"/>
    <x v="1"/>
    <x v="31"/>
    <x v="1"/>
    <x v="1"/>
    <n v="65"/>
    <s v="Adrien Martin"/>
    <x v="7"/>
    <n v="0.38525936096781821"/>
  </r>
  <r>
    <x v="186"/>
    <x v="2"/>
    <x v="4"/>
    <x v="2"/>
    <x v="0"/>
    <n v="250"/>
    <s v="Albain Forestier"/>
    <x v="11"/>
    <n v="0.45507177071325888"/>
  </r>
  <r>
    <x v="187"/>
    <x v="3"/>
    <x v="34"/>
    <x v="3"/>
    <x v="1"/>
    <n v="130"/>
    <s v="Roch Cousineau"/>
    <x v="4"/>
    <n v="0.93827031337312128"/>
  </r>
  <r>
    <x v="188"/>
    <x v="0"/>
    <x v="13"/>
    <x v="0"/>
    <x v="0"/>
    <n v="72"/>
    <s v="Adrien Martin"/>
    <x v="1"/>
    <n v="0.14716035331195043"/>
  </r>
  <r>
    <x v="189"/>
    <x v="1"/>
    <x v="35"/>
    <x v="1"/>
    <x v="1"/>
    <n v="65"/>
    <s v="Albain Forestier"/>
    <x v="7"/>
    <n v="0.10159867043013626"/>
  </r>
  <r>
    <x v="190"/>
    <x v="2"/>
    <x v="2"/>
    <x v="2"/>
    <x v="0"/>
    <n v="250"/>
    <s v="Roch Cousineau"/>
    <x v="9"/>
    <n v="0.50060788399709522"/>
  </r>
  <r>
    <x v="191"/>
    <x v="3"/>
    <x v="13"/>
    <x v="3"/>
    <x v="1"/>
    <n v="130"/>
    <s v="Adrien Martin"/>
    <x v="5"/>
    <n v="0.70539643021834586"/>
  </r>
  <r>
    <x v="192"/>
    <x v="4"/>
    <x v="18"/>
    <x v="4"/>
    <x v="0"/>
    <n v="60"/>
    <s v="Albain Forestier"/>
    <x v="7"/>
    <n v="0.72481379032239401"/>
  </r>
  <r>
    <x v="193"/>
    <x v="0"/>
    <x v="23"/>
    <x v="0"/>
    <x v="1"/>
    <n v="72"/>
    <s v="Roch Cousineau"/>
    <x v="5"/>
    <n v="0.21833121955544521"/>
  </r>
  <r>
    <x v="194"/>
    <x v="1"/>
    <x v="36"/>
    <x v="1"/>
    <x v="0"/>
    <n v="65"/>
    <s v="Adrien Martin"/>
    <x v="0"/>
    <n v="0.33253524453952932"/>
  </r>
  <r>
    <x v="195"/>
    <x v="2"/>
    <x v="37"/>
    <x v="2"/>
    <x v="1"/>
    <n v="250"/>
    <s v="Albain Forestier"/>
    <x v="9"/>
    <n v="0.39793552100289009"/>
  </r>
  <r>
    <x v="196"/>
    <x v="3"/>
    <x v="4"/>
    <x v="3"/>
    <x v="0"/>
    <n v="130"/>
    <s v="Roch Cousineau"/>
    <x v="4"/>
    <n v="0.83519533088641318"/>
  </r>
  <r>
    <x v="197"/>
    <x v="0"/>
    <x v="3"/>
    <x v="0"/>
    <x v="1"/>
    <n v="72"/>
    <s v="Adrien Martin"/>
    <x v="14"/>
    <n v="8.7312208799101843E-3"/>
  </r>
  <r>
    <x v="198"/>
    <x v="1"/>
    <x v="35"/>
    <x v="1"/>
    <x v="0"/>
    <n v="65"/>
    <s v="Albain Forestier"/>
    <x v="7"/>
    <n v="0.95071636556912675"/>
  </r>
  <r>
    <x v="199"/>
    <x v="2"/>
    <x v="11"/>
    <x v="2"/>
    <x v="1"/>
    <n v="250"/>
    <s v="Roch Cousineau"/>
    <x v="4"/>
    <n v="6.5110770871939172E-2"/>
  </r>
  <r>
    <x v="200"/>
    <x v="3"/>
    <x v="10"/>
    <x v="3"/>
    <x v="0"/>
    <n v="130"/>
    <s v="Adrien Martin"/>
    <x v="5"/>
    <n v="0.43772024513265795"/>
  </r>
  <r>
    <x v="201"/>
    <x v="4"/>
    <x v="1"/>
    <x v="4"/>
    <x v="0"/>
    <n v="60"/>
    <s v="Albain Forestier"/>
    <x v="1"/>
    <n v="0.41853663840169475"/>
  </r>
  <r>
    <x v="202"/>
    <x v="5"/>
    <x v="17"/>
    <x v="5"/>
    <x v="1"/>
    <n v="95"/>
    <s v="Roch Cousineau"/>
    <x v="1"/>
    <n v="0.38824165845812764"/>
  </r>
  <r>
    <x v="203"/>
    <x v="0"/>
    <x v="17"/>
    <x v="0"/>
    <x v="1"/>
    <n v="72"/>
    <s v="Adrien Martin"/>
    <x v="2"/>
    <n v="0.75434060698733896"/>
  </r>
  <r>
    <x v="204"/>
    <x v="1"/>
    <x v="37"/>
    <x v="1"/>
    <x v="1"/>
    <n v="65"/>
    <s v="Albain Forestier"/>
    <x v="7"/>
    <n v="0.61587381700020483"/>
  </r>
  <r>
    <x v="205"/>
    <x v="2"/>
    <x v="4"/>
    <x v="2"/>
    <x v="0"/>
    <n v="250"/>
    <s v="Roch Cousineau"/>
    <x v="9"/>
    <n v="0.80006888756762451"/>
  </r>
  <r>
    <x v="206"/>
    <x v="3"/>
    <x v="2"/>
    <x v="3"/>
    <x v="0"/>
    <n v="130"/>
    <s v="Adrien Martin"/>
    <x v="3"/>
    <n v="0.68228949683615203"/>
  </r>
  <r>
    <x v="207"/>
    <x v="0"/>
    <x v="12"/>
    <x v="0"/>
    <x v="0"/>
    <n v="72"/>
    <s v="Albain Forestier"/>
    <x v="14"/>
    <n v="1.6479509006877335E-2"/>
  </r>
  <r>
    <x v="208"/>
    <x v="1"/>
    <x v="0"/>
    <x v="1"/>
    <x v="0"/>
    <n v="65"/>
    <s v="Roch Cousineau"/>
    <x v="14"/>
    <n v="0.23078123893127422"/>
  </r>
  <r>
    <x v="209"/>
    <x v="2"/>
    <x v="38"/>
    <x v="2"/>
    <x v="0"/>
    <n v="250"/>
    <s v="Adrien Martin"/>
    <x v="2"/>
    <n v="2.2225272121484729E-2"/>
  </r>
  <r>
    <x v="210"/>
    <x v="3"/>
    <x v="1"/>
    <x v="3"/>
    <x v="0"/>
    <n v="130"/>
    <s v="Albain Forestier"/>
    <x v="2"/>
    <n v="0.72206439626516772"/>
  </r>
  <r>
    <x v="211"/>
    <x v="4"/>
    <x v="2"/>
    <x v="4"/>
    <x v="0"/>
    <n v="60"/>
    <s v="Roch Cousineau"/>
    <x v="1"/>
    <n v="0.66067744665264683"/>
  </r>
  <r>
    <x v="212"/>
    <x v="0"/>
    <x v="5"/>
    <x v="0"/>
    <x v="0"/>
    <n v="72"/>
    <s v="Adrien Martin"/>
    <x v="5"/>
    <n v="0.14048396352986114"/>
  </r>
  <r>
    <x v="213"/>
    <x v="1"/>
    <x v="3"/>
    <x v="1"/>
    <x v="0"/>
    <n v="65"/>
    <s v="Albain Forestier"/>
    <x v="0"/>
    <n v="0.37872981249566817"/>
  </r>
  <r>
    <x v="214"/>
    <x v="2"/>
    <x v="36"/>
    <x v="2"/>
    <x v="1"/>
    <n v="250"/>
    <s v="Roch Cousineau"/>
    <x v="9"/>
    <n v="0.71515589694127546"/>
  </r>
  <r>
    <x v="215"/>
    <x v="3"/>
    <x v="24"/>
    <x v="3"/>
    <x v="0"/>
    <n v="130"/>
    <s v="Adrien Martin"/>
    <x v="5"/>
    <n v="0.21412519358799298"/>
  </r>
  <r>
    <x v="216"/>
    <x v="0"/>
    <x v="21"/>
    <x v="0"/>
    <x v="0"/>
    <n v="72"/>
    <s v="Albain Forestier"/>
    <x v="5"/>
    <n v="0.16455091596073168"/>
  </r>
  <r>
    <x v="217"/>
    <x v="1"/>
    <x v="32"/>
    <x v="1"/>
    <x v="0"/>
    <n v="65"/>
    <s v="Roch Cousineau"/>
    <x v="4"/>
    <n v="0.25666907491668522"/>
  </r>
  <r>
    <x v="218"/>
    <x v="2"/>
    <x v="4"/>
    <x v="2"/>
    <x v="0"/>
    <n v="250"/>
    <s v="Adrien Martin"/>
    <x v="2"/>
    <n v="0.90160231788426648"/>
  </r>
  <r>
    <x v="219"/>
    <x v="3"/>
    <x v="2"/>
    <x v="3"/>
    <x v="0"/>
    <n v="130"/>
    <s v="Albain Forestier"/>
    <x v="9"/>
    <n v="0.320164833885899"/>
  </r>
  <r>
    <x v="220"/>
    <x v="4"/>
    <x v="27"/>
    <x v="4"/>
    <x v="1"/>
    <n v="60"/>
    <s v="Roch Cousineau"/>
    <x v="6"/>
    <n v="0.13498450487731639"/>
  </r>
  <r>
    <x v="221"/>
    <x v="5"/>
    <x v="0"/>
    <x v="5"/>
    <x v="0"/>
    <n v="95"/>
    <s v="Adrien Martin"/>
    <x v="3"/>
    <n v="0.91789593738279973"/>
  </r>
  <r>
    <x v="222"/>
    <x v="0"/>
    <x v="1"/>
    <x v="0"/>
    <x v="0"/>
    <n v="72"/>
    <s v="Albain Forestier"/>
    <x v="2"/>
    <n v="0.98021726342122206"/>
  </r>
  <r>
    <x v="223"/>
    <x v="1"/>
    <x v="28"/>
    <x v="1"/>
    <x v="0"/>
    <n v="65"/>
    <s v="Roch Cousineau"/>
    <x v="1"/>
    <n v="6.7354248366482961E-2"/>
  </r>
  <r>
    <x v="224"/>
    <x v="2"/>
    <x v="8"/>
    <x v="2"/>
    <x v="1"/>
    <n v="250"/>
    <s v="Adrien Martin"/>
    <x v="9"/>
    <n v="0.49907272133883429"/>
  </r>
  <r>
    <x v="225"/>
    <x v="3"/>
    <x v="33"/>
    <x v="3"/>
    <x v="1"/>
    <n v="130"/>
    <s v="Albain Forestier"/>
    <x v="3"/>
    <n v="0.61466468459589796"/>
  </r>
  <r>
    <x v="226"/>
    <x v="0"/>
    <x v="14"/>
    <x v="0"/>
    <x v="1"/>
    <n v="72"/>
    <s v="Roch Cousineau"/>
    <x v="1"/>
    <n v="0.94639798804768638"/>
  </r>
  <r>
    <x v="227"/>
    <x v="1"/>
    <x v="16"/>
    <x v="1"/>
    <x v="1"/>
    <n v="65"/>
    <s v="Adrien Martin"/>
    <x v="14"/>
    <n v="0.95168663838417633"/>
  </r>
  <r>
    <x v="228"/>
    <x v="2"/>
    <x v="17"/>
    <x v="2"/>
    <x v="1"/>
    <n v="250"/>
    <s v="Albain Forestier"/>
    <x v="9"/>
    <n v="0.55958868077394219"/>
  </r>
  <r>
    <x v="229"/>
    <x v="3"/>
    <x v="17"/>
    <x v="3"/>
    <x v="1"/>
    <n v="130"/>
    <s v="Roch Cousineau"/>
    <x v="9"/>
    <n v="0.81003936677165544"/>
  </r>
  <r>
    <x v="230"/>
    <x v="0"/>
    <x v="5"/>
    <x v="0"/>
    <x v="1"/>
    <n v="72"/>
    <s v="Roch Cousineau"/>
    <x v="7"/>
    <n v="0.35450072343254235"/>
  </r>
  <r>
    <x v="231"/>
    <x v="1"/>
    <x v="16"/>
    <x v="1"/>
    <x v="0"/>
    <n v="65"/>
    <s v="Adrien Martin"/>
    <x v="12"/>
    <n v="0.34895469608332785"/>
  </r>
  <r>
    <x v="232"/>
    <x v="2"/>
    <x v="1"/>
    <x v="2"/>
    <x v="0"/>
    <n v="250"/>
    <s v="Albain Forestier"/>
    <x v="9"/>
    <n v="0.52279578451533193"/>
  </r>
  <r>
    <x v="233"/>
    <x v="3"/>
    <x v="18"/>
    <x v="3"/>
    <x v="0"/>
    <n v="130"/>
    <s v="Roch Cousineau"/>
    <x v="2"/>
    <n v="0.69617887937852907"/>
  </r>
  <r>
    <x v="234"/>
    <x v="0"/>
    <x v="3"/>
    <x v="0"/>
    <x v="1"/>
    <n v="72"/>
    <s v="Adrien Martin"/>
    <x v="5"/>
    <n v="0.55638354082081654"/>
  </r>
  <r>
    <x v="235"/>
    <x v="1"/>
    <x v="19"/>
    <x v="1"/>
    <x v="1"/>
    <n v="65"/>
    <s v="Albain Forestier"/>
    <x v="0"/>
    <n v="7.8132692098414003E-2"/>
  </r>
  <r>
    <x v="236"/>
    <x v="2"/>
    <x v="20"/>
    <x v="2"/>
    <x v="1"/>
    <n v="250"/>
    <s v="Roch Cousineau"/>
    <x v="11"/>
    <n v="0.37783112687678633"/>
  </r>
  <r>
    <x v="237"/>
    <x v="3"/>
    <x v="21"/>
    <x v="3"/>
    <x v="1"/>
    <n v="130"/>
    <s v="Adrien Martin"/>
    <x v="1"/>
    <n v="0.34200944354303275"/>
  </r>
  <r>
    <x v="238"/>
    <x v="4"/>
    <x v="22"/>
    <x v="4"/>
    <x v="1"/>
    <n v="60"/>
    <s v="Albain Forestier"/>
    <x v="12"/>
    <n v="0.92737976442865855"/>
  </r>
  <r>
    <x v="239"/>
    <x v="0"/>
    <x v="23"/>
    <x v="0"/>
    <x v="1"/>
    <n v="72"/>
    <s v="Roch Cousineau"/>
    <x v="5"/>
    <n v="0.96938667185148797"/>
  </r>
  <r>
    <x v="240"/>
    <x v="1"/>
    <x v="24"/>
    <x v="1"/>
    <x v="1"/>
    <n v="65"/>
    <s v="Adrien Martin"/>
    <x v="5"/>
    <n v="0.24406307827004359"/>
  </r>
  <r>
    <x v="241"/>
    <x v="2"/>
    <x v="16"/>
    <x v="2"/>
    <x v="0"/>
    <n v="250"/>
    <s v="Albain Forestier"/>
    <x v="9"/>
    <n v="0.931057824254786"/>
  </r>
  <r>
    <x v="242"/>
    <x v="3"/>
    <x v="25"/>
    <x v="3"/>
    <x v="0"/>
    <n v="130"/>
    <s v="Roch Cousineau"/>
    <x v="4"/>
    <n v="0.67570229189541975"/>
  </r>
  <r>
    <x v="243"/>
    <x v="0"/>
    <x v="6"/>
    <x v="0"/>
    <x v="0"/>
    <n v="72"/>
    <s v="Adrien Martin"/>
    <x v="1"/>
    <n v="0.91192982577548221"/>
  </r>
  <r>
    <x v="244"/>
    <x v="1"/>
    <x v="2"/>
    <x v="1"/>
    <x v="1"/>
    <n v="65"/>
    <s v="Albain Forestier"/>
    <x v="8"/>
    <n v="0.46313611506175134"/>
  </r>
  <r>
    <x v="245"/>
    <x v="2"/>
    <x v="26"/>
    <x v="2"/>
    <x v="1"/>
    <n v="250"/>
    <s v="Roch Cousineau"/>
    <x v="11"/>
    <n v="5.3530222562513607E-2"/>
  </r>
  <r>
    <x v="246"/>
    <x v="3"/>
    <x v="4"/>
    <x v="3"/>
    <x v="1"/>
    <n v="130"/>
    <s v="Adrien Martin"/>
    <x v="9"/>
    <n v="0.10135414856508229"/>
  </r>
  <r>
    <x v="247"/>
    <x v="4"/>
    <x v="27"/>
    <x v="4"/>
    <x v="1"/>
    <n v="60"/>
    <s v="Albain Forestier"/>
    <x v="14"/>
    <n v="0.15413196820236597"/>
  </r>
  <r>
    <x v="248"/>
    <x v="5"/>
    <x v="15"/>
    <x v="5"/>
    <x v="1"/>
    <n v="95"/>
    <s v="Roch Cousineau"/>
    <x v="4"/>
    <n v="0.99147229272651061"/>
  </r>
  <r>
    <x v="249"/>
    <x v="0"/>
    <x v="28"/>
    <x v="0"/>
    <x v="1"/>
    <n v="72"/>
    <s v="Adrien Martin"/>
    <x v="4"/>
    <n v="0.26792541838229555"/>
  </r>
  <r>
    <x v="250"/>
    <x v="1"/>
    <x v="8"/>
    <x v="1"/>
    <x v="1"/>
    <n v="65"/>
    <s v="Albain Forestier"/>
    <x v="1"/>
    <n v="0.67400237007588726"/>
  </r>
  <r>
    <x v="251"/>
    <x v="2"/>
    <x v="6"/>
    <x v="2"/>
    <x v="0"/>
    <n v="250"/>
    <s v="Roch Cousineau"/>
    <x v="9"/>
    <n v="0.10779012567415547"/>
  </r>
  <r>
    <x v="252"/>
    <x v="3"/>
    <x v="27"/>
    <x v="3"/>
    <x v="0"/>
    <n v="130"/>
    <s v="Adrien Martin"/>
    <x v="4"/>
    <n v="6.5825812137458972E-2"/>
  </r>
  <r>
    <x v="253"/>
    <x v="0"/>
    <x v="10"/>
    <x v="0"/>
    <x v="0"/>
    <n v="72"/>
    <s v="Albain Forestier"/>
    <x v="12"/>
    <n v="0.36167362480508147"/>
  </r>
  <r>
    <x v="254"/>
    <x v="1"/>
    <x v="29"/>
    <x v="1"/>
    <x v="1"/>
    <n v="65"/>
    <s v="Roch Cousineau"/>
    <x v="6"/>
    <n v="0.15611277710708626"/>
  </r>
  <r>
    <x v="255"/>
    <x v="2"/>
    <x v="30"/>
    <x v="2"/>
    <x v="1"/>
    <n v="250"/>
    <s v="Adrien Martin"/>
    <x v="9"/>
    <n v="0.11892962947938523"/>
  </r>
  <r>
    <x v="256"/>
    <x v="3"/>
    <x v="31"/>
    <x v="3"/>
    <x v="1"/>
    <n v="130"/>
    <s v="Albain Forestier"/>
    <x v="3"/>
    <n v="0.94178498482348294"/>
  </r>
  <r>
    <x v="257"/>
    <x v="4"/>
    <x v="27"/>
    <x v="4"/>
    <x v="1"/>
    <n v="60"/>
    <s v="Roch Cousineau"/>
    <x v="3"/>
    <n v="0.82224390590219021"/>
  </r>
  <r>
    <x v="258"/>
    <x v="0"/>
    <x v="29"/>
    <x v="0"/>
    <x v="1"/>
    <n v="72"/>
    <s v="Adrien Martin"/>
    <x v="14"/>
    <n v="1.5473035826796155E-2"/>
  </r>
  <r>
    <x v="259"/>
    <x v="1"/>
    <x v="1"/>
    <x v="1"/>
    <x v="1"/>
    <n v="65"/>
    <s v="Albain Forestier"/>
    <x v="2"/>
    <n v="0.57002189482885535"/>
  </r>
  <r>
    <x v="260"/>
    <x v="2"/>
    <x v="11"/>
    <x v="2"/>
    <x v="0"/>
    <n v="250"/>
    <s v="Roch Cousineau"/>
    <x v="2"/>
    <n v="0.22169123462523532"/>
  </r>
  <r>
    <x v="261"/>
    <x v="3"/>
    <x v="5"/>
    <x v="3"/>
    <x v="1"/>
    <n v="130"/>
    <s v="Adrien Martin"/>
    <x v="5"/>
    <n v="0.16327712663351335"/>
  </r>
  <r>
    <x v="262"/>
    <x v="0"/>
    <x v="2"/>
    <x v="0"/>
    <x v="0"/>
    <n v="72"/>
    <s v="Albain Forestier"/>
    <x v="6"/>
    <n v="0.71431849239690393"/>
  </r>
  <r>
    <x v="263"/>
    <x v="1"/>
    <x v="31"/>
    <x v="1"/>
    <x v="1"/>
    <n v="65"/>
    <s v="Roch Cousineau"/>
    <x v="1"/>
    <n v="0.58151491016386692"/>
  </r>
  <r>
    <x v="264"/>
    <x v="2"/>
    <x v="3"/>
    <x v="2"/>
    <x v="0"/>
    <n v="250"/>
    <s v="Adrien Martin"/>
    <x v="11"/>
    <n v="0.94025500085845537"/>
  </r>
  <r>
    <x v="265"/>
    <x v="3"/>
    <x v="25"/>
    <x v="3"/>
    <x v="1"/>
    <n v="130"/>
    <s v="Albain Forestier"/>
    <x v="2"/>
    <n v="0.85696007733376245"/>
  </r>
  <r>
    <x v="266"/>
    <x v="4"/>
    <x v="7"/>
    <x v="4"/>
    <x v="0"/>
    <n v="60"/>
    <s v="Roch Cousineau"/>
    <x v="5"/>
    <n v="0.73704670632037661"/>
  </r>
  <r>
    <x v="267"/>
    <x v="5"/>
    <x v="25"/>
    <x v="5"/>
    <x v="1"/>
    <n v="95"/>
    <s v="Adrien Martin"/>
    <x v="3"/>
    <n v="0.99556674564351355"/>
  </r>
  <r>
    <x v="268"/>
    <x v="0"/>
    <x v="32"/>
    <x v="0"/>
    <x v="0"/>
    <n v="72"/>
    <s v="Albain Forestier"/>
    <x v="0"/>
    <n v="0.82336237784945987"/>
  </r>
  <r>
    <x v="269"/>
    <x v="1"/>
    <x v="33"/>
    <x v="1"/>
    <x v="1"/>
    <n v="65"/>
    <s v="Roch Cousineau"/>
    <x v="8"/>
    <n v="0.21429857063805535"/>
  </r>
  <r>
    <x v="270"/>
    <x v="2"/>
    <x v="33"/>
    <x v="2"/>
    <x v="0"/>
    <n v="250"/>
    <s v="Adrien Martin"/>
    <x v="9"/>
    <n v="0.9858246368711242"/>
  </r>
  <r>
    <x v="271"/>
    <x v="3"/>
    <x v="22"/>
    <x v="3"/>
    <x v="1"/>
    <n v="130"/>
    <s v="Albain Forestier"/>
    <x v="5"/>
    <n v="2.0787857004193944E-2"/>
  </r>
  <r>
    <x v="272"/>
    <x v="0"/>
    <x v="34"/>
    <x v="0"/>
    <x v="0"/>
    <n v="72"/>
    <s v="Roch Cousineau"/>
    <x v="0"/>
    <n v="0.4043041551106823"/>
  </r>
  <r>
    <x v="273"/>
    <x v="1"/>
    <x v="7"/>
    <x v="1"/>
    <x v="1"/>
    <n v="65"/>
    <s v="Adrien Martin"/>
    <x v="5"/>
    <n v="0.86228936216370378"/>
  </r>
  <r>
    <x v="274"/>
    <x v="2"/>
    <x v="3"/>
    <x v="2"/>
    <x v="0"/>
    <n v="250"/>
    <s v="Albain Forestier"/>
    <x v="2"/>
    <n v="0.20267200262393703"/>
  </r>
  <r>
    <x v="275"/>
    <x v="3"/>
    <x v="31"/>
    <x v="0"/>
    <x v="1"/>
    <n v="72"/>
    <s v="Roch Cousineau"/>
    <x v="5"/>
    <n v="0.42721330596562979"/>
  </r>
  <r>
    <x v="276"/>
    <x v="0"/>
    <x v="4"/>
    <x v="1"/>
    <x v="0"/>
    <n v="65"/>
    <s v="Roch Cousineau"/>
    <x v="8"/>
    <n v="0.87108149970897442"/>
  </r>
  <r>
    <x v="277"/>
    <x v="1"/>
    <x v="34"/>
    <x v="2"/>
    <x v="1"/>
    <n v="250"/>
    <s v="Adrien Martin"/>
    <x v="11"/>
    <n v="2.6358009716956676E-2"/>
  </r>
  <r>
    <x v="278"/>
    <x v="2"/>
    <x v="13"/>
    <x v="3"/>
    <x v="1"/>
    <n v="130"/>
    <s v="Albain Forestier"/>
    <x v="2"/>
    <n v="0.77767785740350603"/>
  </r>
  <r>
    <x v="279"/>
    <x v="3"/>
    <x v="35"/>
    <x v="0"/>
    <x v="1"/>
    <n v="72"/>
    <s v="Roch Cousineau"/>
    <x v="2"/>
    <n v="0.68682565144107521"/>
  </r>
  <r>
    <x v="280"/>
    <x v="0"/>
    <x v="2"/>
    <x v="1"/>
    <x v="1"/>
    <n v="65"/>
    <s v="Adrien Martin"/>
    <x v="10"/>
    <n v="0.58269109940879071"/>
  </r>
  <r>
    <x v="281"/>
    <x v="1"/>
    <x v="13"/>
    <x v="2"/>
    <x v="1"/>
    <n v="250"/>
    <s v="Albain Forestier"/>
    <x v="2"/>
    <n v="0.44339908275720785"/>
  </r>
  <r>
    <x v="282"/>
    <x v="2"/>
    <x v="18"/>
    <x v="3"/>
    <x v="0"/>
    <n v="130"/>
    <s v="Roch Cousineau"/>
    <x v="2"/>
    <n v="0.12575036810320794"/>
  </r>
  <r>
    <x v="283"/>
    <x v="3"/>
    <x v="23"/>
    <x v="4"/>
    <x v="1"/>
    <n v="60"/>
    <s v="Adrien Martin"/>
    <x v="8"/>
    <n v="0.58443763111426095"/>
  </r>
  <r>
    <x v="284"/>
    <x v="4"/>
    <x v="36"/>
    <x v="0"/>
    <x v="0"/>
    <n v="72"/>
    <s v="Albain Forestier"/>
    <x v="12"/>
    <n v="0.20269838427382159"/>
  </r>
  <r>
    <x v="285"/>
    <x v="0"/>
    <x v="37"/>
    <x v="1"/>
    <x v="1"/>
    <n v="65"/>
    <s v="Roch Cousineau"/>
    <x v="3"/>
    <n v="0.34588473967990274"/>
  </r>
  <r>
    <x v="286"/>
    <x v="1"/>
    <x v="4"/>
    <x v="2"/>
    <x v="0"/>
    <n v="250"/>
    <s v="Adrien Martin"/>
    <x v="2"/>
    <n v="0.44863071332488991"/>
  </r>
  <r>
    <x v="287"/>
    <x v="2"/>
    <x v="3"/>
    <x v="3"/>
    <x v="1"/>
    <n v="130"/>
    <s v="Albain Forestier"/>
    <x v="9"/>
    <n v="0.41195662281860623"/>
  </r>
  <r>
    <x v="288"/>
    <x v="3"/>
    <x v="35"/>
    <x v="0"/>
    <x v="0"/>
    <n v="72"/>
    <s v="Roch Cousineau"/>
    <x v="14"/>
    <n v="0.78611978286567918"/>
  </r>
  <r>
    <x v="289"/>
    <x v="0"/>
    <x v="11"/>
    <x v="1"/>
    <x v="1"/>
    <n v="65"/>
    <s v="Adrien Martin"/>
    <x v="7"/>
    <n v="0.82093526112515247"/>
  </r>
  <r>
    <x v="290"/>
    <x v="1"/>
    <x v="10"/>
    <x v="2"/>
    <x v="0"/>
    <n v="250"/>
    <s v="Albain Forestier"/>
    <x v="2"/>
    <n v="0.5655055849614361"/>
  </r>
  <r>
    <x v="291"/>
    <x v="2"/>
    <x v="1"/>
    <x v="3"/>
    <x v="1"/>
    <n v="130"/>
    <s v="Roch Cousineau"/>
    <x v="4"/>
    <n v="0.48001599413027629"/>
  </r>
  <r>
    <x v="292"/>
    <x v="3"/>
    <x v="17"/>
    <x v="4"/>
    <x v="0"/>
    <n v="60"/>
    <s v="Adrien Martin"/>
    <x v="6"/>
    <n v="0.80703544305681518"/>
  </r>
  <r>
    <x v="293"/>
    <x v="4"/>
    <x v="17"/>
    <x v="5"/>
    <x v="1"/>
    <n v="95"/>
    <s v="Albain Forestier"/>
    <x v="5"/>
    <n v="0.13472953271650978"/>
  </r>
  <r>
    <x v="294"/>
    <x v="5"/>
    <x v="37"/>
    <x v="0"/>
    <x v="0"/>
    <n v="72"/>
    <s v="Roch Cousineau"/>
    <x v="6"/>
    <n v="0.53735244514022174"/>
  </r>
  <r>
    <x v="295"/>
    <x v="0"/>
    <x v="4"/>
    <x v="1"/>
    <x v="1"/>
    <n v="65"/>
    <s v="Adrien Martin"/>
    <x v="14"/>
    <n v="0.86493253723020291"/>
  </r>
  <r>
    <x v="296"/>
    <x v="1"/>
    <x v="2"/>
    <x v="2"/>
    <x v="0"/>
    <n v="250"/>
    <s v="Albain Forestier"/>
    <x v="9"/>
    <n v="0.14635193252367351"/>
  </r>
  <r>
    <x v="297"/>
    <x v="2"/>
    <x v="12"/>
    <x v="3"/>
    <x v="1"/>
    <n v="130"/>
    <s v="Roch Cousineau"/>
    <x v="3"/>
    <n v="0.49930216593502397"/>
  </r>
  <r>
    <x v="298"/>
    <x v="3"/>
    <x v="0"/>
    <x v="0"/>
    <x v="0"/>
    <n v="72"/>
    <s v="Adrien Martin"/>
    <x v="4"/>
    <n v="0.16760369217058779"/>
  </r>
  <r>
    <x v="299"/>
    <x v="0"/>
    <x v="38"/>
    <x v="1"/>
    <x v="1"/>
    <n v="65"/>
    <s v="Albain Forestier"/>
    <x v="8"/>
    <n v="0.57040391639924315"/>
  </r>
  <r>
    <x v="300"/>
    <x v="1"/>
    <x v="1"/>
    <x v="2"/>
    <x v="1"/>
    <n v="250"/>
    <s v="Roch Cousineau"/>
    <x v="9"/>
    <n v="0.35240472893682595"/>
  </r>
  <r>
    <x v="301"/>
    <x v="2"/>
    <x v="2"/>
    <x v="3"/>
    <x v="1"/>
    <n v="130"/>
    <s v="Adrien Martin"/>
    <x v="2"/>
    <n v="0.11208092156242278"/>
  </r>
  <r>
    <x v="302"/>
    <x v="3"/>
    <x v="5"/>
    <x v="4"/>
    <x v="1"/>
    <n v="60"/>
    <s v="Albain Forestier"/>
    <x v="14"/>
    <n v="0.57839134647100132"/>
  </r>
  <r>
    <x v="303"/>
    <x v="4"/>
    <x v="3"/>
    <x v="0"/>
    <x v="1"/>
    <n v="72"/>
    <s v="Roch Cousineau"/>
    <x v="6"/>
    <n v="0.18785567306752626"/>
  </r>
  <r>
    <x v="304"/>
    <x v="0"/>
    <x v="36"/>
    <x v="1"/>
    <x v="0"/>
    <n v="65"/>
    <s v="Adrien Martin"/>
    <x v="0"/>
    <n v="0.69234786906479862"/>
  </r>
  <r>
    <x v="305"/>
    <x v="1"/>
    <x v="24"/>
    <x v="2"/>
    <x v="1"/>
    <n v="250"/>
    <s v="Albain Forestier"/>
    <x v="2"/>
    <n v="0.7313105471637672"/>
  </r>
  <r>
    <x v="306"/>
    <x v="2"/>
    <x v="21"/>
    <x v="3"/>
    <x v="0"/>
    <n v="130"/>
    <s v="Roch Cousineau"/>
    <x v="2"/>
    <n v="0.39651294953245186"/>
  </r>
  <r>
    <x v="307"/>
    <x v="3"/>
    <x v="32"/>
    <x v="0"/>
    <x v="1"/>
    <n v="72"/>
    <s v="Adrien Martin"/>
    <x v="3"/>
    <n v="0.47053293956185105"/>
  </r>
  <r>
    <x v="308"/>
    <x v="0"/>
    <x v="4"/>
    <x v="1"/>
    <x v="0"/>
    <n v="65"/>
    <s v="Albain Forestier"/>
    <x v="6"/>
    <n v="0.9022424845836422"/>
  </r>
  <r>
    <x v="309"/>
    <x v="1"/>
    <x v="2"/>
    <x v="2"/>
    <x v="1"/>
    <n v="250"/>
    <s v="Roch Cousineau"/>
    <x v="11"/>
    <n v="0.25057968884738369"/>
  </r>
  <r>
    <x v="310"/>
    <x v="2"/>
    <x v="27"/>
    <x v="3"/>
    <x v="0"/>
    <n v="130"/>
    <s v="Adrien Martin"/>
    <x v="4"/>
    <n v="0.56892266919679113"/>
  </r>
  <r>
    <x v="311"/>
    <x v="3"/>
    <x v="0"/>
    <x v="4"/>
    <x v="1"/>
    <n v="60"/>
    <s v="Albain Forestier"/>
    <x v="5"/>
    <n v="3.357106137416721E-2"/>
  </r>
  <r>
    <x v="312"/>
    <x v="4"/>
    <x v="1"/>
    <x v="5"/>
    <x v="0"/>
    <n v="95"/>
    <s v="Roch Cousineau"/>
    <x v="4"/>
    <n v="0.11797039324964398"/>
  </r>
  <r>
    <x v="313"/>
    <x v="5"/>
    <x v="28"/>
    <x v="0"/>
    <x v="1"/>
    <n v="72"/>
    <s v="Adrien Martin"/>
    <x v="0"/>
    <n v="2.8176385964748696E-2"/>
  </r>
  <r>
    <x v="314"/>
    <x v="0"/>
    <x v="8"/>
    <x v="1"/>
    <x v="0"/>
    <n v="65"/>
    <s v="Albain Forestier"/>
    <x v="0"/>
    <n v="0.66941136725758887"/>
  </r>
  <r>
    <x v="315"/>
    <x v="1"/>
    <x v="33"/>
    <x v="2"/>
    <x v="1"/>
    <n v="250"/>
    <s v="Roch Cousineau"/>
    <x v="9"/>
    <n v="0.36448172495541775"/>
  </r>
  <r>
    <x v="316"/>
    <x v="2"/>
    <x v="14"/>
    <x v="3"/>
    <x v="0"/>
    <n v="130"/>
    <s v="Adrien Martin"/>
    <x v="1"/>
    <n v="0.15416488306079768"/>
  </r>
  <r>
    <x v="317"/>
    <x v="3"/>
    <x v="16"/>
    <x v="0"/>
    <x v="1"/>
    <n v="72"/>
    <s v="Albain Forestier"/>
    <x v="1"/>
    <n v="0.66646609625242947"/>
  </r>
  <r>
    <x v="318"/>
    <x v="0"/>
    <x v="17"/>
    <x v="1"/>
    <x v="0"/>
    <n v="65"/>
    <s v="Roch Cousineau"/>
    <x v="4"/>
    <n v="0.69183752034253276"/>
  </r>
  <r>
    <x v="319"/>
    <x v="1"/>
    <x v="17"/>
    <x v="2"/>
    <x v="1"/>
    <n v="250"/>
    <s v="Adrien Martin"/>
    <x v="9"/>
    <n v="0.14649599591234685"/>
  </r>
  <r>
    <x v="320"/>
    <x v="2"/>
    <x v="5"/>
    <x v="3"/>
    <x v="0"/>
    <n v="130"/>
    <s v="Albain Forestier"/>
    <x v="9"/>
    <n v="0.98540635482364014"/>
  </r>
  <r>
    <x v="321"/>
    <x v="3"/>
    <x v="16"/>
    <x v="0"/>
    <x v="1"/>
    <n v="72"/>
    <s v="Roch Cousineau"/>
    <x v="6"/>
    <n v="0.32091320735788698"/>
  </r>
  <r>
    <x v="322"/>
    <x v="0"/>
    <x v="1"/>
    <x v="1"/>
    <x v="1"/>
    <n v="65"/>
    <s v="Roch Cousineau"/>
    <x v="6"/>
    <n v="0.94495394109275654"/>
  </r>
  <r>
    <x v="323"/>
    <x v="1"/>
    <x v="18"/>
    <x v="2"/>
    <x v="1"/>
    <n v="250"/>
    <s v="Adrien Martin"/>
    <x v="9"/>
    <n v="0.50906748027199666"/>
  </r>
  <r>
    <x v="324"/>
    <x v="2"/>
    <x v="3"/>
    <x v="3"/>
    <x v="1"/>
    <n v="130"/>
    <s v="Albain Forestier"/>
    <x v="4"/>
    <n v="0.66059053266706258"/>
  </r>
  <r>
    <x v="325"/>
    <x v="3"/>
    <x v="19"/>
    <x v="0"/>
    <x v="1"/>
    <n v="72"/>
    <s v="Roch Cousineau"/>
    <x v="0"/>
    <n v="0.89615601403703116"/>
  </r>
  <r>
    <x v="326"/>
    <x v="0"/>
    <x v="20"/>
    <x v="1"/>
    <x v="0"/>
    <n v="65"/>
    <s v="Adrien Martin"/>
    <x v="0"/>
    <n v="0.133950017527805"/>
  </r>
  <r>
    <x v="327"/>
    <x v="1"/>
    <x v="21"/>
    <x v="2"/>
    <x v="1"/>
    <n v="250"/>
    <s v="Albain Forestier"/>
    <x v="4"/>
    <n v="0.3823797297998468"/>
  </r>
  <r>
    <x v="328"/>
    <x v="2"/>
    <x v="22"/>
    <x v="3"/>
    <x v="0"/>
    <n v="130"/>
    <s v="Roch Cousineau"/>
    <x v="9"/>
    <n v="0.15073825601342095"/>
  </r>
  <r>
    <x v="329"/>
    <x v="3"/>
    <x v="23"/>
    <x v="4"/>
    <x v="1"/>
    <n v="60"/>
    <s v="Adrien Martin"/>
    <x v="14"/>
    <n v="0.96395128247903139"/>
  </r>
  <r>
    <x v="330"/>
    <x v="4"/>
    <x v="24"/>
    <x v="0"/>
    <x v="0"/>
    <n v="72"/>
    <s v="Albain Forestier"/>
    <x v="3"/>
    <n v="0.93894083705684528"/>
  </r>
  <r>
    <x v="331"/>
    <x v="0"/>
    <x v="16"/>
    <x v="1"/>
    <x v="1"/>
    <n v="65"/>
    <s v="Roch Cousineau"/>
    <x v="1"/>
    <n v="0.90335270578489546"/>
  </r>
  <r>
    <x v="332"/>
    <x v="1"/>
    <x v="25"/>
    <x v="2"/>
    <x v="0"/>
    <n v="250"/>
    <s v="Adrien Martin"/>
    <x v="9"/>
    <n v="0.62209777321995885"/>
  </r>
  <r>
    <x v="333"/>
    <x v="2"/>
    <x v="6"/>
    <x v="3"/>
    <x v="1"/>
    <n v="130"/>
    <s v="Albain Forestier"/>
    <x v="3"/>
    <n v="6.1676790443396468E-2"/>
  </r>
  <r>
    <x v="334"/>
    <x v="3"/>
    <x v="2"/>
    <x v="0"/>
    <x v="0"/>
    <n v="72"/>
    <s v="Roch Cousineau"/>
    <x v="7"/>
    <n v="0.49213521317421138"/>
  </r>
  <r>
    <x v="335"/>
    <x v="0"/>
    <x v="26"/>
    <x v="1"/>
    <x v="1"/>
    <n v="65"/>
    <s v="Adrien Martin"/>
    <x v="6"/>
    <n v="0.69552711985994919"/>
  </r>
  <r>
    <x v="336"/>
    <x v="1"/>
    <x v="4"/>
    <x v="2"/>
    <x v="0"/>
    <n v="250"/>
    <s v="Albain Forestier"/>
    <x v="4"/>
    <n v="0.54528907278354111"/>
  </r>
  <r>
    <x v="337"/>
    <x v="2"/>
    <x v="27"/>
    <x v="3"/>
    <x v="1"/>
    <n v="130"/>
    <s v="Roch Cousineau"/>
    <x v="4"/>
    <n v="0.35199536538224718"/>
  </r>
  <r>
    <x v="338"/>
    <x v="3"/>
    <x v="15"/>
    <x v="4"/>
    <x v="0"/>
    <n v="60"/>
    <s v="Adrien Martin"/>
    <x v="5"/>
    <n v="6.0292533629099143E-2"/>
  </r>
  <r>
    <x v="339"/>
    <x v="4"/>
    <x v="28"/>
    <x v="5"/>
    <x v="1"/>
    <n v="95"/>
    <s v="Albain Forestier"/>
    <x v="1"/>
    <n v="4.1434457281700587E-2"/>
  </r>
  <r>
    <x v="340"/>
    <x v="5"/>
    <x v="8"/>
    <x v="0"/>
    <x v="0"/>
    <n v="72"/>
    <s v="Roch Cousineau"/>
    <x v="2"/>
    <n v="0.29516274884520199"/>
  </r>
  <r>
    <x v="341"/>
    <x v="0"/>
    <x v="6"/>
    <x v="1"/>
    <x v="1"/>
    <n v="65"/>
    <s v="Adrien Martin"/>
    <x v="4"/>
    <n v="0.68154294540119276"/>
  </r>
  <r>
    <x v="342"/>
    <x v="1"/>
    <x v="27"/>
    <x v="2"/>
    <x v="0"/>
    <n v="250"/>
    <s v="Albain Forestier"/>
    <x v="11"/>
    <n v="0.52632346520297391"/>
  </r>
  <r>
    <x v="343"/>
    <x v="2"/>
    <x v="10"/>
    <x v="3"/>
    <x v="1"/>
    <n v="130"/>
    <s v="Roch Cousineau"/>
    <x v="5"/>
    <n v="5.4437687903536869E-2"/>
  </r>
  <r>
    <x v="344"/>
    <x v="3"/>
    <x v="29"/>
    <x v="0"/>
    <x v="1"/>
    <n v="72"/>
    <s v="Adrien Martin"/>
    <x v="14"/>
    <n v="0.95350738842174898"/>
  </r>
  <r>
    <x v="345"/>
    <x v="0"/>
    <x v="30"/>
    <x v="1"/>
    <x v="1"/>
    <n v="65"/>
    <s v="Albain Forestier"/>
    <x v="4"/>
    <n v="0.46726651348176196"/>
  </r>
  <r>
    <x v="346"/>
    <x v="1"/>
    <x v="31"/>
    <x v="2"/>
    <x v="1"/>
    <n v="250"/>
    <s v="Roch Cousineau"/>
    <x v="9"/>
    <n v="0.6015089815611987"/>
  </r>
  <r>
    <x v="347"/>
    <x v="2"/>
    <x v="27"/>
    <x v="3"/>
    <x v="1"/>
    <n v="130"/>
    <s v="Adrien Martin"/>
    <x v="1"/>
    <n v="0.17158764742187849"/>
  </r>
  <r>
    <x v="348"/>
    <x v="3"/>
    <x v="29"/>
    <x v="4"/>
    <x v="0"/>
    <n v="60"/>
    <s v="Albain Forestier"/>
    <x v="12"/>
    <n v="0.44731050880102885"/>
  </r>
  <r>
    <x v="349"/>
    <x v="4"/>
    <x v="1"/>
    <x v="0"/>
    <x v="1"/>
    <n v="72"/>
    <s v="Roch Cousineau"/>
    <x v="0"/>
    <n v="0.54246953050958213"/>
  </r>
  <r>
    <x v="350"/>
    <x v="0"/>
    <x v="11"/>
    <x v="1"/>
    <x v="0"/>
    <n v="65"/>
    <s v="Adrien Martin"/>
    <x v="12"/>
    <n v="0.50484804947298401"/>
  </r>
  <r>
    <x v="351"/>
    <x v="1"/>
    <x v="5"/>
    <x v="2"/>
    <x v="1"/>
    <n v="250"/>
    <s v="Albain Forestier"/>
    <x v="4"/>
    <n v="9.2316747421295475E-2"/>
  </r>
  <r>
    <x v="352"/>
    <x v="2"/>
    <x v="2"/>
    <x v="3"/>
    <x v="0"/>
    <n v="130"/>
    <s v="Roch Cousineau"/>
    <x v="1"/>
    <n v="0.34907542272706216"/>
  </r>
  <r>
    <x v="353"/>
    <x v="3"/>
    <x v="31"/>
    <x v="0"/>
    <x v="1"/>
    <n v="72"/>
    <s v="Adrien Martin"/>
    <x v="4"/>
    <n v="0.90031823580716619"/>
  </r>
  <r>
    <x v="354"/>
    <x v="0"/>
    <x v="3"/>
    <x v="1"/>
    <x v="0"/>
    <n v="65"/>
    <s v="Albain Forestier"/>
    <x v="3"/>
    <n v="0.18050692795462731"/>
  </r>
  <r>
    <x v="355"/>
    <x v="1"/>
    <x v="25"/>
    <x v="2"/>
    <x v="1"/>
    <n v="250"/>
    <s v="Roch Cousineau"/>
    <x v="11"/>
    <n v="2.5445092820001292E-2"/>
  </r>
  <r>
    <x v="356"/>
    <x v="2"/>
    <x v="7"/>
    <x v="3"/>
    <x v="0"/>
    <n v="130"/>
    <s v="Adrien Martin"/>
    <x v="9"/>
    <n v="0.79643741142705549"/>
  </r>
  <r>
    <x v="357"/>
    <x v="3"/>
    <x v="25"/>
    <x v="4"/>
    <x v="1"/>
    <n v="60"/>
    <s v="Albain Forestier"/>
    <x v="10"/>
    <n v="0.16077213359827813"/>
  </r>
  <r>
    <x v="358"/>
    <x v="4"/>
    <x v="32"/>
    <x v="5"/>
    <x v="0"/>
    <n v="95"/>
    <s v="Roch Cousineau"/>
    <x v="6"/>
    <n v="0.24693836978869843"/>
  </r>
  <r>
    <x v="359"/>
    <x v="5"/>
    <x v="33"/>
    <x v="0"/>
    <x v="1"/>
    <n v="72"/>
    <s v="Adrien Martin"/>
    <x v="0"/>
    <n v="0.22148207946738752"/>
  </r>
  <r>
    <x v="360"/>
    <x v="0"/>
    <x v="33"/>
    <x v="1"/>
    <x v="0"/>
    <n v="65"/>
    <s v="Albain Forestier"/>
    <x v="12"/>
    <n v="0.71458846230959472"/>
  </r>
  <r>
    <x v="361"/>
    <x v="1"/>
    <x v="22"/>
    <x v="2"/>
    <x v="1"/>
    <n v="250"/>
    <s v="Roch Cousineau"/>
    <x v="4"/>
    <n v="0.11286694488931481"/>
  </r>
  <r>
    <x v="362"/>
    <x v="2"/>
    <x v="34"/>
    <x v="3"/>
    <x v="0"/>
    <n v="130"/>
    <s v="Adrien Martin"/>
    <x v="5"/>
    <n v="6.5283590828819849E-2"/>
  </r>
  <r>
    <x v="363"/>
    <x v="3"/>
    <x v="7"/>
    <x v="0"/>
    <x v="1"/>
    <n v="72"/>
    <s v="Albain Forestier"/>
    <x v="12"/>
    <n v="0.46681751998353072"/>
  </r>
  <r>
    <x v="364"/>
    <x v="0"/>
    <x v="3"/>
    <x v="1"/>
    <x v="0"/>
    <n v="65"/>
    <s v="Roch Cousineau"/>
    <x v="6"/>
    <n v="0.92202770154223668"/>
  </r>
  <r>
    <x v="365"/>
    <x v="1"/>
    <x v="31"/>
    <x v="2"/>
    <x v="1"/>
    <n v="250"/>
    <s v="Adrien Martin"/>
    <x v="9"/>
    <n v="0.18840485753727232"/>
  </r>
  <r>
    <x v="366"/>
    <x v="2"/>
    <x v="4"/>
    <x v="3"/>
    <x v="1"/>
    <n v="130"/>
    <s v="Albain Forestier"/>
    <x v="9"/>
    <n v="0.27847072137209206"/>
  </r>
  <r>
    <x v="367"/>
    <x v="0"/>
    <x v="34"/>
    <x v="0"/>
    <x v="1"/>
    <n v="72"/>
    <s v="Roch Cousineau"/>
    <x v="14"/>
    <n v="0.78884251376405168"/>
  </r>
  <r>
    <x v="368"/>
    <x v="1"/>
    <x v="13"/>
    <x v="1"/>
    <x v="1"/>
    <n v="65"/>
    <s v="Roch Cousineau"/>
    <x v="3"/>
    <n v="0.18299168548896383"/>
  </r>
  <r>
    <x v="369"/>
    <x v="2"/>
    <x v="35"/>
    <x v="2"/>
    <x v="1"/>
    <n v="250"/>
    <s v="Adrien Martin"/>
    <x v="2"/>
    <n v="0.20591715888096995"/>
  </r>
  <r>
    <x v="370"/>
    <x v="3"/>
    <x v="2"/>
    <x v="3"/>
    <x v="0"/>
    <n v="130"/>
    <s v="Albain Forestier"/>
    <x v="9"/>
    <n v="2.128339836887938E-2"/>
  </r>
  <r>
    <x v="371"/>
    <x v="0"/>
    <x v="13"/>
    <x v="0"/>
    <x v="1"/>
    <n v="72"/>
    <s v="Roch Cousineau"/>
    <x v="4"/>
    <n v="2.2806889019524657E-2"/>
  </r>
  <r>
    <x v="372"/>
    <x v="1"/>
    <x v="18"/>
    <x v="1"/>
    <x v="0"/>
    <n v="65"/>
    <s v="Adrien Martin"/>
    <x v="5"/>
    <n v="0.66448214030499053"/>
  </r>
  <r>
    <x v="373"/>
    <x v="2"/>
    <x v="23"/>
    <x v="2"/>
    <x v="1"/>
    <n v="250"/>
    <s v="Albain Forestier"/>
    <x v="2"/>
    <n v="0.29151955249280481"/>
  </r>
  <r>
    <x v="374"/>
    <x v="3"/>
    <x v="36"/>
    <x v="3"/>
    <x v="0"/>
    <n v="130"/>
    <s v="Roch Cousineau"/>
    <x v="3"/>
    <n v="0.55684098110336311"/>
  </r>
  <r>
    <x v="375"/>
    <x v="4"/>
    <x v="37"/>
    <x v="4"/>
    <x v="1"/>
    <n v="60"/>
    <s v="Adrien Martin"/>
    <x v="10"/>
    <n v="0.57240542144015649"/>
  </r>
  <r>
    <x v="376"/>
    <x v="0"/>
    <x v="4"/>
    <x v="0"/>
    <x v="0"/>
    <n v="72"/>
    <s v="Albain Forestier"/>
    <x v="2"/>
    <n v="8.6221643115211744E-2"/>
  </r>
  <r>
    <x v="377"/>
    <x v="1"/>
    <x v="3"/>
    <x v="1"/>
    <x v="1"/>
    <n v="65"/>
    <s v="Roch Cousineau"/>
    <x v="14"/>
    <n v="0.95609718609661631"/>
  </r>
  <r>
    <x v="378"/>
    <x v="2"/>
    <x v="35"/>
    <x v="2"/>
    <x v="0"/>
    <n v="250"/>
    <s v="Adrien Martin"/>
    <x v="9"/>
    <n v="0.2455223768222089"/>
  </r>
  <r>
    <x v="379"/>
    <x v="3"/>
    <x v="11"/>
    <x v="3"/>
    <x v="1"/>
    <n v="130"/>
    <s v="Albain Forestier"/>
    <x v="1"/>
    <n v="0.56637632681080741"/>
  </r>
  <r>
    <x v="380"/>
    <x v="0"/>
    <x v="10"/>
    <x v="0"/>
    <x v="0"/>
    <n v="72"/>
    <s v="Roch Cousineau"/>
    <x v="12"/>
    <n v="4.5179835219914199E-2"/>
  </r>
  <r>
    <x v="381"/>
    <x v="1"/>
    <x v="1"/>
    <x v="1"/>
    <x v="1"/>
    <n v="65"/>
    <s v="Adrien Martin"/>
    <x v="8"/>
    <n v="0.97345529924354934"/>
  </r>
  <r>
    <x v="382"/>
    <x v="2"/>
    <x v="17"/>
    <x v="2"/>
    <x v="0"/>
    <n v="250"/>
    <s v="Albain Forestier"/>
    <x v="2"/>
    <n v="0.56733394419124217"/>
  </r>
  <r>
    <x v="383"/>
    <x v="3"/>
    <x v="17"/>
    <x v="3"/>
    <x v="1"/>
    <n v="130"/>
    <s v="Roch Cousineau"/>
    <x v="5"/>
    <n v="0.37928431149731212"/>
  </r>
  <r>
    <x v="384"/>
    <x v="4"/>
    <x v="37"/>
    <x v="4"/>
    <x v="0"/>
    <n v="60"/>
    <s v="Adrien Martin"/>
    <x v="13"/>
    <n v="0.62865911330533553"/>
  </r>
  <r>
    <x v="385"/>
    <x v="5"/>
    <x v="4"/>
    <x v="5"/>
    <x v="1"/>
    <n v="95"/>
    <s v="Albain Forestier"/>
    <x v="5"/>
    <n v="0.37937934610324464"/>
  </r>
  <r>
    <x v="386"/>
    <x v="0"/>
    <x v="2"/>
    <x v="0"/>
    <x v="0"/>
    <n v="72"/>
    <s v="Roch Cousineau"/>
    <x v="12"/>
    <n v="0.35891515866951118"/>
  </r>
  <r>
    <x v="387"/>
    <x v="1"/>
    <x v="12"/>
    <x v="1"/>
    <x v="1"/>
    <n v="65"/>
    <s v="Adrien Martin"/>
    <x v="8"/>
    <n v="0.90122352916020354"/>
  </r>
  <r>
    <x v="388"/>
    <x v="2"/>
    <x v="0"/>
    <x v="2"/>
    <x v="1"/>
    <n v="250"/>
    <s v="Albain Forestier"/>
    <x v="2"/>
    <n v="0.37786597877728811"/>
  </r>
  <r>
    <x v="389"/>
    <x v="3"/>
    <x v="38"/>
    <x v="3"/>
    <x v="1"/>
    <n v="130"/>
    <s v="Roch Cousineau"/>
    <x v="2"/>
    <n v="0.38913445453338702"/>
  </r>
  <r>
    <x v="390"/>
    <x v="0"/>
    <x v="1"/>
    <x v="0"/>
    <x v="1"/>
    <n v="72"/>
    <s v="Adrien Martin"/>
    <x v="7"/>
    <n v="0.60714667724340543"/>
  </r>
  <r>
    <x v="391"/>
    <x v="1"/>
    <x v="2"/>
    <x v="1"/>
    <x v="1"/>
    <n v="65"/>
    <s v="Albain Forestier"/>
    <x v="0"/>
    <n v="0.17261163513710231"/>
  </r>
  <r>
    <x v="392"/>
    <x v="2"/>
    <x v="5"/>
    <x v="2"/>
    <x v="0"/>
    <n v="250"/>
    <s v="Roch Cousineau"/>
    <x v="11"/>
    <n v="3.4451566476951467E-2"/>
  </r>
  <r>
    <x v="393"/>
    <x v="3"/>
    <x v="3"/>
    <x v="3"/>
    <x v="1"/>
    <n v="130"/>
    <s v="Adrien Martin"/>
    <x v="4"/>
    <n v="0.36600821552214791"/>
  </r>
  <r>
    <x v="394"/>
    <x v="4"/>
    <x v="36"/>
    <x v="4"/>
    <x v="0"/>
    <n v="60"/>
    <s v="Albain Forestier"/>
    <x v="4"/>
    <n v="0.36876304797324455"/>
  </r>
  <r>
    <x v="395"/>
    <x v="0"/>
    <x v="24"/>
    <x v="0"/>
    <x v="1"/>
    <n v="72"/>
    <s v="Roch Cousineau"/>
    <x v="7"/>
    <n v="0.78491525862060318"/>
  </r>
  <r>
    <x v="396"/>
    <x v="1"/>
    <x v="21"/>
    <x v="1"/>
    <x v="0"/>
    <n v="65"/>
    <s v="Adrien Martin"/>
    <x v="4"/>
    <n v="0.89433154555842931"/>
  </r>
  <r>
    <x v="397"/>
    <x v="2"/>
    <x v="32"/>
    <x v="2"/>
    <x v="1"/>
    <n v="250"/>
    <s v="Albain Forestier"/>
    <x v="11"/>
    <n v="0.54494310667938251"/>
  </r>
  <r>
    <x v="398"/>
    <x v="3"/>
    <x v="4"/>
    <x v="3"/>
    <x v="0"/>
    <n v="130"/>
    <s v="Roch Cousineau"/>
    <x v="1"/>
    <n v="0.84443209424513666"/>
  </r>
  <r>
    <x v="399"/>
    <x v="0"/>
    <x v="2"/>
    <x v="0"/>
    <x v="1"/>
    <n v="72"/>
    <s v="Adrien Martin"/>
    <x v="1"/>
    <n v="0.11084077878058052"/>
  </r>
  <r>
    <x v="400"/>
    <x v="1"/>
    <x v="27"/>
    <x v="1"/>
    <x v="0"/>
    <n v="65"/>
    <s v="Albain Forestier"/>
    <x v="6"/>
    <n v="0.26630312920291821"/>
  </r>
  <r>
    <x v="401"/>
    <x v="2"/>
    <x v="0"/>
    <x v="2"/>
    <x v="1"/>
    <n v="250"/>
    <s v="Roch Cousineau"/>
    <x v="2"/>
    <n v="0.13279161787420113"/>
  </r>
  <r>
    <x v="402"/>
    <x v="3"/>
    <x v="1"/>
    <x v="3"/>
    <x v="0"/>
    <n v="130"/>
    <s v="Adrien Martin"/>
    <x v="4"/>
    <n v="0.20794478004129135"/>
  </r>
  <r>
    <x v="403"/>
    <x v="4"/>
    <x v="28"/>
    <x v="4"/>
    <x v="1"/>
    <n v="60"/>
    <s v="Albain Forestier"/>
    <x v="7"/>
    <n v="0.76031378549826045"/>
  </r>
  <r>
    <x v="404"/>
    <x v="5"/>
    <x v="8"/>
    <x v="5"/>
    <x v="0"/>
    <n v="95"/>
    <s v="Roch Cousineau"/>
    <x v="0"/>
    <n v="0.23804641255169789"/>
  </r>
  <r>
    <x v="405"/>
    <x v="0"/>
    <x v="33"/>
    <x v="0"/>
    <x v="1"/>
    <n v="72"/>
    <s v="Adrien Martin"/>
    <x v="3"/>
    <n v="0.12523689369936652"/>
  </r>
  <r>
    <x v="406"/>
    <x v="1"/>
    <x v="14"/>
    <x v="1"/>
    <x v="0"/>
    <n v="65"/>
    <s v="Albain Forestier"/>
    <x v="4"/>
    <n v="6.7101746358327108E-2"/>
  </r>
  <r>
    <x v="407"/>
    <x v="2"/>
    <x v="16"/>
    <x v="2"/>
    <x v="1"/>
    <n v="250"/>
    <s v="Roch Cousineau"/>
    <x v="9"/>
    <n v="0.98970617123906524"/>
  </r>
  <r>
    <x v="408"/>
    <x v="3"/>
    <x v="17"/>
    <x v="3"/>
    <x v="0"/>
    <n v="130"/>
    <s v="Adrien Martin"/>
    <x v="9"/>
    <n v="0.26202679185175082"/>
  </r>
  <r>
    <x v="409"/>
    <x v="0"/>
    <x v="17"/>
    <x v="0"/>
    <x v="1"/>
    <n v="72"/>
    <s v="Albain Forestier"/>
    <x v="14"/>
    <n v="0.87263143953916489"/>
  </r>
  <r>
    <x v="410"/>
    <x v="1"/>
    <x v="5"/>
    <x v="1"/>
    <x v="1"/>
    <n v="65"/>
    <s v="Roch Cousineau"/>
    <x v="5"/>
    <n v="0.76778137062272289"/>
  </r>
  <r>
    <x v="411"/>
    <x v="2"/>
    <x v="16"/>
    <x v="2"/>
    <x v="1"/>
    <n v="250"/>
    <s v="Adrien Martin"/>
    <x v="11"/>
    <n v="0.15750010631121669"/>
  </r>
  <r>
    <x v="412"/>
    <x v="3"/>
    <x v="1"/>
    <x v="0"/>
    <x v="1"/>
    <n v="72"/>
    <s v="Albain Forestier"/>
    <x v="6"/>
    <n v="0.53570171465492589"/>
  </r>
  <r>
    <x v="413"/>
    <x v="0"/>
    <x v="18"/>
    <x v="1"/>
    <x v="1"/>
    <n v="65"/>
    <s v="Roch Cousineau"/>
    <x v="1"/>
    <n v="0.88217490075954386"/>
  </r>
  <r>
    <x v="414"/>
    <x v="1"/>
    <x v="3"/>
    <x v="2"/>
    <x v="0"/>
    <n v="250"/>
    <s v="Roch Cousineau"/>
    <x v="2"/>
    <n v="7.4850081465574259E-2"/>
  </r>
  <r>
    <x v="415"/>
    <x v="2"/>
    <x v="19"/>
    <x v="3"/>
    <x v="1"/>
    <n v="130"/>
    <s v="Adrien Martin"/>
    <x v="4"/>
    <n v="0.4623515242530305"/>
  </r>
  <r>
    <x v="416"/>
    <x v="3"/>
    <x v="20"/>
    <x v="0"/>
    <x v="0"/>
    <n v="72"/>
    <s v="Albain Forestier"/>
    <x v="14"/>
    <n v="0.34462700763177134"/>
  </r>
  <r>
    <x v="417"/>
    <x v="0"/>
    <x v="21"/>
    <x v="1"/>
    <x v="1"/>
    <n v="65"/>
    <s v="Roch Cousineau"/>
    <x v="1"/>
    <n v="0.69911624131260175"/>
  </r>
  <r>
    <x v="418"/>
    <x v="1"/>
    <x v="22"/>
    <x v="2"/>
    <x v="0"/>
    <n v="250"/>
    <s v="Adrien Martin"/>
    <x v="11"/>
    <n v="1.890946986705988E-2"/>
  </r>
  <r>
    <x v="419"/>
    <x v="2"/>
    <x v="23"/>
    <x v="3"/>
    <x v="1"/>
    <n v="130"/>
    <s v="Albain Forestier"/>
    <x v="3"/>
    <n v="0.73245470088007136"/>
  </r>
  <r>
    <x v="420"/>
    <x v="3"/>
    <x v="24"/>
    <x v="4"/>
    <x v="0"/>
    <n v="60"/>
    <s v="Roch Cousineau"/>
    <x v="3"/>
    <n v="0.72297451744539321"/>
  </r>
  <r>
    <x v="421"/>
    <x v="4"/>
    <x v="16"/>
    <x v="0"/>
    <x v="1"/>
    <n v="72"/>
    <s v="Adrien Martin"/>
    <x v="6"/>
    <n v="0.97417776505363807"/>
  </r>
  <r>
    <x v="422"/>
    <x v="0"/>
    <x v="25"/>
    <x v="1"/>
    <x v="0"/>
    <n v="65"/>
    <s v="Albain Forestier"/>
    <x v="1"/>
    <n v="0.92441295707634297"/>
  </r>
  <r>
    <x v="423"/>
    <x v="1"/>
    <x v="6"/>
    <x v="2"/>
    <x v="1"/>
    <n v="250"/>
    <s v="Roch Cousineau"/>
    <x v="2"/>
    <n v="0.34841204291363526"/>
  </r>
  <r>
    <x v="424"/>
    <x v="2"/>
    <x v="2"/>
    <x v="3"/>
    <x v="0"/>
    <n v="130"/>
    <s v="Adrien Martin"/>
    <x v="1"/>
    <n v="0.36862795502486845"/>
  </r>
  <r>
    <x v="425"/>
    <x v="3"/>
    <x v="26"/>
    <x v="0"/>
    <x v="1"/>
    <n v="72"/>
    <s v="Albain Forestier"/>
    <x v="7"/>
    <n v="0.38279600115505574"/>
  </r>
  <r>
    <x v="426"/>
    <x v="0"/>
    <x v="4"/>
    <x v="1"/>
    <x v="0"/>
    <n v="65"/>
    <s v="Roch Cousineau"/>
    <x v="1"/>
    <n v="0.77278161923763322"/>
  </r>
  <r>
    <x v="427"/>
    <x v="1"/>
    <x v="27"/>
    <x v="2"/>
    <x v="1"/>
    <n v="250"/>
    <s v="Adrien Martin"/>
    <x v="2"/>
    <n v="0.98194581947705439"/>
  </r>
  <r>
    <x v="428"/>
    <x v="2"/>
    <x v="15"/>
    <x v="3"/>
    <x v="0"/>
    <n v="130"/>
    <s v="Albain Forestier"/>
    <x v="5"/>
    <n v="0.24372632968767749"/>
  </r>
  <r>
    <x v="429"/>
    <x v="3"/>
    <x v="28"/>
    <x v="4"/>
    <x v="1"/>
    <n v="60"/>
    <s v="Roch Cousineau"/>
    <x v="10"/>
    <n v="0.50977491571581557"/>
  </r>
  <r>
    <x v="430"/>
    <x v="4"/>
    <x v="8"/>
    <x v="5"/>
    <x v="0"/>
    <n v="95"/>
    <s v="Adrien Martin"/>
    <x v="1"/>
    <n v="0.99123744515485723"/>
  </r>
  <r>
    <x v="431"/>
    <x v="5"/>
    <x v="6"/>
    <x v="0"/>
    <x v="1"/>
    <n v="72"/>
    <s v="Albain Forestier"/>
    <x v="3"/>
    <n v="0.58001027642401182"/>
  </r>
  <r>
    <x v="432"/>
    <x v="0"/>
    <x v="27"/>
    <x v="1"/>
    <x v="1"/>
    <n v="65"/>
    <s v="Roch Cousineau"/>
    <x v="0"/>
    <n v="0.20099809520802481"/>
  </r>
  <r>
    <x v="433"/>
    <x v="1"/>
    <x v="10"/>
    <x v="2"/>
    <x v="1"/>
    <n v="250"/>
    <s v="Adrien Martin"/>
    <x v="2"/>
    <n v="8.7589082057090373E-2"/>
  </r>
  <r>
    <x v="434"/>
    <x v="2"/>
    <x v="29"/>
    <x v="3"/>
    <x v="1"/>
    <n v="130"/>
    <s v="Albain Forestier"/>
    <x v="4"/>
    <n v="0.92203517798439572"/>
  </r>
  <r>
    <x v="435"/>
    <x v="3"/>
    <x v="30"/>
    <x v="0"/>
    <x v="1"/>
    <n v="72"/>
    <s v="Roch Cousineau"/>
    <x v="14"/>
    <n v="0.40646951216415605"/>
  </r>
  <r>
    <x v="436"/>
    <x v="0"/>
    <x v="31"/>
    <x v="1"/>
    <x v="0"/>
    <n v="65"/>
    <s v="Adrien Martin"/>
    <x v="4"/>
    <n v="0.45522048494031297"/>
  </r>
  <r>
    <x v="437"/>
    <x v="1"/>
    <x v="27"/>
    <x v="2"/>
    <x v="1"/>
    <n v="250"/>
    <s v="Albain Forestier"/>
    <x v="2"/>
    <n v="0.45514828780898176"/>
  </r>
  <r>
    <x v="438"/>
    <x v="2"/>
    <x v="29"/>
    <x v="3"/>
    <x v="0"/>
    <n v="130"/>
    <s v="Roch Cousineau"/>
    <x v="9"/>
    <n v="0.30126486834826394"/>
  </r>
  <r>
    <x v="439"/>
    <x v="3"/>
    <x v="1"/>
    <x v="4"/>
    <x v="1"/>
    <n v="60"/>
    <s v="Adrien Martin"/>
    <x v="4"/>
    <n v="0.22886312078587356"/>
  </r>
  <r>
    <x v="440"/>
    <x v="4"/>
    <x v="11"/>
    <x v="0"/>
    <x v="0"/>
    <n v="72"/>
    <s v="Albain Forestier"/>
    <x v="4"/>
    <n v="0.4885587902090005"/>
  </r>
  <r>
    <x v="441"/>
    <x v="0"/>
    <x v="5"/>
    <x v="1"/>
    <x v="1"/>
    <n v="65"/>
    <s v="Roch Cousineau"/>
    <x v="1"/>
    <n v="0.88301012782394861"/>
  </r>
  <r>
    <x v="442"/>
    <x v="1"/>
    <x v="2"/>
    <x v="2"/>
    <x v="0"/>
    <n v="250"/>
    <s v="Adrien Martin"/>
    <x v="9"/>
    <n v="0.30705024398286174"/>
  </r>
  <r>
    <x v="443"/>
    <x v="2"/>
    <x v="31"/>
    <x v="3"/>
    <x v="1"/>
    <n v="130"/>
    <s v="Albain Forestier"/>
    <x v="5"/>
    <n v="0.85704939563753491"/>
  </r>
  <r>
    <x v="444"/>
    <x v="3"/>
    <x v="3"/>
    <x v="0"/>
    <x v="0"/>
    <n v="72"/>
    <s v="Roch Cousineau"/>
    <x v="6"/>
    <n v="0.29159802445516347"/>
  </r>
  <r>
    <x v="445"/>
    <x v="0"/>
    <x v="25"/>
    <x v="1"/>
    <x v="1"/>
    <n v="65"/>
    <s v="Adrien Martin"/>
    <x v="6"/>
    <n v="0.2589445683285162"/>
  </r>
  <r>
    <x v="446"/>
    <x v="1"/>
    <x v="7"/>
    <x v="2"/>
    <x v="0"/>
    <n v="250"/>
    <s v="Albain Forestier"/>
    <x v="9"/>
    <n v="0.2954209948681138"/>
  </r>
  <r>
    <x v="447"/>
    <x v="2"/>
    <x v="25"/>
    <x v="3"/>
    <x v="1"/>
    <n v="130"/>
    <s v="Roch Cousineau"/>
    <x v="9"/>
    <n v="7.4202009604403041E-2"/>
  </r>
  <r>
    <x v="448"/>
    <x v="3"/>
    <x v="32"/>
    <x v="4"/>
    <x v="0"/>
    <n v="60"/>
    <s v="Adrien Martin"/>
    <x v="12"/>
    <n v="3.9067003401354383E-2"/>
  </r>
  <r>
    <x v="449"/>
    <x v="4"/>
    <x v="33"/>
    <x v="5"/>
    <x v="1"/>
    <n v="95"/>
    <s v="Albain Forestier"/>
    <x v="4"/>
    <n v="0.76468504660372305"/>
  </r>
  <r>
    <x v="450"/>
    <x v="5"/>
    <x v="33"/>
    <x v="0"/>
    <x v="0"/>
    <n v="72"/>
    <s v="Roch Cousineau"/>
    <x v="12"/>
    <n v="0.74867480539232067"/>
  </r>
  <r>
    <x v="451"/>
    <x v="0"/>
    <x v="22"/>
    <x v="1"/>
    <x v="1"/>
    <n v="65"/>
    <s v="Adrien Martin"/>
    <x v="5"/>
    <n v="0.69300939202757139"/>
  </r>
  <r>
    <x v="452"/>
    <x v="1"/>
    <x v="34"/>
    <x v="2"/>
    <x v="0"/>
    <n v="250"/>
    <s v="Albain Forestier"/>
    <x v="11"/>
    <n v="0.52937391222103747"/>
  </r>
  <r>
    <x v="453"/>
    <x v="2"/>
    <x v="7"/>
    <x v="3"/>
    <x v="1"/>
    <n v="130"/>
    <s v="Roch Cousineau"/>
    <x v="2"/>
    <n v="0.32413514859934134"/>
  </r>
  <r>
    <x v="454"/>
    <x v="3"/>
    <x v="3"/>
    <x v="0"/>
    <x v="1"/>
    <n v="72"/>
    <s v="Adrien Martin"/>
    <x v="4"/>
    <n v="0.35907775149399723"/>
  </r>
  <r>
    <x v="455"/>
    <x v="0"/>
    <x v="31"/>
    <x v="1"/>
    <x v="1"/>
    <n v="65"/>
    <s v="Albain Forestier"/>
    <x v="5"/>
    <n v="0.65908590258865696"/>
  </r>
  <r>
    <x v="456"/>
    <x v="1"/>
    <x v="4"/>
    <x v="2"/>
    <x v="1"/>
    <n v="250"/>
    <s v="Roch Cousineau"/>
    <x v="9"/>
    <n v="0.51385178684784039"/>
  </r>
  <r>
    <x v="457"/>
    <x v="2"/>
    <x v="34"/>
    <x v="3"/>
    <x v="1"/>
    <n v="130"/>
    <s v="Adrien Martin"/>
    <x v="4"/>
    <n v="0.76665009072072687"/>
  </r>
  <r>
    <x v="458"/>
    <x v="3"/>
    <x v="13"/>
    <x v="0"/>
    <x v="0"/>
    <n v="72"/>
    <s v="Albain Forestier"/>
    <x v="3"/>
    <n v="0.73529214203054083"/>
  </r>
  <r>
    <x v="459"/>
    <x v="0"/>
    <x v="35"/>
    <x v="1"/>
    <x v="1"/>
    <n v="65"/>
    <s v="Roch Cousineau"/>
    <x v="6"/>
    <n v="0.44567996518569519"/>
  </r>
  <r>
    <x v="460"/>
    <x v="1"/>
    <x v="2"/>
    <x v="2"/>
    <x v="0"/>
    <n v="250"/>
    <s v="Roch Cousineau"/>
    <x v="9"/>
    <n v="0.80491760131950119"/>
  </r>
  <r>
    <x v="461"/>
    <x v="2"/>
    <x v="13"/>
    <x v="3"/>
    <x v="1"/>
    <n v="130"/>
    <s v="Adrien Martin"/>
    <x v="4"/>
    <n v="0.63252724233750568"/>
  </r>
  <r>
    <x v="462"/>
    <x v="3"/>
    <x v="18"/>
    <x v="0"/>
    <x v="0"/>
    <n v="72"/>
    <s v="Albain Forestier"/>
    <x v="7"/>
    <n v="0.54172415841062738"/>
  </r>
  <r>
    <x v="463"/>
    <x v="0"/>
    <x v="23"/>
    <x v="1"/>
    <x v="1"/>
    <n v="65"/>
    <s v="Roch Cousineau"/>
    <x v="12"/>
    <n v="0.51449622999670686"/>
  </r>
  <r>
    <x v="464"/>
    <x v="1"/>
    <x v="36"/>
    <x v="2"/>
    <x v="0"/>
    <n v="250"/>
    <s v="Adrien Martin"/>
    <x v="9"/>
    <n v="0.23752502847518697"/>
  </r>
  <r>
    <x v="465"/>
    <x v="2"/>
    <x v="37"/>
    <x v="3"/>
    <x v="1"/>
    <n v="130"/>
    <s v="Albain Forestier"/>
    <x v="4"/>
    <n v="0.99120610081358274"/>
  </r>
  <r>
    <x v="466"/>
    <x v="3"/>
    <x v="4"/>
    <x v="4"/>
    <x v="0"/>
    <n v="60"/>
    <s v="Roch Cousineau"/>
    <x v="6"/>
    <n v="0.59705890981846566"/>
  </r>
  <r>
    <x v="467"/>
    <x v="4"/>
    <x v="3"/>
    <x v="0"/>
    <x v="1"/>
    <n v="72"/>
    <s v="Adrien Martin"/>
    <x v="2"/>
    <n v="0.47137791834027587"/>
  </r>
  <r>
    <x v="468"/>
    <x v="0"/>
    <x v="35"/>
    <x v="1"/>
    <x v="0"/>
    <n v="65"/>
    <s v="Albain Forestier"/>
    <x v="10"/>
    <n v="0.41181740780767351"/>
  </r>
  <r>
    <x v="469"/>
    <x v="1"/>
    <x v="11"/>
    <x v="2"/>
    <x v="1"/>
    <n v="250"/>
    <s v="Roch Cousineau"/>
    <x v="2"/>
    <n v="7.2014892327985192E-2"/>
  </r>
  <r>
    <x v="470"/>
    <x v="2"/>
    <x v="10"/>
    <x v="3"/>
    <x v="0"/>
    <n v="130"/>
    <s v="Adrien Martin"/>
    <x v="1"/>
    <n v="0.28425228592980878"/>
  </r>
  <r>
    <x v="471"/>
    <x v="3"/>
    <x v="1"/>
    <x v="0"/>
    <x v="1"/>
    <n v="72"/>
    <s v="Albain Forestier"/>
    <x v="2"/>
    <n v="0.51473636278960266"/>
  </r>
  <r>
    <x v="472"/>
    <x v="0"/>
    <x v="17"/>
    <x v="1"/>
    <x v="0"/>
    <n v="65"/>
    <s v="Roch Cousineau"/>
    <x v="1"/>
    <n v="0.84360853679959769"/>
  </r>
  <r>
    <x v="473"/>
    <x v="1"/>
    <x v="17"/>
    <x v="2"/>
    <x v="1"/>
    <n v="250"/>
    <s v="Adrien Martin"/>
    <x v="2"/>
    <n v="0.79410595242208182"/>
  </r>
  <r>
    <x v="474"/>
    <x v="2"/>
    <x v="37"/>
    <x v="3"/>
    <x v="0"/>
    <n v="130"/>
    <s v="Albain Forestier"/>
    <x v="4"/>
    <n v="0.43743103077150813"/>
  </r>
  <r>
    <x v="475"/>
    <x v="3"/>
    <x v="4"/>
    <x v="4"/>
    <x v="1"/>
    <n v="60"/>
    <s v="Roch Cousineau"/>
    <x v="1"/>
    <n v="0.62414285851347806"/>
  </r>
  <r>
    <x v="476"/>
    <x v="4"/>
    <x v="2"/>
    <x v="5"/>
    <x v="1"/>
    <n v="95"/>
    <s v="Adrien Martin"/>
    <x v="4"/>
    <n v="0.8866455913476804"/>
  </r>
  <r>
    <x v="477"/>
    <x v="5"/>
    <x v="12"/>
    <x v="0"/>
    <x v="1"/>
    <n v="72"/>
    <s v="Albain Forestier"/>
    <x v="5"/>
    <n v="0.18359273290431566"/>
  </r>
  <r>
    <x v="478"/>
    <x v="0"/>
    <x v="0"/>
    <x v="1"/>
    <x v="1"/>
    <n v="65"/>
    <s v="Roch Cousineau"/>
    <x v="3"/>
    <n v="0.15906506531321729"/>
  </r>
  <r>
    <x v="479"/>
    <x v="1"/>
    <x v="38"/>
    <x v="2"/>
    <x v="1"/>
    <n v="250"/>
    <s v="Adrien Martin"/>
    <x v="9"/>
    <n v="0.29466747014106187"/>
  </r>
  <r>
    <x v="480"/>
    <x v="2"/>
    <x v="1"/>
    <x v="3"/>
    <x v="0"/>
    <n v="130"/>
    <s v="Albain Forestier"/>
    <x v="9"/>
    <n v="0.35414118605930123"/>
  </r>
  <r>
    <x v="481"/>
    <x v="3"/>
    <x v="2"/>
    <x v="0"/>
    <x v="1"/>
    <n v="72"/>
    <s v="Roch Cousineau"/>
    <x v="4"/>
    <n v="0.40463831594750665"/>
  </r>
  <r>
    <x v="482"/>
    <x v="0"/>
    <x v="5"/>
    <x v="1"/>
    <x v="0"/>
    <n v="65"/>
    <s v="Adrien Martin"/>
    <x v="14"/>
    <n v="0.56828189926736972"/>
  </r>
  <r>
    <x v="483"/>
    <x v="1"/>
    <x v="3"/>
    <x v="2"/>
    <x v="1"/>
    <n v="250"/>
    <s v="Albain Forestier"/>
    <x v="11"/>
    <n v="0.68415839920111321"/>
  </r>
  <r>
    <x v="484"/>
    <x v="2"/>
    <x v="36"/>
    <x v="3"/>
    <x v="0"/>
    <n v="130"/>
    <s v="Roch Cousineau"/>
    <x v="5"/>
    <n v="0.47900916747418532"/>
  </r>
  <r>
    <x v="485"/>
    <x v="3"/>
    <x v="24"/>
    <x v="4"/>
    <x v="1"/>
    <n v="60"/>
    <s v="Adrien Martin"/>
    <x v="4"/>
    <n v="0.89045722746488731"/>
  </r>
  <r>
    <x v="486"/>
    <x v="4"/>
    <x v="21"/>
    <x v="0"/>
    <x v="0"/>
    <n v="72"/>
    <s v="Albain Forestier"/>
    <x v="1"/>
    <n v="0.50949971880500122"/>
  </r>
  <r>
    <x v="487"/>
    <x v="0"/>
    <x v="32"/>
    <x v="1"/>
    <x v="1"/>
    <n v="65"/>
    <s v="Roch Cousineau"/>
    <x v="7"/>
    <n v="0.78361211804502018"/>
  </r>
  <r>
    <x v="488"/>
    <x v="1"/>
    <x v="4"/>
    <x v="2"/>
    <x v="0"/>
    <n v="250"/>
    <s v="Adrien Martin"/>
    <x v="11"/>
    <n v="6.596920154790531E-2"/>
  </r>
  <r>
    <x v="489"/>
    <x v="2"/>
    <x v="2"/>
    <x v="3"/>
    <x v="1"/>
    <n v="130"/>
    <s v="Albain Forestier"/>
    <x v="5"/>
    <n v="0.17858014910494857"/>
  </r>
  <r>
    <x v="490"/>
    <x v="3"/>
    <x v="27"/>
    <x v="0"/>
    <x v="0"/>
    <n v="72"/>
    <s v="Roch Cousineau"/>
    <x v="4"/>
    <n v="0.43587855952805254"/>
  </r>
  <r>
    <x v="491"/>
    <x v="0"/>
    <x v="0"/>
    <x v="1"/>
    <x v="1"/>
    <n v="65"/>
    <s v="Adrien Martin"/>
    <x v="14"/>
    <n v="0.74040338644493453"/>
  </r>
  <r>
    <x v="492"/>
    <x v="1"/>
    <x v="1"/>
    <x v="2"/>
    <x v="0"/>
    <n v="250"/>
    <s v="Albain Forestier"/>
    <x v="4"/>
    <n v="0.54109571345744756"/>
  </r>
  <r>
    <x v="493"/>
    <x v="2"/>
    <x v="28"/>
    <x v="3"/>
    <x v="1"/>
    <n v="130"/>
    <s v="Roch Cousineau"/>
    <x v="2"/>
    <n v="0.71271172701355112"/>
  </r>
  <r>
    <x v="494"/>
    <x v="3"/>
    <x v="8"/>
    <x v="4"/>
    <x v="0"/>
    <n v="60"/>
    <s v="Adrien Martin"/>
    <x v="8"/>
    <n v="0.66248409996473057"/>
  </r>
  <r>
    <x v="495"/>
    <x v="4"/>
    <x v="33"/>
    <x v="5"/>
    <x v="1"/>
    <n v="95"/>
    <s v="Albain Forestier"/>
    <x v="4"/>
    <n v="0.51300641040982664"/>
  </r>
  <r>
    <x v="496"/>
    <x v="5"/>
    <x v="14"/>
    <x v="0"/>
    <x v="0"/>
    <n v="72"/>
    <s v="Roch Cousineau"/>
    <x v="2"/>
    <n v="0.84951124937796896"/>
  </r>
  <r>
    <x v="497"/>
    <x v="0"/>
    <x v="16"/>
    <x v="1"/>
    <x v="1"/>
    <n v="65"/>
    <s v="Adrien Martin"/>
    <x v="7"/>
    <n v="0.57786595909251792"/>
  </r>
  <r>
    <x v="498"/>
    <x v="1"/>
    <x v="17"/>
    <x v="2"/>
    <x v="1"/>
    <n v="250"/>
    <s v="Albain Forestier"/>
    <x v="4"/>
    <n v="1.9027976654024337E-2"/>
  </r>
  <r>
    <x v="499"/>
    <x v="0"/>
    <x v="39"/>
    <x v="0"/>
    <x v="0"/>
    <n v="72"/>
    <s v="Roch Cousineau"/>
    <x v="6"/>
    <n v="0.35127028947902028"/>
  </r>
  <r>
    <x v="500"/>
    <x v="1"/>
    <x v="40"/>
    <x v="1"/>
    <x v="1"/>
    <n v="65"/>
    <s v="Adrien Martin"/>
    <x v="12"/>
    <n v="0.99301544216094573"/>
  </r>
  <r>
    <x v="501"/>
    <x v="2"/>
    <x v="41"/>
    <x v="2"/>
    <x v="0"/>
    <n v="250"/>
    <s v="Albain Forestier"/>
    <x v="9"/>
    <n v="0.27669039944070239"/>
  </r>
  <r>
    <x v="502"/>
    <x v="3"/>
    <x v="42"/>
    <x v="3"/>
    <x v="1"/>
    <n v="130"/>
    <s v="Roch Cousineau"/>
    <x v="3"/>
    <n v="0.250355300385392"/>
  </r>
  <r>
    <x v="503"/>
    <x v="0"/>
    <x v="43"/>
    <x v="0"/>
    <x v="0"/>
    <n v="72"/>
    <s v="Adrien Martin"/>
    <x v="0"/>
    <n v="0.93067438596746654"/>
  </r>
  <r>
    <x v="504"/>
    <x v="1"/>
    <x v="44"/>
    <x v="1"/>
    <x v="1"/>
    <n v="65"/>
    <s v="Albain Forestier"/>
    <x v="3"/>
    <n v="0.22504375703130308"/>
  </r>
  <r>
    <x v="505"/>
    <x v="2"/>
    <x v="45"/>
    <x v="2"/>
    <x v="0"/>
    <n v="250"/>
    <s v="Roch Cousineau"/>
    <x v="9"/>
    <n v="0.7102028354113129"/>
  </r>
  <r>
    <x v="506"/>
    <x v="3"/>
    <x v="46"/>
    <x v="3"/>
    <x v="1"/>
    <n v="130"/>
    <s v="Adrien Martin"/>
    <x v="4"/>
    <n v="0.87622802148593693"/>
  </r>
  <r>
    <x v="507"/>
    <x v="4"/>
    <x v="47"/>
    <x v="4"/>
    <x v="0"/>
    <n v="60"/>
    <s v="Albain Forestier"/>
    <x v="7"/>
    <n v="0.40148197379883233"/>
  </r>
  <r>
    <x v="508"/>
    <x v="0"/>
    <x v="48"/>
    <x v="0"/>
    <x v="1"/>
    <n v="72"/>
    <s v="Roch Cousineau"/>
    <x v="7"/>
    <n v="0.31955226329985753"/>
  </r>
  <r>
    <x v="509"/>
    <x v="1"/>
    <x v="32"/>
    <x v="1"/>
    <x v="0"/>
    <n v="65"/>
    <s v="Adrien Martin"/>
    <x v="6"/>
    <n v="0.91022667286730197"/>
  </r>
  <r>
    <x v="510"/>
    <x v="2"/>
    <x v="49"/>
    <x v="2"/>
    <x v="1"/>
    <n v="250"/>
    <s v="Albain Forestier"/>
    <x v="2"/>
    <n v="0.4942517819561405"/>
  </r>
  <r>
    <x v="511"/>
    <x v="3"/>
    <x v="19"/>
    <x v="3"/>
    <x v="0"/>
    <n v="130"/>
    <s v="Roch Cousineau"/>
    <x v="5"/>
    <n v="0.24945675141783363"/>
  </r>
  <r>
    <x v="512"/>
    <x v="0"/>
    <x v="50"/>
    <x v="0"/>
    <x v="1"/>
    <n v="72"/>
    <s v="Adrien Martin"/>
    <x v="0"/>
    <n v="0.72351025065294305"/>
  </r>
  <r>
    <x v="513"/>
    <x v="1"/>
    <x v="51"/>
    <x v="1"/>
    <x v="0"/>
    <n v="65"/>
    <s v="Albain Forestier"/>
    <x v="4"/>
    <n v="0.44576256498744371"/>
  </r>
  <r>
    <x v="514"/>
    <x v="2"/>
    <x v="29"/>
    <x v="2"/>
    <x v="1"/>
    <n v="250"/>
    <s v="Roch Cousineau"/>
    <x v="9"/>
    <n v="0.58200465112898758"/>
  </r>
  <r>
    <x v="515"/>
    <x v="3"/>
    <x v="52"/>
    <x v="3"/>
    <x v="0"/>
    <n v="130"/>
    <s v="Adrien Martin"/>
    <x v="5"/>
    <n v="0.14061553252276249"/>
  </r>
  <r>
    <x v="516"/>
    <x v="4"/>
    <x v="26"/>
    <x v="4"/>
    <x v="0"/>
    <n v="60"/>
    <s v="Albain Forestier"/>
    <x v="13"/>
    <n v="0.90454825395484129"/>
  </r>
  <r>
    <x v="517"/>
    <x v="5"/>
    <x v="47"/>
    <x v="5"/>
    <x v="1"/>
    <n v="95"/>
    <s v="Roch Cousineau"/>
    <x v="0"/>
    <n v="7.0178742298327768E-2"/>
  </r>
  <r>
    <x v="518"/>
    <x v="0"/>
    <x v="46"/>
    <x v="0"/>
    <x v="1"/>
    <n v="72"/>
    <s v="Adrien Martin"/>
    <x v="4"/>
    <n v="0.75480607756269813"/>
  </r>
  <r>
    <x v="519"/>
    <x v="1"/>
    <x v="41"/>
    <x v="1"/>
    <x v="1"/>
    <n v="65"/>
    <s v="Albain Forestier"/>
    <x v="2"/>
    <n v="0.39995478414912078"/>
  </r>
  <r>
    <x v="520"/>
    <x v="2"/>
    <x v="53"/>
    <x v="2"/>
    <x v="0"/>
    <n v="250"/>
    <s v="Roch Cousineau"/>
    <x v="11"/>
    <n v="0.95136563985285205"/>
  </r>
  <r>
    <x v="521"/>
    <x v="3"/>
    <x v="54"/>
    <x v="3"/>
    <x v="0"/>
    <n v="130"/>
    <s v="Adrien Martin"/>
    <x v="2"/>
    <n v="0.66872074410910598"/>
  </r>
  <r>
    <x v="522"/>
    <x v="0"/>
    <x v="32"/>
    <x v="0"/>
    <x v="0"/>
    <n v="72"/>
    <s v="Albain Forestier"/>
    <x v="5"/>
    <n v="0.24047450567301554"/>
  </r>
  <r>
    <x v="523"/>
    <x v="1"/>
    <x v="30"/>
    <x v="1"/>
    <x v="0"/>
    <n v="65"/>
    <s v="Roch Cousineau"/>
    <x v="7"/>
    <n v="0.71429644417316807"/>
  </r>
  <r>
    <x v="524"/>
    <x v="2"/>
    <x v="55"/>
    <x v="2"/>
    <x v="0"/>
    <n v="250"/>
    <s v="Adrien Martin"/>
    <x v="2"/>
    <n v="8.4284591792070374E-2"/>
  </r>
  <r>
    <x v="525"/>
    <x v="3"/>
    <x v="19"/>
    <x v="3"/>
    <x v="0"/>
    <n v="130"/>
    <s v="Albain Forestier"/>
    <x v="3"/>
    <n v="0.64178230115674995"/>
  </r>
  <r>
    <x v="526"/>
    <x v="4"/>
    <x v="39"/>
    <x v="4"/>
    <x v="0"/>
    <n v="60"/>
    <s v="Roch Cousineau"/>
    <x v="1"/>
    <n v="0.26461303663094116"/>
  </r>
  <r>
    <x v="527"/>
    <x v="0"/>
    <x v="33"/>
    <x v="0"/>
    <x v="0"/>
    <n v="72"/>
    <s v="Adrien Martin"/>
    <x v="1"/>
    <n v="0.57062071902422562"/>
  </r>
  <r>
    <x v="528"/>
    <x v="1"/>
    <x v="40"/>
    <x v="1"/>
    <x v="0"/>
    <n v="65"/>
    <s v="Albain Forestier"/>
    <x v="7"/>
    <n v="0.71380239044868576"/>
  </r>
  <r>
    <x v="529"/>
    <x v="2"/>
    <x v="56"/>
    <x v="2"/>
    <x v="1"/>
    <n v="250"/>
    <s v="Roch Cousineau"/>
    <x v="11"/>
    <n v="0.81633285431882208"/>
  </r>
  <r>
    <x v="530"/>
    <x v="3"/>
    <x v="57"/>
    <x v="3"/>
    <x v="0"/>
    <n v="130"/>
    <s v="Adrien Martin"/>
    <x v="9"/>
    <n v="0.13625548885011807"/>
  </r>
  <r>
    <x v="531"/>
    <x v="0"/>
    <x v="58"/>
    <x v="0"/>
    <x v="0"/>
    <n v="72"/>
    <s v="Albain Forestier"/>
    <x v="1"/>
    <n v="0.20606430550240462"/>
  </r>
  <r>
    <x v="532"/>
    <x v="1"/>
    <x v="59"/>
    <x v="1"/>
    <x v="0"/>
    <n v="65"/>
    <s v="Roch Cousineau"/>
    <x v="2"/>
    <n v="0.42811691456194378"/>
  </r>
  <r>
    <x v="533"/>
    <x v="2"/>
    <x v="58"/>
    <x v="2"/>
    <x v="0"/>
    <n v="250"/>
    <s v="Adrien Martin"/>
    <x v="9"/>
    <n v="0.99703525071117094"/>
  </r>
  <r>
    <x v="534"/>
    <x v="3"/>
    <x v="30"/>
    <x v="3"/>
    <x v="0"/>
    <n v="130"/>
    <s v="Albain Forestier"/>
    <x v="2"/>
    <n v="2.2490512680980568E-2"/>
  </r>
  <r>
    <x v="535"/>
    <x v="4"/>
    <x v="40"/>
    <x v="4"/>
    <x v="1"/>
    <n v="60"/>
    <s v="Roch Cousineau"/>
    <x v="7"/>
    <n v="0.73724931282070882"/>
  </r>
  <r>
    <x v="536"/>
    <x v="5"/>
    <x v="57"/>
    <x v="5"/>
    <x v="0"/>
    <n v="95"/>
    <s v="Adrien Martin"/>
    <x v="2"/>
    <n v="0.37776466787135787"/>
  </r>
  <r>
    <x v="537"/>
    <x v="0"/>
    <x v="58"/>
    <x v="0"/>
    <x v="0"/>
    <n v="72"/>
    <s v="Albain Forestier"/>
    <x v="5"/>
    <n v="0.69064644544125375"/>
  </r>
  <r>
    <x v="538"/>
    <x v="1"/>
    <x v="60"/>
    <x v="1"/>
    <x v="0"/>
    <n v="65"/>
    <s v="Roch Cousineau"/>
    <x v="3"/>
    <n v="0.25176245733627678"/>
  </r>
  <r>
    <x v="539"/>
    <x v="2"/>
    <x v="61"/>
    <x v="2"/>
    <x v="1"/>
    <n v="250"/>
    <s v="Adrien Martin"/>
    <x v="2"/>
    <n v="0.85060654414462344"/>
  </r>
  <r>
    <x v="540"/>
    <x v="3"/>
    <x v="56"/>
    <x v="3"/>
    <x v="1"/>
    <n v="130"/>
    <s v="Albain Forestier"/>
    <x v="3"/>
    <n v="0.44913674200980747"/>
  </r>
  <r>
    <x v="541"/>
    <x v="0"/>
    <x v="30"/>
    <x v="0"/>
    <x v="1"/>
    <n v="72"/>
    <s v="Roch Cousineau"/>
    <x v="5"/>
    <n v="0.31677210287880031"/>
  </r>
  <r>
    <x v="542"/>
    <x v="1"/>
    <x v="43"/>
    <x v="1"/>
    <x v="1"/>
    <n v="65"/>
    <s v="Adrien Martin"/>
    <x v="12"/>
    <n v="0.49750882311946254"/>
  </r>
  <r>
    <x v="543"/>
    <x v="2"/>
    <x v="62"/>
    <x v="2"/>
    <x v="1"/>
    <n v="250"/>
    <s v="Albain Forestier"/>
    <x v="11"/>
    <n v="0.91068268549519538"/>
  </r>
  <r>
    <x v="544"/>
    <x v="3"/>
    <x v="51"/>
    <x v="3"/>
    <x v="1"/>
    <n v="130"/>
    <s v="Roch Cousineau"/>
    <x v="2"/>
    <n v="4.6718862923869398E-2"/>
  </r>
  <r>
    <x v="545"/>
    <x v="0"/>
    <x v="63"/>
    <x v="0"/>
    <x v="0"/>
    <n v="72"/>
    <s v="Roch Cousineau"/>
    <x v="14"/>
    <n v="0.40990238286012581"/>
  </r>
  <r>
    <x v="546"/>
    <x v="1"/>
    <x v="64"/>
    <x v="1"/>
    <x v="1"/>
    <n v="65"/>
    <s v="Adrien Martin"/>
    <x v="5"/>
    <n v="0.9990275588702352"/>
  </r>
  <r>
    <x v="547"/>
    <x v="2"/>
    <x v="63"/>
    <x v="2"/>
    <x v="0"/>
    <n v="250"/>
    <s v="Albain Forestier"/>
    <x v="9"/>
    <n v="0.5376717048883648"/>
  </r>
  <r>
    <x v="548"/>
    <x v="3"/>
    <x v="61"/>
    <x v="3"/>
    <x v="1"/>
    <n v="130"/>
    <s v="Roch Cousineau"/>
    <x v="3"/>
    <n v="0.65828213202832575"/>
  </r>
  <r>
    <x v="549"/>
    <x v="0"/>
    <x v="62"/>
    <x v="0"/>
    <x v="0"/>
    <n v="72"/>
    <s v="Adrien Martin"/>
    <x v="6"/>
    <n v="0.20015574511410372"/>
  </r>
  <r>
    <x v="550"/>
    <x v="1"/>
    <x v="19"/>
    <x v="1"/>
    <x v="1"/>
    <n v="65"/>
    <s v="Albain Forestier"/>
    <x v="3"/>
    <n v="0.23334576617031766"/>
  </r>
  <r>
    <x v="551"/>
    <x v="2"/>
    <x v="62"/>
    <x v="2"/>
    <x v="0"/>
    <n v="250"/>
    <s v="Roch Cousineau"/>
    <x v="11"/>
    <n v="0.16942946762133471"/>
  </r>
  <r>
    <x v="552"/>
    <x v="3"/>
    <x v="43"/>
    <x v="3"/>
    <x v="1"/>
    <n v="130"/>
    <s v="Adrien Martin"/>
    <x v="2"/>
    <n v="0.90599215371664499"/>
  </r>
  <r>
    <x v="553"/>
    <x v="4"/>
    <x v="65"/>
    <x v="4"/>
    <x v="0"/>
    <n v="60"/>
    <s v="Albain Forestier"/>
    <x v="1"/>
    <n v="6.1944488250556207E-2"/>
  </r>
  <r>
    <x v="554"/>
    <x v="0"/>
    <x v="57"/>
    <x v="0"/>
    <x v="1"/>
    <n v="72"/>
    <s v="Roch Cousineau"/>
    <x v="7"/>
    <n v="0.67287229055012365"/>
  </r>
  <r>
    <x v="555"/>
    <x v="1"/>
    <x v="56"/>
    <x v="1"/>
    <x v="0"/>
    <n v="65"/>
    <s v="Adrien Martin"/>
    <x v="7"/>
    <n v="0.83979449306331544"/>
  </r>
  <r>
    <x v="556"/>
    <x v="2"/>
    <x v="66"/>
    <x v="2"/>
    <x v="1"/>
    <n v="250"/>
    <s v="Albain Forestier"/>
    <x v="2"/>
    <n v="0.15846252816785256"/>
  </r>
  <r>
    <x v="557"/>
    <x v="3"/>
    <x v="37"/>
    <x v="3"/>
    <x v="0"/>
    <n v="130"/>
    <s v="Roch Cousineau"/>
    <x v="3"/>
    <n v="0.15469881503211091"/>
  </r>
  <r>
    <x v="558"/>
    <x v="0"/>
    <x v="45"/>
    <x v="0"/>
    <x v="1"/>
    <n v="72"/>
    <s v="Adrien Martin"/>
    <x v="4"/>
    <n v="0.44242718921166302"/>
  </r>
  <r>
    <x v="559"/>
    <x v="1"/>
    <x v="67"/>
    <x v="1"/>
    <x v="0"/>
    <n v="65"/>
    <s v="Albain Forestier"/>
    <x v="6"/>
    <n v="0.72557905853725302"/>
  </r>
  <r>
    <x v="560"/>
    <x v="2"/>
    <x v="43"/>
    <x v="2"/>
    <x v="1"/>
    <n v="250"/>
    <s v="Roch Cousineau"/>
    <x v="2"/>
    <n v="0.53726900022650914"/>
  </r>
  <r>
    <x v="561"/>
    <x v="3"/>
    <x v="68"/>
    <x v="3"/>
    <x v="0"/>
    <n v="130"/>
    <s v="Adrien Martin"/>
    <x v="3"/>
    <n v="0.20664255921281516"/>
  </r>
  <r>
    <x v="562"/>
    <x v="4"/>
    <x v="69"/>
    <x v="4"/>
    <x v="0"/>
    <n v="60"/>
    <s v="Albain Forestier"/>
    <x v="4"/>
    <n v="0.554865691438584"/>
  </r>
  <r>
    <x v="563"/>
    <x v="5"/>
    <x v="52"/>
    <x v="5"/>
    <x v="1"/>
    <n v="95"/>
    <s v="Roch Cousineau"/>
    <x v="0"/>
    <n v="0.94378394742143334"/>
  </r>
  <r>
    <x v="564"/>
    <x v="0"/>
    <x v="19"/>
    <x v="0"/>
    <x v="1"/>
    <n v="72"/>
    <s v="Adrien Martin"/>
    <x v="6"/>
    <n v="0.72190427575292027"/>
  </r>
  <r>
    <x v="565"/>
    <x v="1"/>
    <x v="47"/>
    <x v="1"/>
    <x v="1"/>
    <n v="65"/>
    <s v="Albain Forestier"/>
    <x v="5"/>
    <n v="0.67203427242317415"/>
  </r>
  <r>
    <x v="566"/>
    <x v="2"/>
    <x v="70"/>
    <x v="2"/>
    <x v="0"/>
    <n v="250"/>
    <s v="Roch Cousineau"/>
    <x v="4"/>
    <n v="0.4074616509021618"/>
  </r>
  <r>
    <x v="567"/>
    <x v="3"/>
    <x v="71"/>
    <x v="3"/>
    <x v="0"/>
    <n v="130"/>
    <s v="Adrien Martin"/>
    <x v="4"/>
    <n v="0.51887004083841781"/>
  </r>
  <r>
    <x v="568"/>
    <x v="0"/>
    <x v="58"/>
    <x v="0"/>
    <x v="0"/>
    <n v="72"/>
    <s v="Albain Forestier"/>
    <x v="6"/>
    <n v="0.80902951359876019"/>
  </r>
  <r>
    <x v="569"/>
    <x v="1"/>
    <x v="19"/>
    <x v="1"/>
    <x v="0"/>
    <n v="65"/>
    <s v="Roch Cousineau"/>
    <x v="0"/>
    <n v="9.3307814686273804E-2"/>
  </r>
  <r>
    <x v="570"/>
    <x v="2"/>
    <x v="32"/>
    <x v="2"/>
    <x v="0"/>
    <n v="250"/>
    <s v="Adrien Martin"/>
    <x v="11"/>
    <n v="0.48207911601344877"/>
  </r>
  <r>
    <x v="571"/>
    <x v="3"/>
    <x v="60"/>
    <x v="3"/>
    <x v="0"/>
    <n v="130"/>
    <s v="Albain Forestier"/>
    <x v="2"/>
    <n v="0.50546663723580443"/>
  </r>
  <r>
    <x v="572"/>
    <x v="4"/>
    <x v="21"/>
    <x v="4"/>
    <x v="0"/>
    <n v="60"/>
    <s v="Roch Cousineau"/>
    <x v="8"/>
    <n v="0.9337898556175579"/>
  </r>
  <r>
    <x v="573"/>
    <x v="0"/>
    <x v="53"/>
    <x v="0"/>
    <x v="0"/>
    <n v="72"/>
    <s v="Adrien Martin"/>
    <x v="4"/>
    <n v="8.9132042234141173E-2"/>
  </r>
  <r>
    <x v="574"/>
    <x v="1"/>
    <x v="72"/>
    <x v="1"/>
    <x v="0"/>
    <n v="65"/>
    <s v="Albain Forestier"/>
    <x v="7"/>
    <n v="0.26024509469695256"/>
  </r>
  <r>
    <x v="575"/>
    <x v="2"/>
    <x v="32"/>
    <x v="2"/>
    <x v="1"/>
    <n v="250"/>
    <s v="Roch Cousineau"/>
    <x v="2"/>
    <n v="0.9475588745165"/>
  </r>
  <r>
    <x v="576"/>
    <x v="3"/>
    <x v="73"/>
    <x v="3"/>
    <x v="0"/>
    <n v="130"/>
    <s v="Adrien Martin"/>
    <x v="5"/>
    <n v="0.10521268802319783"/>
  </r>
  <r>
    <x v="577"/>
    <x v="0"/>
    <x v="74"/>
    <x v="0"/>
    <x v="0"/>
    <n v="72"/>
    <s v="Albain Forestier"/>
    <x v="3"/>
    <n v="7.3480743710257812E-2"/>
  </r>
  <r>
    <x v="578"/>
    <x v="1"/>
    <x v="75"/>
    <x v="1"/>
    <x v="0"/>
    <n v="65"/>
    <s v="Roch Cousineau"/>
    <x v="12"/>
    <n v="0.9264649681175714"/>
  </r>
  <r>
    <x v="579"/>
    <x v="2"/>
    <x v="76"/>
    <x v="2"/>
    <x v="0"/>
    <n v="250"/>
    <s v="Adrien Martin"/>
    <x v="9"/>
    <n v="0.26836060351255064"/>
  </r>
  <r>
    <x v="580"/>
    <x v="3"/>
    <x v="61"/>
    <x v="3"/>
    <x v="0"/>
    <n v="130"/>
    <s v="Albain Forestier"/>
    <x v="9"/>
    <n v="0.24508660776931523"/>
  </r>
  <r>
    <x v="581"/>
    <x v="4"/>
    <x v="71"/>
    <x v="4"/>
    <x v="1"/>
    <n v="60"/>
    <s v="Roch Cousineau"/>
    <x v="14"/>
    <n v="0.64380948810644767"/>
  </r>
  <r>
    <x v="582"/>
    <x v="5"/>
    <x v="59"/>
    <x v="5"/>
    <x v="0"/>
    <n v="95"/>
    <s v="Adrien Martin"/>
    <x v="5"/>
    <n v="0.87456253691868835"/>
  </r>
  <r>
    <x v="583"/>
    <x v="0"/>
    <x v="77"/>
    <x v="0"/>
    <x v="0"/>
    <n v="72"/>
    <s v="Albain Forestier"/>
    <x v="1"/>
    <n v="0.64027679246322555"/>
  </r>
  <r>
    <x v="584"/>
    <x v="1"/>
    <x v="19"/>
    <x v="1"/>
    <x v="0"/>
    <n v="65"/>
    <s v="Roch Cousineau"/>
    <x v="0"/>
    <n v="0.7828464105066858"/>
  </r>
  <r>
    <x v="585"/>
    <x v="2"/>
    <x v="70"/>
    <x v="2"/>
    <x v="1"/>
    <n v="250"/>
    <s v="Adrien Martin"/>
    <x v="4"/>
    <n v="0.4437498947690296"/>
  </r>
  <r>
    <x v="586"/>
    <x v="3"/>
    <x v="46"/>
    <x v="3"/>
    <x v="1"/>
    <n v="130"/>
    <s v="Albain Forestier"/>
    <x v="5"/>
    <n v="0.41216568007363963"/>
  </r>
  <r>
    <x v="587"/>
    <x v="0"/>
    <x v="39"/>
    <x v="0"/>
    <x v="1"/>
    <n v="72"/>
    <s v="Roch Cousineau"/>
    <x v="4"/>
    <n v="0.51866886085179809"/>
  </r>
  <r>
    <x v="588"/>
    <x v="1"/>
    <x v="39"/>
    <x v="1"/>
    <x v="1"/>
    <n v="65"/>
    <s v="Adrien Martin"/>
    <x v="6"/>
    <n v="0.48692015765899155"/>
  </r>
  <r>
    <x v="589"/>
    <x v="2"/>
    <x v="19"/>
    <x v="2"/>
    <x v="1"/>
    <n v="250"/>
    <s v="Albain Forestier"/>
    <x v="11"/>
    <n v="0.52225307689300648"/>
  </r>
  <r>
    <x v="590"/>
    <x v="3"/>
    <x v="26"/>
    <x v="3"/>
    <x v="1"/>
    <n v="130"/>
    <s v="Roch Cousineau"/>
    <x v="2"/>
    <n v="8.4863881636887961E-2"/>
  </r>
  <r>
    <x v="591"/>
    <x v="0"/>
    <x v="51"/>
    <x v="0"/>
    <x v="0"/>
    <n v="72"/>
    <s v="Roch Cousineau"/>
    <x v="5"/>
    <n v="1.1486222433218396E-2"/>
  </r>
  <r>
    <x v="592"/>
    <x v="1"/>
    <x v="51"/>
    <x v="1"/>
    <x v="1"/>
    <n v="65"/>
    <s v="Adrien Martin"/>
    <x v="8"/>
    <n v="0.95277858889948974"/>
  </r>
  <r>
    <x v="593"/>
    <x v="2"/>
    <x v="62"/>
    <x v="2"/>
    <x v="0"/>
    <n v="250"/>
    <s v="Albain Forestier"/>
    <x v="11"/>
    <n v="0.85028252001603999"/>
  </r>
  <r>
    <x v="594"/>
    <x v="3"/>
    <x v="54"/>
    <x v="3"/>
    <x v="1"/>
    <n v="130"/>
    <s v="Roch Cousineau"/>
    <x v="2"/>
    <n v="0.95985836634682409"/>
  </r>
  <r>
    <x v="595"/>
    <x v="0"/>
    <x v="53"/>
    <x v="0"/>
    <x v="0"/>
    <n v="72"/>
    <s v="Adrien Martin"/>
    <x v="5"/>
    <n v="0.61866309789018659"/>
  </r>
  <r>
    <x v="596"/>
    <x v="1"/>
    <x v="53"/>
    <x v="1"/>
    <x v="1"/>
    <n v="65"/>
    <s v="Albain Forestier"/>
    <x v="7"/>
    <n v="0.58918920258701912"/>
  </r>
  <r>
    <x v="597"/>
    <x v="2"/>
    <x v="67"/>
    <x v="2"/>
    <x v="0"/>
    <n v="250"/>
    <s v="Roch Cousineau"/>
    <x v="2"/>
    <n v="0.1415531555398184"/>
  </r>
  <r>
    <x v="598"/>
    <x v="3"/>
    <x v="30"/>
    <x v="3"/>
    <x v="1"/>
    <n v="130"/>
    <s v="Adrien Martin"/>
    <x v="4"/>
    <n v="0.91244023934531826"/>
  </r>
  <r>
    <x v="599"/>
    <x v="4"/>
    <x v="52"/>
    <x v="4"/>
    <x v="0"/>
    <n v="60"/>
    <s v="Albain Forestier"/>
    <x v="12"/>
    <n v="9.7377057343550066E-2"/>
  </r>
  <r>
    <x v="600"/>
    <x v="0"/>
    <x v="66"/>
    <x v="0"/>
    <x v="1"/>
    <n v="72"/>
    <s v="Roch Cousineau"/>
    <x v="2"/>
    <n v="0.32919687634352268"/>
  </r>
  <r>
    <x v="601"/>
    <x v="1"/>
    <x v="56"/>
    <x v="1"/>
    <x v="0"/>
    <n v="65"/>
    <s v="Adrien Martin"/>
    <x v="0"/>
    <n v="0.55339847462297498"/>
  </r>
  <r>
    <x v="602"/>
    <x v="2"/>
    <x v="53"/>
    <x v="2"/>
    <x v="1"/>
    <n v="250"/>
    <s v="Albain Forestier"/>
    <x v="2"/>
    <n v="0.26565834708411284"/>
  </r>
  <r>
    <x v="603"/>
    <x v="3"/>
    <x v="61"/>
    <x v="3"/>
    <x v="0"/>
    <n v="130"/>
    <s v="Roch Cousineau"/>
    <x v="9"/>
    <n v="0.45457809568435725"/>
  </r>
  <r>
    <x v="604"/>
    <x v="0"/>
    <x v="66"/>
    <x v="0"/>
    <x v="1"/>
    <n v="72"/>
    <s v="Adrien Martin"/>
    <x v="7"/>
    <n v="0.11319664584886213"/>
  </r>
  <r>
    <x v="605"/>
    <x v="1"/>
    <x v="53"/>
    <x v="1"/>
    <x v="0"/>
    <n v="65"/>
    <s v="Albain Forestier"/>
    <x v="8"/>
    <n v="0.66564849106401525"/>
  </r>
  <r>
    <x v="606"/>
    <x v="2"/>
    <x v="44"/>
    <x v="2"/>
    <x v="1"/>
    <n v="250"/>
    <s v="Roch Cousineau"/>
    <x v="9"/>
    <n v="0.65923703226757613"/>
  </r>
  <r>
    <x v="607"/>
    <x v="3"/>
    <x v="78"/>
    <x v="3"/>
    <x v="0"/>
    <n v="130"/>
    <s v="Adrien Martin"/>
    <x v="4"/>
    <n v="0.22021135845906681"/>
  </r>
  <r>
    <x v="608"/>
    <x v="4"/>
    <x v="41"/>
    <x v="4"/>
    <x v="0"/>
    <n v="60"/>
    <s v="Albain Forestier"/>
    <x v="4"/>
    <n v="0.49505715552965945"/>
  </r>
  <r>
    <x v="609"/>
    <x v="5"/>
    <x v="62"/>
    <x v="5"/>
    <x v="1"/>
    <n v="95"/>
    <s v="Roch Cousineau"/>
    <x v="0"/>
    <n v="0.22929974855645663"/>
  </r>
  <r>
    <x v="610"/>
    <x v="0"/>
    <x v="72"/>
    <x v="0"/>
    <x v="1"/>
    <n v="72"/>
    <s v="Adrien Martin"/>
    <x v="14"/>
    <n v="0.79917324373956766"/>
  </r>
  <r>
    <x v="611"/>
    <x v="1"/>
    <x v="30"/>
    <x v="1"/>
    <x v="1"/>
    <n v="65"/>
    <s v="Albain Forestier"/>
    <x v="1"/>
    <n v="0.13963836466705493"/>
  </r>
  <r>
    <x v="612"/>
    <x v="2"/>
    <x v="69"/>
    <x v="2"/>
    <x v="0"/>
    <n v="250"/>
    <s v="Roch Cousineau"/>
    <x v="2"/>
    <n v="0.42233027713127158"/>
  </r>
  <r>
    <x v="613"/>
    <x v="3"/>
    <x v="71"/>
    <x v="3"/>
    <x v="0"/>
    <n v="130"/>
    <s v="Adrien Martin"/>
    <x v="5"/>
    <n v="0.97589087472770397"/>
  </r>
  <r>
    <x v="614"/>
    <x v="0"/>
    <x v="67"/>
    <x v="0"/>
    <x v="0"/>
    <n v="72"/>
    <s v="Albain Forestier"/>
    <x v="1"/>
    <n v="7.9182527480942566E-2"/>
  </r>
  <r>
    <x v="615"/>
    <x v="1"/>
    <x v="68"/>
    <x v="1"/>
    <x v="0"/>
    <n v="65"/>
    <s v="Roch Cousineau"/>
    <x v="2"/>
    <n v="0.60321189183897339"/>
  </r>
  <r>
    <x v="616"/>
    <x v="2"/>
    <x v="48"/>
    <x v="2"/>
    <x v="0"/>
    <n v="250"/>
    <s v="Adrien Martin"/>
    <x v="11"/>
    <n v="0.58259258614071419"/>
  </r>
  <r>
    <x v="617"/>
    <x v="3"/>
    <x v="26"/>
    <x v="3"/>
    <x v="0"/>
    <n v="130"/>
    <s v="Albain Forestier"/>
    <x v="3"/>
    <n v="0.86492989973214307"/>
  </r>
  <r>
    <x v="618"/>
    <x v="4"/>
    <x v="76"/>
    <x v="4"/>
    <x v="0"/>
    <n v="60"/>
    <s v="Roch Cousineau"/>
    <x v="1"/>
    <n v="0.21500562136656598"/>
  </r>
  <r>
    <x v="619"/>
    <x v="0"/>
    <x v="45"/>
    <x v="0"/>
    <x v="0"/>
    <n v="72"/>
    <s v="Adrien Martin"/>
    <x v="1"/>
    <n v="0.21050444070240681"/>
  </r>
  <r>
    <x v="620"/>
    <x v="1"/>
    <x v="63"/>
    <x v="1"/>
    <x v="0"/>
    <n v="65"/>
    <s v="Albain Forestier"/>
    <x v="12"/>
    <n v="0.28129519650342805"/>
  </r>
  <r>
    <x v="621"/>
    <x v="2"/>
    <x v="58"/>
    <x v="2"/>
    <x v="1"/>
    <n v="250"/>
    <s v="Roch Cousineau"/>
    <x v="11"/>
    <n v="0.53396480051542461"/>
  </r>
  <r>
    <x v="622"/>
    <x v="3"/>
    <x v="62"/>
    <x v="3"/>
    <x v="0"/>
    <n v="130"/>
    <s v="Adrien Martin"/>
    <x v="3"/>
    <n v="0.17793672779459824"/>
  </r>
  <r>
    <x v="623"/>
    <x v="0"/>
    <x v="79"/>
    <x v="0"/>
    <x v="0"/>
    <n v="72"/>
    <s v="Albain Forestier"/>
    <x v="12"/>
    <n v="1.7297904053477198E-2"/>
  </r>
  <r>
    <x v="624"/>
    <x v="1"/>
    <x v="70"/>
    <x v="1"/>
    <x v="0"/>
    <n v="65"/>
    <s v="Roch Cousineau"/>
    <x v="1"/>
    <n v="0.81994999994197992"/>
  </r>
  <r>
    <x v="625"/>
    <x v="2"/>
    <x v="64"/>
    <x v="2"/>
    <x v="0"/>
    <n v="250"/>
    <s v="Adrien Martin"/>
    <x v="9"/>
    <n v="0.61082636043935012"/>
  </r>
  <r>
    <x v="626"/>
    <x v="3"/>
    <x v="37"/>
    <x v="3"/>
    <x v="0"/>
    <n v="130"/>
    <s v="Albain Forestier"/>
    <x v="2"/>
    <n v="0.93772428509696215"/>
  </r>
  <r>
    <x v="627"/>
    <x v="4"/>
    <x v="54"/>
    <x v="4"/>
    <x v="1"/>
    <n v="60"/>
    <s v="Roch Cousineau"/>
    <x v="4"/>
    <n v="0.34729549197788367"/>
  </r>
  <r>
    <x v="628"/>
    <x v="5"/>
    <x v="40"/>
    <x v="5"/>
    <x v="0"/>
    <n v="95"/>
    <s v="Adrien Martin"/>
    <x v="4"/>
    <n v="0.16287832576945627"/>
  </r>
  <r>
    <x v="629"/>
    <x v="0"/>
    <x v="43"/>
    <x v="0"/>
    <x v="0"/>
    <n v="72"/>
    <s v="Albain Forestier"/>
    <x v="0"/>
    <n v="0.67574044073895212"/>
  </r>
  <r>
    <x v="630"/>
    <x v="1"/>
    <x v="50"/>
    <x v="1"/>
    <x v="0"/>
    <n v="65"/>
    <s v="Roch Cousineau"/>
    <x v="7"/>
    <n v="0.34581384820101213"/>
  </r>
  <r>
    <x v="631"/>
    <x v="2"/>
    <x v="21"/>
    <x v="2"/>
    <x v="1"/>
    <n v="250"/>
    <s v="Adrien Martin"/>
    <x v="2"/>
    <n v="0.4847829442030549"/>
  </r>
  <r>
    <x v="632"/>
    <x v="3"/>
    <x v="80"/>
    <x v="3"/>
    <x v="1"/>
    <n v="130"/>
    <s v="Albain Forestier"/>
    <x v="9"/>
    <n v="0.7970369429439822"/>
  </r>
  <r>
    <x v="633"/>
    <x v="0"/>
    <x v="17"/>
    <x v="0"/>
    <x v="1"/>
    <n v="72"/>
    <s v="Roch Cousineau"/>
    <x v="14"/>
    <n v="0.27198149742594546"/>
  </r>
  <r>
    <x v="634"/>
    <x v="1"/>
    <x v="48"/>
    <x v="1"/>
    <x v="1"/>
    <n v="65"/>
    <s v="Adrien Martin"/>
    <x v="6"/>
    <n v="0.83136590234328778"/>
  </r>
  <r>
    <x v="635"/>
    <x v="2"/>
    <x v="77"/>
    <x v="2"/>
    <x v="1"/>
    <n v="250"/>
    <s v="Albain Forestier"/>
    <x v="9"/>
    <n v="0.5817528640914541"/>
  </r>
  <r>
    <x v="636"/>
    <x v="3"/>
    <x v="40"/>
    <x v="3"/>
    <x v="1"/>
    <n v="130"/>
    <s v="Roch Cousineau"/>
    <x v="2"/>
    <n v="0.37999397386457967"/>
  </r>
  <r>
    <x v="637"/>
    <x v="0"/>
    <x v="46"/>
    <x v="0"/>
    <x v="0"/>
    <n v="72"/>
    <s v="Roch Cousineau"/>
    <x v="6"/>
    <n v="0.35775601857892647"/>
  </r>
  <r>
    <x v="638"/>
    <x v="1"/>
    <x v="26"/>
    <x v="1"/>
    <x v="1"/>
    <n v="65"/>
    <s v="Adrien Martin"/>
    <x v="5"/>
    <n v="0.23748232609436359"/>
  </r>
  <r>
    <x v="639"/>
    <x v="2"/>
    <x v="67"/>
    <x v="2"/>
    <x v="0"/>
    <n v="250"/>
    <s v="Albain Forestier"/>
    <x v="2"/>
    <n v="0.6981921244803726"/>
  </r>
  <r>
    <x v="640"/>
    <x v="3"/>
    <x v="29"/>
    <x v="3"/>
    <x v="1"/>
    <n v="130"/>
    <s v="Roch Cousineau"/>
    <x v="2"/>
    <n v="0.99968358923813705"/>
  </r>
  <r>
    <x v="641"/>
    <x v="0"/>
    <x v="58"/>
    <x v="0"/>
    <x v="0"/>
    <n v="72"/>
    <s v="Adrien Martin"/>
    <x v="12"/>
    <n v="0.24136310937077221"/>
  </r>
  <r>
    <x v="642"/>
    <x v="1"/>
    <x v="48"/>
    <x v="1"/>
    <x v="1"/>
    <n v="65"/>
    <s v="Albain Forestier"/>
    <x v="8"/>
    <n v="0.62232455450795154"/>
  </r>
  <r>
    <x v="643"/>
    <x v="2"/>
    <x v="44"/>
    <x v="2"/>
    <x v="0"/>
    <n v="250"/>
    <s v="Roch Cousineau"/>
    <x v="2"/>
    <n v="0.82758934728793498"/>
  </r>
  <r>
    <x v="644"/>
    <x v="3"/>
    <x v="81"/>
    <x v="3"/>
    <x v="1"/>
    <n v="130"/>
    <s v="Adrien Martin"/>
    <x v="2"/>
    <n v="0.7198341963372169"/>
  </r>
  <r>
    <x v="645"/>
    <x v="4"/>
    <x v="71"/>
    <x v="4"/>
    <x v="0"/>
    <n v="60"/>
    <s v="Albain Forestier"/>
    <x v="5"/>
    <n v="0.28919014690272538"/>
  </r>
  <r>
    <x v="646"/>
    <x v="0"/>
    <x v="70"/>
    <x v="0"/>
    <x v="1"/>
    <n v="72"/>
    <s v="Roch Cousineau"/>
    <x v="5"/>
    <n v="0.65515607407017873"/>
  </r>
  <r>
    <x v="647"/>
    <x v="1"/>
    <x v="70"/>
    <x v="1"/>
    <x v="0"/>
    <n v="65"/>
    <s v="Adrien Martin"/>
    <x v="3"/>
    <n v="0.30920518626289195"/>
  </r>
  <r>
    <x v="648"/>
    <x v="2"/>
    <x v="73"/>
    <x v="2"/>
    <x v="1"/>
    <n v="250"/>
    <s v="Albain Forestier"/>
    <x v="2"/>
    <n v="0.19291315913298446"/>
  </r>
  <r>
    <x v="649"/>
    <x v="3"/>
    <x v="81"/>
    <x v="3"/>
    <x v="0"/>
    <n v="130"/>
    <s v="Roch Cousineau"/>
    <x v="5"/>
    <n v="0.92569727358316922"/>
  </r>
  <r>
    <x v="650"/>
    <x v="0"/>
    <x v="29"/>
    <x v="0"/>
    <x v="1"/>
    <n v="72"/>
    <s v="Adrien Martin"/>
    <x v="3"/>
    <n v="5.1617712648309166E-2"/>
  </r>
  <r>
    <x v="651"/>
    <x v="1"/>
    <x v="43"/>
    <x v="1"/>
    <x v="0"/>
    <n v="65"/>
    <s v="Albain Forestier"/>
    <x v="14"/>
    <n v="0.41231097451925036"/>
  </r>
  <r>
    <x v="652"/>
    <x v="2"/>
    <x v="40"/>
    <x v="2"/>
    <x v="1"/>
    <n v="250"/>
    <s v="Roch Cousineau"/>
    <x v="9"/>
    <n v="0.73768091116685364"/>
  </r>
  <r>
    <x v="653"/>
    <x v="3"/>
    <x v="78"/>
    <x v="3"/>
    <x v="0"/>
    <n v="130"/>
    <s v="Adrien Martin"/>
    <x v="9"/>
    <n v="0.76163500701320919"/>
  </r>
  <r>
    <x v="654"/>
    <x v="4"/>
    <x v="43"/>
    <x v="4"/>
    <x v="0"/>
    <n v="60"/>
    <s v="Albain Forestier"/>
    <x v="14"/>
    <n v="0.48619231961540232"/>
  </r>
  <r>
    <x v="655"/>
    <x v="5"/>
    <x v="48"/>
    <x v="5"/>
    <x v="1"/>
    <n v="95"/>
    <s v="Roch Cousineau"/>
    <x v="2"/>
    <n v="1.8769882440624497E-2"/>
  </r>
  <r>
    <x v="656"/>
    <x v="0"/>
    <x v="42"/>
    <x v="0"/>
    <x v="1"/>
    <n v="72"/>
    <s v="Adrien Martin"/>
    <x v="5"/>
    <n v="0.14895106796934376"/>
  </r>
  <r>
    <x v="657"/>
    <x v="1"/>
    <x v="59"/>
    <x v="1"/>
    <x v="1"/>
    <n v="65"/>
    <s v="Albain Forestier"/>
    <x v="0"/>
    <n v="0.46097426734448044"/>
  </r>
  <r>
    <x v="658"/>
    <x v="2"/>
    <x v="61"/>
    <x v="2"/>
    <x v="0"/>
    <n v="250"/>
    <s v="Roch Cousineau"/>
    <x v="9"/>
    <n v="0.48595510556399935"/>
  </r>
  <r>
    <x v="659"/>
    <x v="3"/>
    <x v="77"/>
    <x v="3"/>
    <x v="0"/>
    <n v="130"/>
    <s v="Adrien Martin"/>
    <x v="9"/>
    <n v="0.49645133773297312"/>
  </r>
  <r>
    <x v="660"/>
    <x v="0"/>
    <x v="69"/>
    <x v="0"/>
    <x v="0"/>
    <n v="72"/>
    <s v="Albain Forestier"/>
    <x v="6"/>
    <n v="0.39979206140646328"/>
  </r>
  <r>
    <x v="661"/>
    <x v="1"/>
    <x v="19"/>
    <x v="1"/>
    <x v="0"/>
    <n v="65"/>
    <s v="Roch Cousineau"/>
    <x v="4"/>
    <n v="0.33911743686387963"/>
  </r>
  <r>
    <x v="662"/>
    <x v="2"/>
    <x v="46"/>
    <x v="2"/>
    <x v="0"/>
    <n v="250"/>
    <s v="Adrien Martin"/>
    <x v="11"/>
    <n v="0.97977713928565113"/>
  </r>
  <r>
    <x v="663"/>
    <x v="3"/>
    <x v="69"/>
    <x v="3"/>
    <x v="0"/>
    <n v="130"/>
    <s v="Albain Forestier"/>
    <x v="3"/>
    <n v="0.6109174011527585"/>
  </r>
  <r>
    <x v="664"/>
    <x v="4"/>
    <x v="54"/>
    <x v="4"/>
    <x v="0"/>
    <n v="60"/>
    <s v="Roch Cousineau"/>
    <x v="7"/>
    <n v="0.64946970977867791"/>
  </r>
  <r>
    <x v="665"/>
    <x v="0"/>
    <x v="71"/>
    <x v="0"/>
    <x v="0"/>
    <n v="72"/>
    <s v="Adrien Martin"/>
    <x v="5"/>
    <n v="0.91655117171325617"/>
  </r>
  <r>
    <x v="666"/>
    <x v="1"/>
    <x v="48"/>
    <x v="1"/>
    <x v="0"/>
    <n v="65"/>
    <s v="Albain Forestier"/>
    <x v="5"/>
    <n v="0.21388442719462175"/>
  </r>
  <r>
    <x v="667"/>
    <x v="2"/>
    <x v="37"/>
    <x v="2"/>
    <x v="1"/>
    <n v="250"/>
    <s v="Roch Cousineau"/>
    <x v="9"/>
    <n v="0.67965580672565484"/>
  </r>
  <r>
    <x v="668"/>
    <x v="3"/>
    <x v="49"/>
    <x v="3"/>
    <x v="0"/>
    <n v="130"/>
    <s v="Adrien Martin"/>
    <x v="4"/>
    <n v="0.93075913165720636"/>
  </r>
  <r>
    <x v="669"/>
    <x v="0"/>
    <x v="50"/>
    <x v="0"/>
    <x v="0"/>
    <n v="72"/>
    <s v="Albain Forestier"/>
    <x v="14"/>
    <n v="0.53372051316719971"/>
  </r>
  <r>
    <x v="670"/>
    <x v="1"/>
    <x v="67"/>
    <x v="1"/>
    <x v="0"/>
    <n v="65"/>
    <s v="Roch Cousineau"/>
    <x v="0"/>
    <n v="0.38495537495317045"/>
  </r>
  <r>
    <x v="671"/>
    <x v="2"/>
    <x v="68"/>
    <x v="2"/>
    <x v="0"/>
    <n v="250"/>
    <s v="Adrien Martin"/>
    <x v="9"/>
    <n v="0.40887314509867134"/>
  </r>
  <r>
    <x v="672"/>
    <x v="3"/>
    <x v="68"/>
    <x v="3"/>
    <x v="0"/>
    <n v="130"/>
    <s v="Albain Forestier"/>
    <x v="9"/>
    <n v="0.62646818890848532"/>
  </r>
  <r>
    <x v="673"/>
    <x v="4"/>
    <x v="47"/>
    <x v="4"/>
    <x v="1"/>
    <n v="60"/>
    <s v="Roch Cousineau"/>
    <x v="10"/>
    <n v="0.91428142526532741"/>
  </r>
  <r>
    <x v="674"/>
    <x v="5"/>
    <x v="69"/>
    <x v="5"/>
    <x v="0"/>
    <n v="95"/>
    <s v="Adrien Martin"/>
    <x v="2"/>
    <n v="0.47837269545596239"/>
  </r>
  <r>
    <x v="675"/>
    <x v="0"/>
    <x v="77"/>
    <x v="0"/>
    <x v="0"/>
    <n v="72"/>
    <s v="Albain Forestier"/>
    <x v="5"/>
    <n v="0.50782099273816084"/>
  </r>
  <r>
    <x v="676"/>
    <x v="1"/>
    <x v="41"/>
    <x v="1"/>
    <x v="0"/>
    <n v="65"/>
    <s v="Roch Cousineau"/>
    <x v="7"/>
    <n v="0.35954623147742637"/>
  </r>
  <r>
    <x v="677"/>
    <x v="2"/>
    <x v="69"/>
    <x v="2"/>
    <x v="1"/>
    <n v="250"/>
    <s v="Adrien Martin"/>
    <x v="9"/>
    <n v="0.89778883828734468"/>
  </r>
  <r>
    <x v="678"/>
    <x v="3"/>
    <x v="63"/>
    <x v="3"/>
    <x v="1"/>
    <n v="130"/>
    <s v="Albain Forestier"/>
    <x v="9"/>
    <n v="0.52605003087180424"/>
  </r>
  <r>
    <x v="679"/>
    <x v="0"/>
    <x v="41"/>
    <x v="0"/>
    <x v="1"/>
    <n v="72"/>
    <s v="Roch Cousineau"/>
    <x v="0"/>
    <n v="0.97043240344433268"/>
  </r>
  <r>
    <x v="680"/>
    <x v="1"/>
    <x v="45"/>
    <x v="1"/>
    <x v="1"/>
    <n v="65"/>
    <s v="Adrien Martin"/>
    <x v="14"/>
    <n v="0.41796622132143224"/>
  </r>
  <r>
    <x v="681"/>
    <x v="2"/>
    <x v="57"/>
    <x v="2"/>
    <x v="1"/>
    <n v="250"/>
    <s v="Albain Forestier"/>
    <x v="2"/>
    <n v="0.94239161980030073"/>
  </r>
  <r>
    <x v="682"/>
    <x v="3"/>
    <x v="64"/>
    <x v="3"/>
    <x v="1"/>
    <n v="130"/>
    <s v="Roch Cousineau"/>
    <x v="1"/>
    <n v="0.99495324108678407"/>
  </r>
  <r>
    <x v="683"/>
    <x v="0"/>
    <x v="33"/>
    <x v="0"/>
    <x v="0"/>
    <n v="72"/>
    <s v="Roch Cousineau"/>
    <x v="14"/>
    <n v="0.82610652677817153"/>
  </r>
  <r>
    <x v="684"/>
    <x v="1"/>
    <x v="40"/>
    <x v="1"/>
    <x v="1"/>
    <n v="65"/>
    <s v="Adrien Martin"/>
    <x v="8"/>
    <n v="0.8954152635513879"/>
  </r>
  <r>
    <x v="685"/>
    <x v="2"/>
    <x v="70"/>
    <x v="2"/>
    <x v="0"/>
    <n v="250"/>
    <s v="Albain Forestier"/>
    <x v="11"/>
    <n v="0.48824657379937497"/>
  </r>
  <r>
    <x v="686"/>
    <x v="3"/>
    <x v="55"/>
    <x v="3"/>
    <x v="1"/>
    <n v="130"/>
    <s v="Roch Cousineau"/>
    <x v="9"/>
    <n v="0.55685410586338269"/>
  </r>
  <r>
    <x v="687"/>
    <x v="0"/>
    <x v="48"/>
    <x v="0"/>
    <x v="0"/>
    <n v="72"/>
    <s v="Adrien Martin"/>
    <x v="14"/>
    <n v="0.85645132890346298"/>
  </r>
  <r>
    <x v="688"/>
    <x v="1"/>
    <x v="78"/>
    <x v="1"/>
    <x v="1"/>
    <n v="65"/>
    <s v="Albain Forestier"/>
    <x v="4"/>
    <n v="0.74486024375009252"/>
  </r>
  <r>
    <x v="689"/>
    <x v="2"/>
    <x v="65"/>
    <x v="2"/>
    <x v="0"/>
    <n v="250"/>
    <s v="Roch Cousineau"/>
    <x v="2"/>
    <n v="0.29106146100579278"/>
  </r>
  <r>
    <x v="690"/>
    <x v="3"/>
    <x v="80"/>
    <x v="3"/>
    <x v="1"/>
    <n v="130"/>
    <s v="Adrien Martin"/>
    <x v="4"/>
    <n v="0.61101994435760032"/>
  </r>
  <r>
    <x v="691"/>
    <x v="4"/>
    <x v="42"/>
    <x v="4"/>
    <x v="0"/>
    <n v="60"/>
    <s v="Albain Forestier"/>
    <x v="8"/>
    <n v="8.9379346353689937E-2"/>
  </r>
  <r>
    <x v="692"/>
    <x v="0"/>
    <x v="21"/>
    <x v="0"/>
    <x v="1"/>
    <n v="72"/>
    <s v="Roch Cousineau"/>
    <x v="2"/>
    <n v="0.33874466861694641"/>
  </r>
  <r>
    <x v="693"/>
    <x v="1"/>
    <x v="30"/>
    <x v="1"/>
    <x v="0"/>
    <n v="65"/>
    <s v="Adrien Martin"/>
    <x v="6"/>
    <n v="0.38603922803934299"/>
  </r>
  <r>
    <x v="694"/>
    <x v="2"/>
    <x v="17"/>
    <x v="2"/>
    <x v="1"/>
    <n v="250"/>
    <s v="Albain Forestier"/>
    <x v="2"/>
    <n v="0.22223737062540039"/>
  </r>
  <r>
    <x v="695"/>
    <x v="3"/>
    <x v="48"/>
    <x v="3"/>
    <x v="0"/>
    <n v="130"/>
    <s v="Roch Cousineau"/>
    <x v="3"/>
    <n v="9.8257317150038714E-2"/>
  </r>
  <r>
    <x v="696"/>
    <x v="0"/>
    <x v="17"/>
    <x v="0"/>
    <x v="1"/>
    <n v="72"/>
    <s v="Adrien Martin"/>
    <x v="6"/>
    <n v="0.74189391975650065"/>
  </r>
  <r>
    <x v="697"/>
    <x v="1"/>
    <x v="75"/>
    <x v="1"/>
    <x v="0"/>
    <n v="65"/>
    <s v="Albain Forestier"/>
    <x v="1"/>
    <n v="0.36012559863574833"/>
  </r>
  <r>
    <x v="698"/>
    <x v="2"/>
    <x v="44"/>
    <x v="2"/>
    <x v="1"/>
    <n v="250"/>
    <s v="Roch Cousineau"/>
    <x v="9"/>
    <n v="0.72894460900666813"/>
  </r>
  <r>
    <x v="699"/>
    <x v="3"/>
    <x v="41"/>
    <x v="3"/>
    <x v="0"/>
    <n v="130"/>
    <s v="Adrien Martin"/>
    <x v="1"/>
    <n v="0.25472743611826798"/>
  </r>
  <r>
    <x v="700"/>
    <x v="4"/>
    <x v="37"/>
    <x v="4"/>
    <x v="0"/>
    <n v="60"/>
    <s v="Albain Forestier"/>
    <x v="0"/>
    <n v="0.64520103262567519"/>
  </r>
  <r>
    <x v="701"/>
    <x v="5"/>
    <x v="65"/>
    <x v="5"/>
    <x v="1"/>
    <n v="95"/>
    <s v="Roch Cousineau"/>
    <x v="9"/>
    <n v="0.85834618445557076"/>
  </r>
  <r>
    <x v="702"/>
    <x v="0"/>
    <x v="40"/>
    <x v="0"/>
    <x v="1"/>
    <n v="72"/>
    <s v="Adrien Martin"/>
    <x v="3"/>
    <n v="0.67452176574514444"/>
  </r>
  <r>
    <x v="703"/>
    <x v="1"/>
    <x v="26"/>
    <x v="1"/>
    <x v="1"/>
    <n v="65"/>
    <s v="Albain Forestier"/>
    <x v="8"/>
    <n v="0.99178043795711279"/>
  </r>
  <r>
    <x v="704"/>
    <x v="2"/>
    <x v="46"/>
    <x v="2"/>
    <x v="0"/>
    <n v="250"/>
    <s v="Roch Cousineau"/>
    <x v="2"/>
    <n v="0.9385648070468553"/>
  </r>
  <r>
    <x v="705"/>
    <x v="3"/>
    <x v="82"/>
    <x v="3"/>
    <x v="0"/>
    <n v="130"/>
    <s v="Adrien Martin"/>
    <x v="9"/>
    <n v="0.43276298715831341"/>
  </r>
  <r>
    <x v="706"/>
    <x v="0"/>
    <x v="56"/>
    <x v="0"/>
    <x v="0"/>
    <n v="72"/>
    <s v="Albain Forestier"/>
    <x v="3"/>
    <n v="0.75087271422927226"/>
  </r>
  <r>
    <x v="707"/>
    <x v="1"/>
    <x v="62"/>
    <x v="1"/>
    <x v="0"/>
    <n v="65"/>
    <s v="Roch Cousineau"/>
    <x v="5"/>
    <n v="0.37390130616314743"/>
  </r>
  <r>
    <x v="708"/>
    <x v="2"/>
    <x v="74"/>
    <x v="2"/>
    <x v="0"/>
    <n v="250"/>
    <s v="Adrien Martin"/>
    <x v="11"/>
    <n v="7.958389125738996E-2"/>
  </r>
  <r>
    <x v="709"/>
    <x v="3"/>
    <x v="26"/>
    <x v="3"/>
    <x v="0"/>
    <n v="130"/>
    <s v="Albain Forestier"/>
    <x v="4"/>
    <n v="0.93577718907447893"/>
  </r>
  <r>
    <x v="710"/>
    <x v="4"/>
    <x v="43"/>
    <x v="4"/>
    <x v="0"/>
    <n v="60"/>
    <s v="Roch Cousineau"/>
    <x v="1"/>
    <n v="0.11212687121504938"/>
  </r>
  <r>
    <x v="711"/>
    <x v="0"/>
    <x v="57"/>
    <x v="0"/>
    <x v="0"/>
    <n v="72"/>
    <s v="Adrien Martin"/>
    <x v="5"/>
    <n v="0.31699553933147639"/>
  </r>
  <r>
    <x v="712"/>
    <x v="1"/>
    <x v="40"/>
    <x v="1"/>
    <x v="0"/>
    <n v="65"/>
    <s v="Albain Forestier"/>
    <x v="12"/>
    <n v="0.5650030731710679"/>
  </r>
  <r>
    <x v="713"/>
    <x v="2"/>
    <x v="32"/>
    <x v="2"/>
    <x v="1"/>
    <n v="250"/>
    <s v="Roch Cousineau"/>
    <x v="11"/>
    <n v="0.56767177604493713"/>
  </r>
  <r>
    <x v="714"/>
    <x v="3"/>
    <x v="33"/>
    <x v="3"/>
    <x v="0"/>
    <n v="130"/>
    <s v="Adrien Martin"/>
    <x v="9"/>
    <n v="0.18983860176070388"/>
  </r>
  <r>
    <x v="715"/>
    <x v="0"/>
    <x v="49"/>
    <x v="0"/>
    <x v="0"/>
    <n v="72"/>
    <s v="Albain Forestier"/>
    <x v="7"/>
    <n v="0.10171111588836379"/>
  </r>
  <r>
    <x v="716"/>
    <x v="1"/>
    <x v="33"/>
    <x v="1"/>
    <x v="0"/>
    <n v="65"/>
    <s v="Roch Cousineau"/>
    <x v="6"/>
    <n v="0.13185478048975852"/>
  </r>
  <r>
    <x v="717"/>
    <x v="2"/>
    <x v="79"/>
    <x v="2"/>
    <x v="0"/>
    <n v="250"/>
    <s v="Adrien Martin"/>
    <x v="9"/>
    <n v="0.10661718280796217"/>
  </r>
  <r>
    <x v="718"/>
    <x v="3"/>
    <x v="82"/>
    <x v="3"/>
    <x v="0"/>
    <n v="130"/>
    <s v="Albain Forestier"/>
    <x v="9"/>
    <n v="0.69088314380179194"/>
  </r>
  <r>
    <x v="719"/>
    <x v="4"/>
    <x v="42"/>
    <x v="4"/>
    <x v="1"/>
    <n v="60"/>
    <s v="Roch Cousineau"/>
    <x v="7"/>
    <n v="0.9084926912639355"/>
  </r>
  <r>
    <x v="720"/>
    <x v="5"/>
    <x v="58"/>
    <x v="5"/>
    <x v="0"/>
    <n v="95"/>
    <s v="Adrien Martin"/>
    <x v="3"/>
    <n v="0.34481519226580426"/>
  </r>
  <r>
    <x v="721"/>
    <x v="0"/>
    <x v="63"/>
    <x v="0"/>
    <x v="0"/>
    <n v="72"/>
    <s v="Albain Forestier"/>
    <x v="0"/>
    <n v="0.10766610225398998"/>
  </r>
  <r>
    <x v="722"/>
    <x v="1"/>
    <x v="72"/>
    <x v="1"/>
    <x v="0"/>
    <n v="65"/>
    <s v="Roch Cousineau"/>
    <x v="4"/>
    <n v="3.9880737314141324E-2"/>
  </r>
  <r>
    <x v="723"/>
    <x v="2"/>
    <x v="79"/>
    <x v="2"/>
    <x v="1"/>
    <n v="250"/>
    <s v="Adrien Martin"/>
    <x v="9"/>
    <n v="0.57728996112962561"/>
  </r>
  <r>
    <x v="724"/>
    <x v="3"/>
    <x v="17"/>
    <x v="3"/>
    <x v="1"/>
    <n v="130"/>
    <s v="Albain Forestier"/>
    <x v="4"/>
    <n v="0.50746615282043561"/>
  </r>
  <r>
    <x v="725"/>
    <x v="0"/>
    <x v="52"/>
    <x v="0"/>
    <x v="1"/>
    <n v="72"/>
    <s v="Roch Cousineau"/>
    <x v="3"/>
    <n v="0.38641305965965944"/>
  </r>
  <r>
    <x v="726"/>
    <x v="1"/>
    <x v="74"/>
    <x v="1"/>
    <x v="1"/>
    <n v="65"/>
    <s v="Adrien Martin"/>
    <x v="14"/>
    <n v="0.43475423195858509"/>
  </r>
  <r>
    <x v="727"/>
    <x v="2"/>
    <x v="75"/>
    <x v="2"/>
    <x v="1"/>
    <n v="250"/>
    <s v="Albain Forestier"/>
    <x v="9"/>
    <n v="0.71368771464593506"/>
  </r>
  <r>
    <x v="728"/>
    <x v="3"/>
    <x v="57"/>
    <x v="3"/>
    <x v="1"/>
    <n v="130"/>
    <s v="Roch Cousineau"/>
    <x v="2"/>
    <n v="0.20906228384370429"/>
  </r>
  <r>
    <x v="729"/>
    <x v="0"/>
    <x v="38"/>
    <x v="0"/>
    <x v="1"/>
    <n v="72"/>
    <s v="Roch Cousineau"/>
    <x v="6"/>
    <n v="0.18088401242340468"/>
  </r>
  <r>
    <x v="730"/>
    <x v="1"/>
    <x v="53"/>
    <x v="1"/>
    <x v="0"/>
    <n v="65"/>
    <s v="Adrien Martin"/>
    <x v="12"/>
    <n v="0.94010843457556803"/>
  </r>
  <r>
    <x v="731"/>
    <x v="2"/>
    <x v="78"/>
    <x v="2"/>
    <x v="0"/>
    <n v="250"/>
    <s v="Albain Forestier"/>
    <x v="11"/>
    <n v="9.462432937167653E-2"/>
  </r>
  <r>
    <x v="732"/>
    <x v="3"/>
    <x v="82"/>
    <x v="3"/>
    <x v="0"/>
    <n v="130"/>
    <s v="Roch Cousineau"/>
    <x v="3"/>
    <n v="0.31262306790968319"/>
  </r>
  <r>
    <x v="733"/>
    <x v="0"/>
    <x v="61"/>
    <x v="0"/>
    <x v="1"/>
    <n v="72"/>
    <s v="Adrien Martin"/>
    <x v="12"/>
    <n v="0.82639989410686465"/>
  </r>
  <r>
    <x v="734"/>
    <x v="1"/>
    <x v="21"/>
    <x v="1"/>
    <x v="1"/>
    <n v="65"/>
    <s v="Albain Forestier"/>
    <x v="14"/>
    <n v="0.20558371446336443"/>
  </r>
  <r>
    <x v="735"/>
    <x v="2"/>
    <x v="32"/>
    <x v="2"/>
    <x v="1"/>
    <n v="250"/>
    <s v="Roch Cousineau"/>
    <x v="9"/>
    <n v="0.44062033618193508"/>
  </r>
  <r>
    <x v="736"/>
    <x v="3"/>
    <x v="54"/>
    <x v="3"/>
    <x v="1"/>
    <n v="130"/>
    <s v="Adrien Martin"/>
    <x v="4"/>
    <n v="0.85156915803983224"/>
  </r>
  <r>
    <x v="737"/>
    <x v="4"/>
    <x v="70"/>
    <x v="4"/>
    <x v="1"/>
    <n v="60"/>
    <s v="Albain Forestier"/>
    <x v="4"/>
    <n v="0.97299309280984203"/>
  </r>
  <r>
    <x v="738"/>
    <x v="0"/>
    <x v="30"/>
    <x v="0"/>
    <x v="1"/>
    <n v="72"/>
    <s v="Roch Cousineau"/>
    <x v="7"/>
    <n v="0.39789406613584033"/>
  </r>
  <r>
    <x v="739"/>
    <x v="1"/>
    <x v="71"/>
    <x v="1"/>
    <x v="1"/>
    <n v="65"/>
    <s v="Adrien Martin"/>
    <x v="3"/>
    <n v="0.56499686229552426"/>
  </r>
  <r>
    <x v="740"/>
    <x v="2"/>
    <x v="82"/>
    <x v="2"/>
    <x v="0"/>
    <n v="250"/>
    <s v="Albain Forestier"/>
    <x v="2"/>
    <n v="0.12526778977109398"/>
  </r>
  <r>
    <x v="741"/>
    <x v="3"/>
    <x v="67"/>
    <x v="3"/>
    <x v="0"/>
    <n v="130"/>
    <s v="Roch Cousineau"/>
    <x v="9"/>
    <n v="0.94472221707045301"/>
  </r>
  <r>
    <x v="742"/>
    <x v="0"/>
    <x v="43"/>
    <x v="0"/>
    <x v="0"/>
    <n v="72"/>
    <s v="Adrien Martin"/>
    <x v="1"/>
    <n v="0.68804675065768217"/>
  </r>
  <r>
    <x v="743"/>
    <x v="1"/>
    <x v="52"/>
    <x v="1"/>
    <x v="1"/>
    <n v="65"/>
    <s v="Albain Forestier"/>
    <x v="7"/>
    <n v="0.23382646587124989"/>
  </r>
  <r>
    <x v="744"/>
    <x v="2"/>
    <x v="41"/>
    <x v="2"/>
    <x v="1"/>
    <n v="250"/>
    <s v="Roch Cousineau"/>
    <x v="2"/>
    <n v="0.2780246691704793"/>
  </r>
  <r>
    <x v="745"/>
    <x v="3"/>
    <x v="63"/>
    <x v="3"/>
    <x v="1"/>
    <n v="130"/>
    <s v="Adrien Martin"/>
    <x v="4"/>
    <n v="0.13755250034459843"/>
  </r>
  <r>
    <x v="746"/>
    <x v="4"/>
    <x v="63"/>
    <x v="4"/>
    <x v="1"/>
    <n v="60"/>
    <s v="Albain Forestier"/>
    <x v="0"/>
    <n v="4.903310270287764E-2"/>
  </r>
  <r>
    <x v="747"/>
    <x v="5"/>
    <x v="74"/>
    <x v="5"/>
    <x v="1"/>
    <n v="95"/>
    <s v="Roch Cousineau"/>
    <x v="2"/>
    <n v="0.24049705757408391"/>
  </r>
  <r>
    <x v="748"/>
    <x v="0"/>
    <x v="80"/>
    <x v="0"/>
    <x v="1"/>
    <n v="72"/>
    <s v="Adrien Martin"/>
    <x v="0"/>
    <n v="0.4140741962298905"/>
  </r>
  <r>
    <x v="749"/>
    <x v="1"/>
    <x v="37"/>
    <x v="1"/>
    <x v="1"/>
    <n v="65"/>
    <s v="Albain Forestier"/>
    <x v="7"/>
    <n v="0.70806658946618994"/>
  </r>
  <r>
    <x v="750"/>
    <x v="2"/>
    <x v="58"/>
    <x v="2"/>
    <x v="0"/>
    <n v="250"/>
    <s v="Roch Cousineau"/>
    <x v="2"/>
    <n v="0.91355107855798046"/>
  </r>
  <r>
    <x v="751"/>
    <x v="3"/>
    <x v="67"/>
    <x v="3"/>
    <x v="0"/>
    <n v="130"/>
    <s v="Adrien Martin"/>
    <x v="4"/>
    <n v="0.42043950410676978"/>
  </r>
  <r>
    <x v="752"/>
    <x v="0"/>
    <x v="45"/>
    <x v="0"/>
    <x v="0"/>
    <n v="72"/>
    <s v="Albain Forestier"/>
    <x v="12"/>
    <n v="8.2372004878428218E-2"/>
  </r>
  <r>
    <x v="753"/>
    <x v="1"/>
    <x v="77"/>
    <x v="1"/>
    <x v="1"/>
    <n v="65"/>
    <s v="Roch Cousineau"/>
    <x v="6"/>
    <n v="0.29967043627430223"/>
  </r>
  <r>
    <x v="754"/>
    <x v="2"/>
    <x v="39"/>
    <x v="2"/>
    <x v="1"/>
    <n v="250"/>
    <s v="Adrien Martin"/>
    <x v="2"/>
    <n v="0.48848673149616118"/>
  </r>
  <r>
    <x v="755"/>
    <x v="3"/>
    <x v="17"/>
    <x v="3"/>
    <x v="1"/>
    <n v="130"/>
    <s v="Albain Forestier"/>
    <x v="2"/>
    <n v="0.92686727966862859"/>
  </r>
  <r>
    <x v="756"/>
    <x v="4"/>
    <x v="74"/>
    <x v="4"/>
    <x v="1"/>
    <n v="60"/>
    <s v="Roch Cousineau"/>
    <x v="8"/>
    <n v="0.24604941311305861"/>
  </r>
  <r>
    <x v="757"/>
    <x v="0"/>
    <x v="26"/>
    <x v="0"/>
    <x v="1"/>
    <n v="72"/>
    <s v="Adrien Martin"/>
    <x v="7"/>
    <n v="0.82979651812060684"/>
  </r>
  <r>
    <x v="758"/>
    <x v="1"/>
    <x v="48"/>
    <x v="1"/>
    <x v="1"/>
    <n v="65"/>
    <s v="Albain Forestier"/>
    <x v="3"/>
    <n v="0.57360327856463267"/>
  </r>
  <r>
    <x v="759"/>
    <x v="2"/>
    <x v="58"/>
    <x v="2"/>
    <x v="0"/>
    <n v="250"/>
    <s v="Roch Cousineau"/>
    <x v="2"/>
    <n v="0.12388631405147943"/>
  </r>
  <r>
    <x v="760"/>
    <x v="3"/>
    <x v="74"/>
    <x v="3"/>
    <x v="1"/>
    <n v="130"/>
    <s v="Adrien Martin"/>
    <x v="3"/>
    <n v="0.49356857866168768"/>
  </r>
  <r>
    <x v="761"/>
    <x v="0"/>
    <x v="50"/>
    <x v="0"/>
    <x v="0"/>
    <n v="72"/>
    <s v="Albain Forestier"/>
    <x v="0"/>
    <n v="0.74498196859498311"/>
  </r>
  <r>
    <x v="762"/>
    <x v="1"/>
    <x v="49"/>
    <x v="1"/>
    <x v="1"/>
    <n v="65"/>
    <s v="Roch Cousineau"/>
    <x v="4"/>
    <n v="0.90637006355939365"/>
  </r>
  <r>
    <x v="763"/>
    <x v="2"/>
    <x v="46"/>
    <x v="2"/>
    <x v="0"/>
    <n v="250"/>
    <s v="Adrien Martin"/>
    <x v="2"/>
    <n v="0.18955723718051087"/>
  </r>
  <r>
    <x v="764"/>
    <x v="3"/>
    <x v="38"/>
    <x v="3"/>
    <x v="1"/>
    <n v="130"/>
    <s v="Albain Forestier"/>
    <x v="1"/>
    <n v="0.40001420489426442"/>
  </r>
  <r>
    <x v="765"/>
    <x v="4"/>
    <x v="80"/>
    <x v="4"/>
    <x v="0"/>
    <n v="60"/>
    <s v="Roch Cousineau"/>
    <x v="1"/>
    <n v="0.97242819266185254"/>
  </r>
  <r>
    <x v="766"/>
    <x v="5"/>
    <x v="42"/>
    <x v="5"/>
    <x v="1"/>
    <n v="95"/>
    <s v="Adrien Martin"/>
    <x v="1"/>
    <n v="0.30607136259929757"/>
  </r>
  <r>
    <x v="767"/>
    <x v="0"/>
    <x v="79"/>
    <x v="0"/>
    <x v="0"/>
    <n v="72"/>
    <s v="Albain Forestier"/>
    <x v="3"/>
    <n v="0.93184155266186908"/>
  </r>
  <r>
    <x v="768"/>
    <x v="1"/>
    <x v="46"/>
    <x v="1"/>
    <x v="1"/>
    <n v="65"/>
    <s v="Roch Cousineau"/>
    <x v="5"/>
    <n v="0.605602735813907"/>
  </r>
  <r>
    <x v="769"/>
    <x v="2"/>
    <x v="42"/>
    <x v="2"/>
    <x v="0"/>
    <n v="250"/>
    <s v="Adrien Martin"/>
    <x v="9"/>
    <n v="6.4108287922869711E-2"/>
  </r>
  <r>
    <x v="770"/>
    <x v="3"/>
    <x v="47"/>
    <x v="3"/>
    <x v="1"/>
    <n v="130"/>
    <s v="Albain Forestier"/>
    <x v="9"/>
    <n v="0.83734663241084373"/>
  </r>
  <r>
    <x v="771"/>
    <x v="0"/>
    <x v="47"/>
    <x v="0"/>
    <x v="0"/>
    <n v="72"/>
    <s v="Roch Cousineau"/>
    <x v="4"/>
    <n v="9.5377098997816656E-2"/>
  </r>
  <r>
    <x v="772"/>
    <x v="1"/>
    <x v="19"/>
    <x v="1"/>
    <x v="1"/>
    <n v="65"/>
    <s v="Adrien Martin"/>
    <x v="14"/>
    <n v="6.0106378095124646E-2"/>
  </r>
  <r>
    <x v="773"/>
    <x v="2"/>
    <x v="80"/>
    <x v="2"/>
    <x v="0"/>
    <n v="250"/>
    <s v="Albain Forestier"/>
    <x v="11"/>
    <n v="0.56214508266094976"/>
  </r>
  <r>
    <x v="774"/>
    <x v="3"/>
    <x v="54"/>
    <x v="0"/>
    <x v="1"/>
    <n v="72"/>
    <s v="Roch Cousineau"/>
    <x v="7"/>
    <n v="0.65945549018400251"/>
  </r>
  <r>
    <x v="775"/>
    <x v="0"/>
    <x v="43"/>
    <x v="1"/>
    <x v="0"/>
    <n v="65"/>
    <s v="Roch Cousineau"/>
    <x v="12"/>
    <n v="9.7217342416049735E-2"/>
  </r>
  <r>
    <x v="776"/>
    <x v="1"/>
    <x v="81"/>
    <x v="2"/>
    <x v="1"/>
    <n v="250"/>
    <s v="Adrien Martin"/>
    <x v="9"/>
    <n v="0.90408302057029866"/>
  </r>
  <r>
    <x v="777"/>
    <x v="2"/>
    <x v="48"/>
    <x v="3"/>
    <x v="1"/>
    <n v="130"/>
    <s v="Albain Forestier"/>
    <x v="1"/>
    <n v="2.802564733906121E-2"/>
  </r>
  <r>
    <x v="778"/>
    <x v="3"/>
    <x v="37"/>
    <x v="0"/>
    <x v="1"/>
    <n v="72"/>
    <s v="Roch Cousineau"/>
    <x v="5"/>
    <n v="0.71120441150007396"/>
  </r>
  <r>
    <x v="779"/>
    <x v="0"/>
    <x v="66"/>
    <x v="1"/>
    <x v="1"/>
    <n v="65"/>
    <s v="Adrien Martin"/>
    <x v="4"/>
    <n v="0.87344605107510953"/>
  </r>
  <r>
    <x v="780"/>
    <x v="1"/>
    <x v="63"/>
    <x v="2"/>
    <x v="1"/>
    <n v="250"/>
    <s v="Albain Forestier"/>
    <x v="9"/>
    <n v="0.42576265833789206"/>
  </r>
  <r>
    <x v="781"/>
    <x v="2"/>
    <x v="39"/>
    <x v="3"/>
    <x v="0"/>
    <n v="130"/>
    <s v="Roch Cousineau"/>
    <x v="4"/>
    <n v="0.99431633482911141"/>
  </r>
  <r>
    <x v="782"/>
    <x v="3"/>
    <x v="42"/>
    <x v="4"/>
    <x v="1"/>
    <n v="60"/>
    <s v="Adrien Martin"/>
    <x v="0"/>
    <n v="0.83379542340006507"/>
  </r>
  <r>
    <x v="783"/>
    <x v="4"/>
    <x v="30"/>
    <x v="0"/>
    <x v="0"/>
    <n v="72"/>
    <s v="Albain Forestier"/>
    <x v="4"/>
    <n v="0.86270868463233819"/>
  </r>
  <r>
    <x v="784"/>
    <x v="0"/>
    <x v="66"/>
    <x v="1"/>
    <x v="1"/>
    <n v="65"/>
    <s v="Roch Cousineau"/>
    <x v="3"/>
    <n v="0.8006986500022415"/>
  </r>
  <r>
    <x v="785"/>
    <x v="1"/>
    <x v="42"/>
    <x v="2"/>
    <x v="0"/>
    <n v="250"/>
    <s v="Adrien Martin"/>
    <x v="2"/>
    <n v="0.12330496180695216"/>
  </r>
  <r>
    <x v="786"/>
    <x v="2"/>
    <x v="83"/>
    <x v="3"/>
    <x v="1"/>
    <n v="130"/>
    <s v="Albain Forestier"/>
    <x v="4"/>
    <n v="0.44053260455285659"/>
  </r>
  <r>
    <x v="787"/>
    <x v="3"/>
    <x v="79"/>
    <x v="0"/>
    <x v="0"/>
    <n v="72"/>
    <s v="Roch Cousineau"/>
    <x v="3"/>
    <n v="0.90107274333990106"/>
  </r>
  <r>
    <x v="788"/>
    <x v="0"/>
    <x v="70"/>
    <x v="1"/>
    <x v="1"/>
    <n v="65"/>
    <s v="Adrien Martin"/>
    <x v="1"/>
    <n v="0.62827063335561051"/>
  </r>
  <r>
    <x v="789"/>
    <x v="1"/>
    <x v="55"/>
    <x v="2"/>
    <x v="0"/>
    <n v="250"/>
    <s v="Albain Forestier"/>
    <x v="11"/>
    <n v="0.77817956498712648"/>
  </r>
  <r>
    <x v="790"/>
    <x v="2"/>
    <x v="51"/>
    <x v="3"/>
    <x v="1"/>
    <n v="130"/>
    <s v="Roch Cousineau"/>
    <x v="5"/>
    <n v="0.46665065193471955"/>
  </r>
  <r>
    <x v="791"/>
    <x v="3"/>
    <x v="77"/>
    <x v="4"/>
    <x v="0"/>
    <n v="60"/>
    <s v="Adrien Martin"/>
    <x v="8"/>
    <n v="0.93579874568250077"/>
  </r>
  <r>
    <x v="792"/>
    <x v="4"/>
    <x v="30"/>
    <x v="5"/>
    <x v="1"/>
    <n v="95"/>
    <s v="Albain Forestier"/>
    <x v="5"/>
    <n v="0.52084898142516889"/>
  </r>
  <r>
    <x v="793"/>
    <x v="5"/>
    <x v="70"/>
    <x v="0"/>
    <x v="0"/>
    <n v="72"/>
    <s v="Roch Cousineau"/>
    <x v="7"/>
    <n v="0.477229438179363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75DA0C-85DC-44CE-8402-6B1FDE45B5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R24:S28"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pivotField showAll="0"/>
    <pivotField showAll="0"/>
    <pivotField dataField="1" showAll="0">
      <items count="11">
        <item h="1" x="6"/>
        <item h="1" x="4"/>
        <item h="1" x="7"/>
        <item h="1" x="5"/>
        <item h="1" x="9"/>
        <item x="3"/>
        <item h="1" x="1"/>
        <item h="1" x="2"/>
        <item h="1" x="0"/>
        <item h="1"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Average of Rating Given" fld="9" subtotal="average" baseField="5" baseItem="0"/>
  </dataFields>
  <chartFormats count="2">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8187F6-982E-415C-8D7E-7ACA5F039F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2:E26"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4">
        <item x="2"/>
        <item x="0"/>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Count of Contact Type" fld="5"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587CFD-8E5F-431A-BB45-296027E231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6:P10"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pivotField axis="axisRow"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Contact Type" fld="5" subtotal="count" baseField="0" baseItem="0"/>
  </dataFields>
  <chartFormats count="2">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CB1FAB-9724-4FF5-A313-112C640A885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4:B8" firstHeaderRow="1" firstDataRow="1" firstDataCol="1"/>
  <pivotFields count="12">
    <pivotField showAll="0"/>
    <pivotField showAll="0"/>
    <pivotField showAll="0"/>
    <pivotField showAll="0">
      <items count="40">
        <item x="10"/>
        <item x="17"/>
        <item x="6"/>
        <item x="26"/>
        <item x="2"/>
        <item x="32"/>
        <item x="30"/>
        <item x="24"/>
        <item x="36"/>
        <item x="8"/>
        <item x="34"/>
        <item x="29"/>
        <item x="12"/>
        <item x="16"/>
        <item x="23"/>
        <item x="3"/>
        <item x="37"/>
        <item x="33"/>
        <item x="38"/>
        <item x="22"/>
        <item x="9"/>
        <item x="28"/>
        <item x="31"/>
        <item x="18"/>
        <item x="13"/>
        <item x="7"/>
        <item x="5"/>
        <item x="20"/>
        <item x="27"/>
        <item x="25"/>
        <item x="11"/>
        <item x="0"/>
        <item x="19"/>
        <item x="4"/>
        <item x="14"/>
        <item x="21"/>
        <item x="1"/>
        <item x="35"/>
        <item x="15"/>
        <item t="default"/>
      </items>
    </pivotField>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Average of Rating Given" fld="9" subtotal="average" baseField="8" baseItem="1"/>
  </dataFields>
  <chartFormats count="2">
    <chartFormat chart="5"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A59E1B-A3B7-42D1-9D6B-6CB41784204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5:B130"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dataField="1" showAll="0"/>
    <pivotField showAll="0"/>
    <pivotField showAll="0"/>
    <pivotField axis="axisRow"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0"/>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Count of Ticket ID" fld="7" subtotal="count" baseField="0" baseItem="0"/>
  </dataFields>
  <chartFormats count="2">
    <chartFormat chart="11"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715291-F0C4-4D24-B779-C4829415323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Q44:R129"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Average of Rating Given" fld="9" subtotal="average" baseField="10" baseItem="187"/>
  </dataFields>
  <chartFormats count="2">
    <chartFormat chart="5"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4468B5-9165-49D7-A6EF-AEEE0FEC9037}" name="PivotTable2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6:B131" firstHeaderRow="1" firstDataRow="1" firstDataCol="1"/>
  <pivotFields count="9">
    <pivotField showAll="0"/>
    <pivotField dataField="1"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8">
        <item x="0"/>
        <item x="1"/>
        <item x="2"/>
        <item x="3"/>
        <item x="4"/>
        <item x="5"/>
        <item x="6"/>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Count of Product ID" fld="1" subtotal="count" baseField="0" baseItem="0"/>
  </dataFields>
  <chartFormats count="2">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2B280E-409C-4784-9729-8AA16F69B8E4}"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R101:S106" firstHeaderRow="1" firstDataRow="1" firstDataCol="1"/>
  <pivotFields count="9">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8">
        <item x="0"/>
        <item x="1"/>
        <item x="2"/>
        <item x="3"/>
        <item x="4"/>
        <item x="5"/>
        <item x="6"/>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Amount in Sales" fld="3" baseField="0" baseItem="0"/>
  </dataFields>
  <chartFormats count="2">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1A6F7D-4A37-435B-A7A5-930D97FAF9A2}"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01:C106" firstHeaderRow="0" firstDataRow="1" firstDataCol="1"/>
  <pivotFields count="9">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8">
        <item x="0"/>
        <item x="1"/>
        <item x="2"/>
        <item x="3"/>
        <item x="4"/>
        <item x="5"/>
        <item x="6"/>
        <item t="default"/>
      </items>
    </pivotField>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8"/>
    <field x="7"/>
    <field x="2"/>
  </rowFields>
  <rowItems count="5">
    <i>
      <x v="6"/>
    </i>
    <i>
      <x v="7"/>
    </i>
    <i>
      <x v="8"/>
    </i>
    <i>
      <x v="9"/>
    </i>
    <i t="grand">
      <x/>
    </i>
  </rowItems>
  <colFields count="1">
    <field x="-2"/>
  </colFields>
  <colItems count="2">
    <i>
      <x/>
    </i>
    <i i="1">
      <x v="1"/>
    </i>
  </colItems>
  <dataFields count="2">
    <dataField name="Sum of Rounded Sales" fld="6" baseField="0" baseItem="0"/>
    <dataField name="Sum of Amount in Sales" fld="3" baseField="0" baseItem="0"/>
  </dataFields>
  <chartFormats count="20">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8" count="1" selected="0">
            <x v="6"/>
          </reference>
        </references>
      </pivotArea>
    </chartFormat>
    <chartFormat chart="5" format="14">
      <pivotArea type="data" outline="0" fieldPosition="0">
        <references count="2">
          <reference field="4294967294" count="1" selected="0">
            <x v="0"/>
          </reference>
          <reference field="8" count="1" selected="0">
            <x v="7"/>
          </reference>
        </references>
      </pivotArea>
    </chartFormat>
    <chartFormat chart="5" format="15">
      <pivotArea type="data" outline="0" fieldPosition="0">
        <references count="2">
          <reference field="4294967294" count="1" selected="0">
            <x v="0"/>
          </reference>
          <reference field="8" count="1" selected="0">
            <x v="8"/>
          </reference>
        </references>
      </pivotArea>
    </chartFormat>
    <chartFormat chart="5" format="16">
      <pivotArea type="data" outline="0" fieldPosition="0">
        <references count="2">
          <reference field="4294967294" count="1" selected="0">
            <x v="0"/>
          </reference>
          <reference field="8" count="1" selected="0">
            <x v="9"/>
          </reference>
        </references>
      </pivotArea>
    </chartFormat>
    <chartFormat chart="5" format="17" series="1">
      <pivotArea type="data" outline="0" fieldPosition="0">
        <references count="1">
          <reference field="4294967294" count="1" selected="0">
            <x v="1"/>
          </reference>
        </references>
      </pivotArea>
    </chartFormat>
    <chartFormat chart="5" format="18">
      <pivotArea type="data" outline="0" fieldPosition="0">
        <references count="2">
          <reference field="4294967294" count="1" selected="0">
            <x v="1"/>
          </reference>
          <reference field="8" count="1" selected="0">
            <x v="6"/>
          </reference>
        </references>
      </pivotArea>
    </chartFormat>
    <chartFormat chart="5" format="19">
      <pivotArea type="data" outline="0" fieldPosition="0">
        <references count="2">
          <reference field="4294967294" count="1" selected="0">
            <x v="1"/>
          </reference>
          <reference field="8" count="1" selected="0">
            <x v="7"/>
          </reference>
        </references>
      </pivotArea>
    </chartFormat>
    <chartFormat chart="5" format="20">
      <pivotArea type="data" outline="0" fieldPosition="0">
        <references count="2">
          <reference field="4294967294" count="1" selected="0">
            <x v="1"/>
          </reference>
          <reference field="8" count="1" selected="0">
            <x v="8"/>
          </reference>
        </references>
      </pivotArea>
    </chartFormat>
    <chartFormat chart="5" format="21">
      <pivotArea type="data" outline="0" fieldPosition="0">
        <references count="2">
          <reference field="4294967294" count="1" selected="0">
            <x v="1"/>
          </reference>
          <reference field="8" count="1" selected="0">
            <x v="9"/>
          </reference>
        </references>
      </pivotArea>
    </chartFormat>
    <chartFormat chart="10" format="32" series="1">
      <pivotArea type="data" outline="0" fieldPosition="0">
        <references count="1">
          <reference field="4294967294" count="1" selected="0">
            <x v="0"/>
          </reference>
        </references>
      </pivotArea>
    </chartFormat>
    <chartFormat chart="10" format="33">
      <pivotArea type="data" outline="0" fieldPosition="0">
        <references count="2">
          <reference field="4294967294" count="1" selected="0">
            <x v="0"/>
          </reference>
          <reference field="8" count="1" selected="0">
            <x v="6"/>
          </reference>
        </references>
      </pivotArea>
    </chartFormat>
    <chartFormat chart="10" format="34">
      <pivotArea type="data" outline="0" fieldPosition="0">
        <references count="2">
          <reference field="4294967294" count="1" selected="0">
            <x v="0"/>
          </reference>
          <reference field="8" count="1" selected="0">
            <x v="7"/>
          </reference>
        </references>
      </pivotArea>
    </chartFormat>
    <chartFormat chart="10" format="35">
      <pivotArea type="data" outline="0" fieldPosition="0">
        <references count="2">
          <reference field="4294967294" count="1" selected="0">
            <x v="0"/>
          </reference>
          <reference field="8" count="1" selected="0">
            <x v="8"/>
          </reference>
        </references>
      </pivotArea>
    </chartFormat>
    <chartFormat chart="10" format="36">
      <pivotArea type="data" outline="0" fieldPosition="0">
        <references count="2">
          <reference field="4294967294" count="1" selected="0">
            <x v="0"/>
          </reference>
          <reference field="8" count="1" selected="0">
            <x v="9"/>
          </reference>
        </references>
      </pivotArea>
    </chartFormat>
    <chartFormat chart="10" format="37" series="1">
      <pivotArea type="data" outline="0" fieldPosition="0">
        <references count="1">
          <reference field="4294967294" count="1" selected="0">
            <x v="1"/>
          </reference>
        </references>
      </pivotArea>
    </chartFormat>
    <chartFormat chart="10" format="38">
      <pivotArea type="data" outline="0" fieldPosition="0">
        <references count="2">
          <reference field="4294967294" count="1" selected="0">
            <x v="1"/>
          </reference>
          <reference field="8" count="1" selected="0">
            <x v="6"/>
          </reference>
        </references>
      </pivotArea>
    </chartFormat>
    <chartFormat chart="10" format="39">
      <pivotArea type="data" outline="0" fieldPosition="0">
        <references count="2">
          <reference field="4294967294" count="1" selected="0">
            <x v="1"/>
          </reference>
          <reference field="8" count="1" selected="0">
            <x v="7"/>
          </reference>
        </references>
      </pivotArea>
    </chartFormat>
    <chartFormat chart="10" format="40">
      <pivotArea type="data" outline="0" fieldPosition="0">
        <references count="2">
          <reference field="4294967294" count="1" selected="0">
            <x v="1"/>
          </reference>
          <reference field="8" count="1" selected="0">
            <x v="8"/>
          </reference>
        </references>
      </pivotArea>
    </chartFormat>
    <chartFormat chart="10" format="41">
      <pivotArea type="data" outline="0" fieldPosition="0">
        <references count="2">
          <reference field="4294967294" count="1" selected="0">
            <x v="1"/>
          </reference>
          <reference field="8" count="1" selected="0">
            <x v="9"/>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F81583-24DB-4CC3-9641-7B3554ABCA56}"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S5:T90" firstHeaderRow="1" firstDataRow="1" firstDataCol="1"/>
  <pivotFields count="9">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8">
        <item x="0"/>
        <item x="1"/>
        <item x="2"/>
        <item x="3"/>
        <item x="4"/>
        <item x="5"/>
        <item x="6"/>
        <item t="default"/>
      </items>
    </pivotField>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7"/>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Average of Amount in Sales" fld="3" subtotal="average" baseField="0" baseItem="0"/>
  </dataFields>
  <chartFormats count="2">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DE6347-0E0D-4ED5-A5DA-8F035609A782}"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88" firstHeaderRow="1" firstDataRow="1" firstDataCol="1"/>
  <pivotFields count="9">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8">
        <item x="0"/>
        <item x="1"/>
        <item x="2"/>
        <item x="3"/>
        <item x="4"/>
        <item x="5"/>
        <item x="6"/>
        <item t="default"/>
      </items>
    </pivotField>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Average of Amount in Sales" fld="3" subtotal="average" baseField="6" baseItem="165"/>
  </dataFields>
  <chartFormats count="2">
    <chartFormat chart="5"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419F7A-1847-463F-BB47-6343DC9E1C76}" name="PivotTable3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P123:Q130" firstHeaderRow="1" firstDataRow="1" firstDataCol="1"/>
  <pivotFields count="9">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Items count="1">
    <i/>
  </colItems>
  <dataFields count="1">
    <dataField name="Average of Amount in Sales" fld="3" subtotal="average" baseField="1" baseItem="0"/>
  </dataFields>
  <chartFormats count="2">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45AEA34-B28E-4A89-9CD5-12F8DB6238FC}" name="PivotTable3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O29:P114" firstHeaderRow="1" firstDataRow="1" firstDataCol="1"/>
  <pivotFields count="11">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dataField="1" showAll="0"/>
    <pivotField showAll="0"/>
    <pivotField showAll="0"/>
    <pivotField numFmtId="9" showAll="0"/>
    <pivotField axis="axisRow"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9"/>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Sum of Price of One Product" fld="5" baseField="0" baseItem="0"/>
  </dataFields>
  <chartFormats count="1">
    <chartFormat chart="23"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D2C2AE-05DD-4A19-9EE1-5C95FADF6949}" name="PivotTable3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5:B100" firstHeaderRow="1" firstDataRow="1" firstDataCol="1"/>
  <pivotFields count="11">
    <pivotField dataField="1"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Count of Order ID" fld="0" subtotal="count" baseField="0" baseItem="0"/>
  </dataFields>
  <chartFormats count="1">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3A070FA-17AA-468B-98DE-F4829B3FF2F7}" name="PivotTable3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7:L14" firstHeaderRow="1" firstDataRow="1" firstDataCol="1"/>
  <pivotFields count="11">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dataField="1" showAll="0"/>
    <pivotField showAll="0"/>
    <pivotField showAll="0"/>
    <pivotField showAll="0">
      <items count="16">
        <item x="11"/>
        <item x="9"/>
        <item x="2"/>
        <item x="4"/>
        <item x="3"/>
        <item x="5"/>
        <item x="1"/>
        <item x="0"/>
        <item x="6"/>
        <item x="14"/>
        <item x="12"/>
        <item x="7"/>
        <item x="8"/>
        <item x="10"/>
        <item x="13"/>
        <item t="default"/>
      </items>
    </pivotField>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Count of Order Type" fld="4" subtotal="count" baseField="0" baseItem="0"/>
  </dataFields>
  <chartFormats count="1">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CCF673B-2D18-4CCF-8FF9-7CD350BDF21C}" name="PivotTable3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1">
    <pivotField dataField="1"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dataField="1" showAll="0"/>
    <pivotField showAll="0"/>
    <pivotField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Count of Order ID" fld="0" subtotal="count" baseField="0" baseItem="0"/>
    <dataField name="Sum of Price of One Product" fld="5" baseField="0" baseItem="0"/>
    <dataField name="Average of Discount" fld="8" subtotal="average" baseField="0" baseItem="1" numFmtId="9"/>
    <dataField name="Average of Price of One Product2" fld="5"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632155B-19C0-4EA6-B1E3-405BC97305D4}" name="PivotTable3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Q126:R133" firstHeaderRow="1" firstDataRow="1" firstDataCol="1"/>
  <pivotFields count="11">
    <pivotField dataField="1"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7">
        <item x="5"/>
        <item x="1"/>
        <item x="2"/>
        <item x="3"/>
        <item x="4"/>
        <item x="0"/>
        <item t="default"/>
      </items>
    </pivotField>
    <pivotField showAll="0">
      <items count="3">
        <item x="0"/>
        <item x="1"/>
        <item t="default"/>
      </items>
    </pivotField>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BA3165A-29C0-44AF-BEC8-770E0C0039E9}" name="PivotTable3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11:C118" firstHeaderRow="1" firstDataRow="1" firstDataCol="1"/>
  <pivotFields count="11">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dataField="1" showAll="0"/>
    <pivotField showAll="0"/>
    <pivotField showAll="0"/>
    <pivotField numFmtId="9"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Items count="1">
    <i/>
  </colItems>
  <dataFields count="1">
    <dataField name="Sum of Price of One Product" fld="5" baseField="0" baseItem="0"/>
  </dataFields>
  <chartFormats count="1">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E49CF1B8-72B8-4D64-A81F-FFF691D8A1F2}" sourceName="Order Type">
  <pivotTables>
    <pivotTable tabId="10" name="PivotTable37"/>
  </pivotTables>
  <data>
    <tabular pivotCacheId="156435216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400DFD5B-4C9D-40F0-A2C9-24ACE7FD0C31}" cache="Slicer_Order_Type" caption="Order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795">
  <tableColumns count="11">
    <tableColumn id="1" xr3:uid="{00000000-0010-0000-0000-000001000000}" name="S.No"/>
    <tableColumn id="2" xr3:uid="{00000000-0010-0000-0000-000002000000}" name="Customer ID"/>
    <tableColumn id="3" xr3:uid="{00000000-0010-0000-0000-000003000000}" name="Order ID"/>
    <tableColumn id="4" xr3:uid="{00000000-0010-0000-0000-000004000000}" name="Customer Name"/>
    <tableColumn id="5" xr3:uid="{00000000-0010-0000-0000-000005000000}" name="Contact Date"/>
    <tableColumn id="6" xr3:uid="{00000000-0010-0000-0000-000006000000}" name="Contact Type"/>
    <tableColumn id="7" xr3:uid="{00000000-0010-0000-0000-000007000000}" name="Is It for an Order ?"/>
    <tableColumn id="8" xr3:uid="{00000000-0010-0000-0000-000008000000}" name="Ticket ID"/>
    <tableColumn id="9" xr3:uid="{00000000-0010-0000-0000-000009000000}" name="Agent Handled"/>
    <tableColumn id="10" xr3:uid="{00000000-0010-0000-0000-00000A000000}" name="Rating Given"/>
    <tableColumn id="11" xr3:uid="{5FB5AB7E-1DAC-40FA-A9B1-1AB81AE2AF79}" name="Column1"/>
  </tableColumns>
  <tableStyleInfo name="Customer Servic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795">
  <tableColumns count="7">
    <tableColumn id="1" xr3:uid="{00000000-0010-0000-0100-000001000000}" name="Order ID"/>
    <tableColumn id="2" xr3:uid="{00000000-0010-0000-0100-000002000000}" name="Product ID"/>
    <tableColumn id="3" xr3:uid="{00000000-0010-0000-0100-000003000000}" name="Sale Date"/>
    <tableColumn id="4" xr3:uid="{00000000-0010-0000-0100-000004000000}" name="Amount in Sales"/>
    <tableColumn id="5" xr3:uid="{00000000-0010-0000-0100-000005000000}" name="Discounted Value"/>
    <tableColumn id="6" xr3:uid="{00000000-0010-0000-0100-000006000000}" name="Region"/>
    <tableColumn id="7" xr3:uid="{1D8E0AA3-5253-4169-89B1-31CD77A510E5}" name="Rounded Sales" dataDxfId="0">
      <calculatedColumnFormula>MROUND(Table_2[[#This Row],[Amount in Sales]],5)</calculatedColumnFormula>
    </tableColumn>
  </tableColumns>
  <tableStyleInfo name="Financ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I795">
  <tableColumns count="9">
    <tableColumn id="1" xr3:uid="{00000000-0010-0000-0200-000001000000}" name="Order ID"/>
    <tableColumn id="2" xr3:uid="{00000000-0010-0000-0200-000002000000}" name="Product ID"/>
    <tableColumn id="3" xr3:uid="{00000000-0010-0000-0200-000003000000}" name="Sale Date"/>
    <tableColumn id="4" xr3:uid="{00000000-0010-0000-0200-000004000000}" name="Product Name"/>
    <tableColumn id="5" xr3:uid="{00000000-0010-0000-0200-000005000000}" name="Order Type"/>
    <tableColumn id="6" xr3:uid="{00000000-0010-0000-0200-000006000000}" name="Price of One Product"/>
    <tableColumn id="7" xr3:uid="{00000000-0010-0000-0200-000007000000}" name="Agent"/>
    <tableColumn id="8" xr3:uid="{00000000-0010-0000-0200-000008000000}" name="No of Products in one Sale"/>
    <tableColumn id="9" xr3:uid="{00000000-0010-0000-0200-000009000000}" name="Discount"/>
  </tableColumns>
  <tableStyleInfo name="Ord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showGridLines="0" workbookViewId="0">
      <selection activeCell="D14" sqref="D14:D21"/>
    </sheetView>
  </sheetViews>
  <sheetFormatPr defaultColWidth="14.44140625" defaultRowHeight="15" customHeight="1" x14ac:dyDescent="0.3"/>
  <cols>
    <col min="1" max="1" width="55.88671875" customWidth="1"/>
    <col min="2" max="3" width="8.6640625" customWidth="1"/>
    <col min="4" max="4" width="102.33203125" customWidth="1"/>
    <col min="5" max="26" width="8.6640625" customWidth="1"/>
  </cols>
  <sheetData>
    <row r="1" spans="1:4" ht="14.25" customHeight="1" x14ac:dyDescent="0.3">
      <c r="A1" s="1" t="s">
        <v>0</v>
      </c>
      <c r="D1" s="1" t="s">
        <v>1</v>
      </c>
    </row>
    <row r="2" spans="1:4" ht="14.25" customHeight="1" x14ac:dyDescent="0.3">
      <c r="A2" s="2" t="s">
        <v>2</v>
      </c>
      <c r="D2" s="2" t="s">
        <v>3</v>
      </c>
    </row>
    <row r="3" spans="1:4" ht="14.25" customHeight="1" x14ac:dyDescent="0.3">
      <c r="A3" s="2" t="s">
        <v>4</v>
      </c>
      <c r="D3" s="2" t="s">
        <v>5</v>
      </c>
    </row>
    <row r="4" spans="1:4" ht="14.25" customHeight="1" x14ac:dyDescent="0.3">
      <c r="A4" s="2" t="s">
        <v>6</v>
      </c>
      <c r="D4" s="2" t="s">
        <v>7</v>
      </c>
    </row>
    <row r="5" spans="1:4" ht="14.25" customHeight="1" x14ac:dyDescent="0.3">
      <c r="A5" s="2" t="s">
        <v>8</v>
      </c>
      <c r="D5" s="2" t="s">
        <v>9</v>
      </c>
    </row>
    <row r="6" spans="1:4" ht="14.25" customHeight="1" x14ac:dyDescent="0.3">
      <c r="A6" s="2" t="s">
        <v>10</v>
      </c>
      <c r="D6" s="2" t="s">
        <v>11</v>
      </c>
    </row>
    <row r="7" spans="1:4" ht="14.25" customHeight="1" x14ac:dyDescent="0.3">
      <c r="A7" s="2" t="s">
        <v>12</v>
      </c>
      <c r="D7" s="2" t="s">
        <v>13</v>
      </c>
    </row>
    <row r="8" spans="1:4" ht="14.25" customHeight="1" x14ac:dyDescent="0.3"/>
    <row r="9" spans="1:4" ht="14.25" customHeight="1" x14ac:dyDescent="0.3"/>
    <row r="10" spans="1:4" ht="14.25" customHeight="1" x14ac:dyDescent="0.3"/>
    <row r="11" spans="1:4" ht="14.25" customHeight="1" x14ac:dyDescent="0.3"/>
    <row r="12" spans="1:4" ht="14.25" customHeight="1" x14ac:dyDescent="0.3"/>
    <row r="13" spans="1:4" ht="14.25" customHeight="1" x14ac:dyDescent="0.3"/>
    <row r="14" spans="1:4" ht="14.25" customHeight="1" x14ac:dyDescent="0.3">
      <c r="D14" s="1" t="s">
        <v>14</v>
      </c>
    </row>
    <row r="15" spans="1:4" ht="14.25" customHeight="1" x14ac:dyDescent="0.3">
      <c r="D15" s="2" t="s">
        <v>15</v>
      </c>
    </row>
    <row r="16" spans="1:4" ht="14.25" customHeight="1" x14ac:dyDescent="0.3">
      <c r="D16" s="2" t="s">
        <v>16</v>
      </c>
    </row>
    <row r="17" spans="4:4" ht="14.25" customHeight="1" x14ac:dyDescent="0.3">
      <c r="D17" s="2" t="s">
        <v>17</v>
      </c>
    </row>
    <row r="18" spans="4:4" ht="14.25" customHeight="1" x14ac:dyDescent="0.3">
      <c r="D18" s="2" t="s">
        <v>18</v>
      </c>
    </row>
    <row r="19" spans="4:4" ht="14.25" customHeight="1" x14ac:dyDescent="0.3">
      <c r="D19" s="2" t="s">
        <v>19</v>
      </c>
    </row>
    <row r="20" spans="4:4" ht="14.25" customHeight="1" x14ac:dyDescent="0.3">
      <c r="D20" s="2" t="s">
        <v>20</v>
      </c>
    </row>
    <row r="21" spans="4:4" ht="14.25" customHeight="1" x14ac:dyDescent="0.3"/>
    <row r="22" spans="4:4" ht="14.25" customHeight="1" x14ac:dyDescent="0.3"/>
    <row r="23" spans="4:4" ht="14.25" customHeight="1" x14ac:dyDescent="0.3"/>
    <row r="24" spans="4:4" ht="14.25" customHeight="1" x14ac:dyDescent="0.3"/>
    <row r="25" spans="4:4" ht="14.25" customHeight="1" x14ac:dyDescent="0.3"/>
    <row r="26" spans="4:4" ht="14.25" customHeight="1" x14ac:dyDescent="0.3"/>
    <row r="27" spans="4:4" ht="14.25" customHeight="1" x14ac:dyDescent="0.3"/>
    <row r="28" spans="4:4" ht="14.25" customHeight="1" x14ac:dyDescent="0.3"/>
    <row r="29" spans="4:4" ht="14.25" customHeight="1" x14ac:dyDescent="0.3"/>
    <row r="30" spans="4:4" ht="14.25" customHeight="1" x14ac:dyDescent="0.3"/>
    <row r="31" spans="4:4" ht="14.25" customHeight="1" x14ac:dyDescent="0.3"/>
    <row r="32" spans="4:4"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0"/>
  <sheetViews>
    <sheetView topLeftCell="A34" workbookViewId="0"/>
  </sheetViews>
  <sheetFormatPr defaultColWidth="14.44140625" defaultRowHeight="15" customHeight="1" x14ac:dyDescent="0.3"/>
  <cols>
    <col min="1" max="1" width="12.5546875" customWidth="1"/>
    <col min="2" max="2" width="21.44140625" customWidth="1"/>
    <col min="3" max="3" width="14.109375" customWidth="1"/>
    <col min="4" max="4" width="14.5546875" customWidth="1"/>
    <col min="5" max="5" width="10.6640625" customWidth="1"/>
    <col min="6" max="14" width="8.6640625" customWidth="1"/>
    <col min="15" max="15" width="12.5546875" customWidth="1"/>
    <col min="16" max="16" width="20.109375" customWidth="1"/>
    <col min="17" max="26" width="8.6640625" customWidth="1"/>
  </cols>
  <sheetData>
    <row r="1" spans="1:2" ht="14.25" customHeight="1" x14ac:dyDescent="0.3">
      <c r="A1" s="2" t="s">
        <v>2</v>
      </c>
    </row>
    <row r="2" spans="1:2" ht="14.25" customHeight="1" x14ac:dyDescent="0.3"/>
    <row r="3" spans="1:2" ht="14.25" customHeight="1" x14ac:dyDescent="0.3">
      <c r="A3" s="3" t="s">
        <v>21</v>
      </c>
      <c r="B3" s="2" t="s">
        <v>22</v>
      </c>
    </row>
    <row r="4" spans="1:2" ht="14.25" customHeight="1" x14ac:dyDescent="0.3">
      <c r="A4" s="4" t="s">
        <v>23</v>
      </c>
      <c r="B4" s="5">
        <v>7.2980392156862743</v>
      </c>
    </row>
    <row r="5" spans="1:2" ht="14.25" customHeight="1" x14ac:dyDescent="0.3">
      <c r="A5" s="4" t="s">
        <v>24</v>
      </c>
      <c r="B5" s="5">
        <v>6.8976377952755907</v>
      </c>
    </row>
    <row r="6" spans="1:2" ht="14.25" customHeight="1" x14ac:dyDescent="0.3">
      <c r="A6" s="4" t="s">
        <v>25</v>
      </c>
      <c r="B6" s="5">
        <v>6.9087719298245611</v>
      </c>
    </row>
    <row r="7" spans="1:2" ht="14.25" customHeight="1" x14ac:dyDescent="0.3"/>
    <row r="8" spans="1:2" ht="14.25" customHeight="1" x14ac:dyDescent="0.3"/>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c r="A16" s="2" t="s">
        <v>4</v>
      </c>
    </row>
    <row r="17" spans="1:2" ht="14.25" customHeight="1" x14ac:dyDescent="0.3"/>
    <row r="18" spans="1:2" ht="14.25" customHeight="1" x14ac:dyDescent="0.3">
      <c r="A18" s="3" t="s">
        <v>21</v>
      </c>
      <c r="B18" s="2" t="s">
        <v>26</v>
      </c>
    </row>
    <row r="19" spans="1:2" ht="14.25" customHeight="1" x14ac:dyDescent="0.3">
      <c r="A19" s="4" t="s">
        <v>23</v>
      </c>
      <c r="B19" s="3">
        <v>255</v>
      </c>
    </row>
    <row r="20" spans="1:2" ht="14.25" customHeight="1" x14ac:dyDescent="0.3">
      <c r="A20" s="4" t="s">
        <v>24</v>
      </c>
      <c r="B20" s="3">
        <v>254</v>
      </c>
    </row>
    <row r="21" spans="1:2" ht="14.25" customHeight="1" x14ac:dyDescent="0.3">
      <c r="A21" s="4" t="s">
        <v>25</v>
      </c>
      <c r="B21" s="3">
        <v>285</v>
      </c>
    </row>
    <row r="22" spans="1:2" ht="14.25" customHeight="1" x14ac:dyDescent="0.3">
      <c r="A22" s="4" t="s">
        <v>27</v>
      </c>
      <c r="B22" s="3">
        <v>794</v>
      </c>
    </row>
    <row r="23" spans="1:2" ht="14.25" customHeight="1" x14ac:dyDescent="0.3"/>
    <row r="24" spans="1:2" ht="14.25" customHeight="1" x14ac:dyDescent="0.3"/>
    <row r="25" spans="1:2" ht="14.25" customHeight="1" x14ac:dyDescent="0.3"/>
    <row r="26" spans="1:2" ht="14.25" customHeight="1" x14ac:dyDescent="0.3">
      <c r="A26" s="2" t="s">
        <v>6</v>
      </c>
    </row>
    <row r="27" spans="1:2" ht="14.25" customHeight="1" x14ac:dyDescent="0.3"/>
    <row r="28" spans="1:2" ht="14.25" customHeight="1" x14ac:dyDescent="0.3">
      <c r="A28" s="3" t="s">
        <v>21</v>
      </c>
      <c r="B28" s="2" t="s">
        <v>28</v>
      </c>
    </row>
    <row r="29" spans="1:2" ht="14.25" customHeight="1" x14ac:dyDescent="0.3">
      <c r="A29" s="4" t="s">
        <v>29</v>
      </c>
      <c r="B29" s="3">
        <v>72</v>
      </c>
    </row>
    <row r="30" spans="1:2" ht="14.25" customHeight="1" x14ac:dyDescent="0.3">
      <c r="A30" s="4" t="s">
        <v>30</v>
      </c>
      <c r="B30" s="3">
        <v>300</v>
      </c>
    </row>
    <row r="31" spans="1:2" ht="14.25" customHeight="1" x14ac:dyDescent="0.3">
      <c r="A31" s="4" t="s">
        <v>31</v>
      </c>
      <c r="B31" s="3">
        <v>422</v>
      </c>
    </row>
    <row r="32" spans="1:2" ht="14.25" customHeight="1" x14ac:dyDescent="0.3">
      <c r="A32" s="4" t="s">
        <v>27</v>
      </c>
      <c r="B32" s="3">
        <v>794</v>
      </c>
    </row>
    <row r="33" spans="1:16" ht="14.25" customHeight="1" x14ac:dyDescent="0.3"/>
    <row r="34" spans="1:16" ht="14.25" customHeight="1" x14ac:dyDescent="0.3"/>
    <row r="35" spans="1:16" ht="14.25" customHeight="1" x14ac:dyDescent="0.3">
      <c r="A35" s="2" t="s">
        <v>8</v>
      </c>
    </row>
    <row r="36" spans="1:16" ht="14.25" customHeight="1" x14ac:dyDescent="0.3"/>
    <row r="37" spans="1:16" ht="14.25" customHeight="1" x14ac:dyDescent="0.3">
      <c r="A37" s="3" t="s">
        <v>21</v>
      </c>
      <c r="B37" s="2" t="s">
        <v>22</v>
      </c>
    </row>
    <row r="38" spans="1:16" ht="14.25" customHeight="1" x14ac:dyDescent="0.3">
      <c r="A38" s="4" t="s">
        <v>29</v>
      </c>
      <c r="B38" s="5">
        <v>6.625</v>
      </c>
    </row>
    <row r="39" spans="1:16" ht="14.25" customHeight="1" x14ac:dyDescent="0.3">
      <c r="A39" s="4" t="s">
        <v>30</v>
      </c>
      <c r="B39" s="5">
        <v>6.9133333333333331</v>
      </c>
    </row>
    <row r="40" spans="1:16" ht="14.25" customHeight="1" x14ac:dyDescent="0.3">
      <c r="A40" s="4" t="s">
        <v>31</v>
      </c>
      <c r="B40" s="5">
        <v>7.1824644549763033</v>
      </c>
    </row>
    <row r="41" spans="1:16" ht="14.25" customHeight="1" x14ac:dyDescent="0.3"/>
    <row r="42" spans="1:16" ht="14.25" customHeight="1" x14ac:dyDescent="0.3"/>
    <row r="43" spans="1:16" ht="14.25" customHeight="1" x14ac:dyDescent="0.3"/>
    <row r="44" spans="1:16" ht="14.25" customHeight="1" x14ac:dyDescent="0.3"/>
    <row r="45" spans="1:16" ht="14.25" customHeight="1" x14ac:dyDescent="0.3">
      <c r="A45" s="2" t="s">
        <v>10</v>
      </c>
      <c r="O45" s="2" t="s">
        <v>12</v>
      </c>
    </row>
    <row r="46" spans="1:16" ht="14.25" customHeight="1" x14ac:dyDescent="0.3"/>
    <row r="47" spans="1:16" ht="14.25" customHeight="1" x14ac:dyDescent="0.3">
      <c r="A47" s="3" t="s">
        <v>21</v>
      </c>
      <c r="B47" s="2" t="s">
        <v>22</v>
      </c>
      <c r="O47" s="3" t="s">
        <v>21</v>
      </c>
      <c r="P47" s="2" t="s">
        <v>28</v>
      </c>
    </row>
    <row r="48" spans="1:16" ht="14.25" customHeight="1" x14ac:dyDescent="0.3">
      <c r="A48" s="4" t="s">
        <v>32</v>
      </c>
      <c r="B48" s="5">
        <v>6.5384615384615383</v>
      </c>
      <c r="O48" s="4" t="s">
        <v>32</v>
      </c>
      <c r="P48" s="3">
        <v>13</v>
      </c>
    </row>
    <row r="49" spans="1:16" ht="14.25" customHeight="1" x14ac:dyDescent="0.3">
      <c r="A49" s="4" t="s">
        <v>33</v>
      </c>
      <c r="B49" s="5">
        <v>8.0909090909090917</v>
      </c>
      <c r="O49" s="4" t="s">
        <v>33</v>
      </c>
      <c r="P49" s="3">
        <v>11</v>
      </c>
    </row>
    <row r="50" spans="1:16" ht="14.25" customHeight="1" x14ac:dyDescent="0.3">
      <c r="A50" s="4" t="s">
        <v>34</v>
      </c>
      <c r="B50" s="5">
        <v>7.333333333333333</v>
      </c>
      <c r="O50" s="4" t="s">
        <v>34</v>
      </c>
      <c r="P50" s="3">
        <v>18</v>
      </c>
    </row>
    <row r="51" spans="1:16" ht="14.25" customHeight="1" x14ac:dyDescent="0.3">
      <c r="A51" s="4" t="s">
        <v>35</v>
      </c>
      <c r="B51" s="5">
        <v>6.2857142857142856</v>
      </c>
      <c r="O51" s="4" t="s">
        <v>35</v>
      </c>
      <c r="P51" s="3">
        <v>7</v>
      </c>
    </row>
    <row r="52" spans="1:16" ht="14.25" customHeight="1" x14ac:dyDescent="0.3">
      <c r="A52" s="4" t="s">
        <v>36</v>
      </c>
      <c r="B52" s="5">
        <v>8.3333333333333339</v>
      </c>
      <c r="O52" s="4" t="s">
        <v>36</v>
      </c>
      <c r="P52" s="3">
        <v>12</v>
      </c>
    </row>
    <row r="53" spans="1:16" ht="14.25" customHeight="1" x14ac:dyDescent="0.3">
      <c r="A53" s="4" t="s">
        <v>37</v>
      </c>
      <c r="B53" s="5">
        <v>4.833333333333333</v>
      </c>
      <c r="O53" s="4" t="s">
        <v>37</v>
      </c>
      <c r="P53" s="3">
        <v>6</v>
      </c>
    </row>
    <row r="54" spans="1:16" ht="14.25" customHeight="1" x14ac:dyDescent="0.3">
      <c r="A54" s="4" t="s">
        <v>38</v>
      </c>
      <c r="B54" s="5">
        <v>7.7692307692307692</v>
      </c>
      <c r="O54" s="4" t="s">
        <v>38</v>
      </c>
      <c r="P54" s="3">
        <v>13</v>
      </c>
    </row>
    <row r="55" spans="1:16" ht="14.25" customHeight="1" x14ac:dyDescent="0.3">
      <c r="A55" s="4" t="s">
        <v>39</v>
      </c>
      <c r="B55" s="5">
        <v>4.875</v>
      </c>
      <c r="O55" s="4" t="s">
        <v>39</v>
      </c>
      <c r="P55" s="3">
        <v>8</v>
      </c>
    </row>
    <row r="56" spans="1:16" ht="14.25" customHeight="1" x14ac:dyDescent="0.3">
      <c r="A56" s="4" t="s">
        <v>40</v>
      </c>
      <c r="B56" s="5">
        <v>5.8571428571428568</v>
      </c>
      <c r="O56" s="4" t="s">
        <v>40</v>
      </c>
      <c r="P56" s="3">
        <v>7</v>
      </c>
    </row>
    <row r="57" spans="1:16" ht="14.25" customHeight="1" x14ac:dyDescent="0.3">
      <c r="A57" s="4" t="s">
        <v>41</v>
      </c>
      <c r="B57" s="5">
        <v>8.0294117647058822</v>
      </c>
      <c r="O57" s="4" t="s">
        <v>41</v>
      </c>
      <c r="P57" s="3">
        <v>34</v>
      </c>
    </row>
    <row r="58" spans="1:16" ht="14.25" customHeight="1" x14ac:dyDescent="0.3">
      <c r="A58" s="4" t="s">
        <v>42</v>
      </c>
      <c r="B58" s="5">
        <v>6.4827586206896548</v>
      </c>
      <c r="O58" s="4" t="s">
        <v>42</v>
      </c>
      <c r="P58" s="3">
        <v>29</v>
      </c>
    </row>
    <row r="59" spans="1:16" ht="14.25" customHeight="1" x14ac:dyDescent="0.3">
      <c r="A59" s="4" t="s">
        <v>43</v>
      </c>
      <c r="B59" s="5">
        <v>6.7692307692307692</v>
      </c>
      <c r="O59" s="4" t="s">
        <v>43</v>
      </c>
      <c r="P59" s="3">
        <v>13</v>
      </c>
    </row>
    <row r="60" spans="1:16" ht="14.25" customHeight="1" x14ac:dyDescent="0.3">
      <c r="A60" s="4" t="s">
        <v>44</v>
      </c>
      <c r="B60" s="5">
        <v>7.5769230769230766</v>
      </c>
      <c r="O60" s="4" t="s">
        <v>44</v>
      </c>
      <c r="P60" s="3">
        <v>26</v>
      </c>
    </row>
    <row r="61" spans="1:16" ht="14.25" customHeight="1" x14ac:dyDescent="0.3">
      <c r="A61" s="4" t="s">
        <v>45</v>
      </c>
      <c r="B61" s="5">
        <v>6.3529411764705879</v>
      </c>
      <c r="O61" s="4" t="s">
        <v>45</v>
      </c>
      <c r="P61" s="3">
        <v>17</v>
      </c>
    </row>
    <row r="62" spans="1:16" ht="14.25" customHeight="1" x14ac:dyDescent="0.3">
      <c r="A62" s="4" t="s">
        <v>46</v>
      </c>
      <c r="B62" s="5">
        <v>7.8181818181818183</v>
      </c>
      <c r="O62" s="4" t="s">
        <v>46</v>
      </c>
      <c r="P62" s="3">
        <v>11</v>
      </c>
    </row>
    <row r="63" spans="1:16" ht="14.25" customHeight="1" x14ac:dyDescent="0.3">
      <c r="A63" s="4" t="s">
        <v>47</v>
      </c>
      <c r="B63" s="5">
        <v>7.3703703703703702</v>
      </c>
      <c r="O63" s="4" t="s">
        <v>47</v>
      </c>
      <c r="P63" s="3">
        <v>27</v>
      </c>
    </row>
    <row r="64" spans="1:16" ht="14.25" customHeight="1" x14ac:dyDescent="0.3">
      <c r="A64" s="4" t="s">
        <v>48</v>
      </c>
      <c r="B64" s="5">
        <v>7.7</v>
      </c>
      <c r="O64" s="4" t="s">
        <v>48</v>
      </c>
      <c r="P64" s="3">
        <v>10</v>
      </c>
    </row>
    <row r="65" spans="1:16" ht="14.25" customHeight="1" x14ac:dyDescent="0.3">
      <c r="A65" s="4" t="s">
        <v>49</v>
      </c>
      <c r="B65" s="5">
        <v>7.3</v>
      </c>
      <c r="O65" s="4" t="s">
        <v>49</v>
      </c>
      <c r="P65" s="3">
        <v>10</v>
      </c>
    </row>
    <row r="66" spans="1:16" ht="14.25" customHeight="1" x14ac:dyDescent="0.3">
      <c r="A66" s="4" t="s">
        <v>50</v>
      </c>
      <c r="B66" s="5">
        <v>6.6</v>
      </c>
      <c r="O66" s="4" t="s">
        <v>50</v>
      </c>
      <c r="P66" s="3">
        <v>15</v>
      </c>
    </row>
    <row r="67" spans="1:16" ht="14.25" customHeight="1" x14ac:dyDescent="0.3">
      <c r="A67" s="4" t="s">
        <v>51</v>
      </c>
      <c r="B67" s="5">
        <v>6.4</v>
      </c>
      <c r="O67" s="4" t="s">
        <v>51</v>
      </c>
      <c r="P67" s="3">
        <v>5</v>
      </c>
    </row>
    <row r="68" spans="1:16" ht="14.25" customHeight="1" x14ac:dyDescent="0.3">
      <c r="A68" s="4" t="s">
        <v>52</v>
      </c>
      <c r="B68" s="5">
        <v>7.3125</v>
      </c>
      <c r="O68" s="4" t="s">
        <v>52</v>
      </c>
      <c r="P68" s="3">
        <v>16</v>
      </c>
    </row>
    <row r="69" spans="1:16" ht="14.25" customHeight="1" x14ac:dyDescent="0.3">
      <c r="A69" s="4" t="s">
        <v>53</v>
      </c>
      <c r="B69" s="5">
        <v>7.6</v>
      </c>
      <c r="O69" s="4" t="s">
        <v>53</v>
      </c>
      <c r="P69" s="3">
        <v>10</v>
      </c>
    </row>
    <row r="70" spans="1:16" ht="14.25" customHeight="1" x14ac:dyDescent="0.3">
      <c r="A70" s="4" t="s">
        <v>54</v>
      </c>
      <c r="B70" s="5">
        <v>6.9</v>
      </c>
      <c r="O70" s="4" t="s">
        <v>54</v>
      </c>
      <c r="P70" s="3">
        <v>10</v>
      </c>
    </row>
    <row r="71" spans="1:16" ht="14.25" customHeight="1" x14ac:dyDescent="0.3">
      <c r="A71" s="4" t="s">
        <v>55</v>
      </c>
      <c r="B71" s="5">
        <v>7.3</v>
      </c>
      <c r="O71" s="4" t="s">
        <v>55</v>
      </c>
      <c r="P71" s="3">
        <v>10</v>
      </c>
    </row>
    <row r="72" spans="1:16" ht="14.25" customHeight="1" x14ac:dyDescent="0.3">
      <c r="A72" s="4" t="s">
        <v>56</v>
      </c>
      <c r="B72" s="5">
        <v>7.3</v>
      </c>
      <c r="O72" s="4" t="s">
        <v>56</v>
      </c>
      <c r="P72" s="3">
        <v>10</v>
      </c>
    </row>
    <row r="73" spans="1:16" ht="14.25" customHeight="1" x14ac:dyDescent="0.3">
      <c r="A73" s="4" t="s">
        <v>57</v>
      </c>
      <c r="B73" s="5">
        <v>6.1</v>
      </c>
      <c r="O73" s="4" t="s">
        <v>57</v>
      </c>
      <c r="P73" s="3">
        <v>10</v>
      </c>
    </row>
    <row r="74" spans="1:16" ht="14.25" customHeight="1" x14ac:dyDescent="0.3">
      <c r="A74" s="4" t="s">
        <v>58</v>
      </c>
      <c r="B74" s="5">
        <v>6.333333333333333</v>
      </c>
      <c r="O74" s="4" t="s">
        <v>58</v>
      </c>
      <c r="P74" s="3">
        <v>15</v>
      </c>
    </row>
    <row r="75" spans="1:16" ht="14.25" customHeight="1" x14ac:dyDescent="0.3">
      <c r="A75" s="4" t="s">
        <v>59</v>
      </c>
      <c r="B75" s="5">
        <v>7.35</v>
      </c>
      <c r="O75" s="4" t="s">
        <v>59</v>
      </c>
      <c r="P75" s="3">
        <v>20</v>
      </c>
    </row>
    <row r="76" spans="1:16" ht="14.25" customHeight="1" x14ac:dyDescent="0.3">
      <c r="A76" s="4" t="s">
        <v>60</v>
      </c>
      <c r="B76" s="5">
        <v>8.1999999999999993</v>
      </c>
      <c r="O76" s="4" t="s">
        <v>60</v>
      </c>
      <c r="P76" s="3">
        <v>10</v>
      </c>
    </row>
    <row r="77" spans="1:16" ht="14.25" customHeight="1" x14ac:dyDescent="0.3">
      <c r="A77" s="4" t="s">
        <v>61</v>
      </c>
      <c r="B77" s="5">
        <v>7.5769230769230766</v>
      </c>
      <c r="O77" s="4" t="s">
        <v>61</v>
      </c>
      <c r="P77" s="3">
        <v>26</v>
      </c>
    </row>
    <row r="78" spans="1:16" ht="14.25" customHeight="1" x14ac:dyDescent="0.3">
      <c r="A78" s="4" t="s">
        <v>62</v>
      </c>
      <c r="B78" s="5">
        <v>7.2857142857142856</v>
      </c>
      <c r="O78" s="4" t="s">
        <v>62</v>
      </c>
      <c r="P78" s="3">
        <v>14</v>
      </c>
    </row>
    <row r="79" spans="1:16" ht="14.25" customHeight="1" x14ac:dyDescent="0.3">
      <c r="A79" s="4" t="s">
        <v>63</v>
      </c>
      <c r="B79" s="5">
        <v>6.2857142857142856</v>
      </c>
      <c r="O79" s="4" t="s">
        <v>63</v>
      </c>
      <c r="P79" s="3">
        <v>14</v>
      </c>
    </row>
    <row r="80" spans="1:16" ht="14.25" customHeight="1" x14ac:dyDescent="0.3">
      <c r="A80" s="4" t="s">
        <v>64</v>
      </c>
      <c r="B80" s="5">
        <v>6.8571428571428568</v>
      </c>
      <c r="O80" s="4" t="s">
        <v>64</v>
      </c>
      <c r="P80" s="3">
        <v>7</v>
      </c>
    </row>
    <row r="81" spans="1:16" ht="14.25" customHeight="1" x14ac:dyDescent="0.3">
      <c r="A81" s="4" t="s">
        <v>65</v>
      </c>
      <c r="B81" s="5">
        <v>7.1875</v>
      </c>
      <c r="O81" s="4" t="s">
        <v>65</v>
      </c>
      <c r="P81" s="3">
        <v>16</v>
      </c>
    </row>
    <row r="82" spans="1:16" ht="14.25" customHeight="1" x14ac:dyDescent="0.3">
      <c r="A82" s="4" t="s">
        <v>66</v>
      </c>
      <c r="B82" s="5">
        <v>7.2142857142857144</v>
      </c>
      <c r="O82" s="4" t="s">
        <v>66</v>
      </c>
      <c r="P82" s="3">
        <v>14</v>
      </c>
    </row>
    <row r="83" spans="1:16" ht="14.25" customHeight="1" x14ac:dyDescent="0.3">
      <c r="A83" s="4" t="s">
        <v>67</v>
      </c>
      <c r="B83" s="5">
        <v>6.166666666666667</v>
      </c>
      <c r="O83" s="4" t="s">
        <v>67</v>
      </c>
      <c r="P83" s="3">
        <v>12</v>
      </c>
    </row>
    <row r="84" spans="1:16" ht="14.25" customHeight="1" x14ac:dyDescent="0.3">
      <c r="A84" s="4" t="s">
        <v>68</v>
      </c>
      <c r="B84" s="5">
        <v>7.1538461538461542</v>
      </c>
      <c r="O84" s="4" t="s">
        <v>68</v>
      </c>
      <c r="P84" s="3">
        <v>13</v>
      </c>
    </row>
    <row r="85" spans="1:16" ht="14.25" customHeight="1" x14ac:dyDescent="0.3">
      <c r="A85" s="4" t="s">
        <v>69</v>
      </c>
      <c r="B85" s="5">
        <v>7.4210526315789478</v>
      </c>
      <c r="O85" s="4" t="s">
        <v>69</v>
      </c>
      <c r="P85" s="3">
        <v>19</v>
      </c>
    </row>
    <row r="86" spans="1:16" ht="14.25" customHeight="1" x14ac:dyDescent="0.3">
      <c r="A86" s="4" t="s">
        <v>70</v>
      </c>
      <c r="B86" s="5">
        <v>7.5</v>
      </c>
      <c r="O86" s="4" t="s">
        <v>70</v>
      </c>
      <c r="P86" s="3">
        <v>16</v>
      </c>
    </row>
    <row r="87" spans="1:16" ht="14.25" customHeight="1" x14ac:dyDescent="0.3">
      <c r="A87" s="4" t="s">
        <v>71</v>
      </c>
      <c r="B87" s="5">
        <v>8.8571428571428577</v>
      </c>
      <c r="O87" s="4" t="s">
        <v>71</v>
      </c>
      <c r="P87" s="3">
        <v>7</v>
      </c>
    </row>
    <row r="88" spans="1:16" ht="14.25" customHeight="1" x14ac:dyDescent="0.3">
      <c r="A88" s="4" t="s">
        <v>72</v>
      </c>
      <c r="B88" s="5">
        <v>7.2</v>
      </c>
      <c r="O88" s="4" t="s">
        <v>72</v>
      </c>
      <c r="P88" s="3">
        <v>5</v>
      </c>
    </row>
    <row r="89" spans="1:16" ht="14.25" customHeight="1" x14ac:dyDescent="0.3">
      <c r="A89" s="4" t="s">
        <v>73</v>
      </c>
      <c r="B89" s="5">
        <v>8</v>
      </c>
      <c r="O89" s="4" t="s">
        <v>73</v>
      </c>
      <c r="P89" s="3">
        <v>3</v>
      </c>
    </row>
    <row r="90" spans="1:16" ht="14.25" customHeight="1" x14ac:dyDescent="0.3">
      <c r="A90" s="4" t="s">
        <v>74</v>
      </c>
      <c r="B90" s="5">
        <v>8</v>
      </c>
      <c r="O90" s="4" t="s">
        <v>74</v>
      </c>
      <c r="P90" s="3">
        <v>9</v>
      </c>
    </row>
    <row r="91" spans="1:16" ht="14.25" customHeight="1" x14ac:dyDescent="0.3">
      <c r="A91" s="4" t="s">
        <v>75</v>
      </c>
      <c r="B91" s="5">
        <v>7</v>
      </c>
      <c r="O91" s="4" t="s">
        <v>75</v>
      </c>
      <c r="P91" s="3">
        <v>10</v>
      </c>
    </row>
    <row r="92" spans="1:16" ht="14.25" customHeight="1" x14ac:dyDescent="0.3">
      <c r="A92" s="4" t="s">
        <v>76</v>
      </c>
      <c r="B92" s="5">
        <v>5</v>
      </c>
      <c r="O92" s="4" t="s">
        <v>76</v>
      </c>
      <c r="P92" s="3">
        <v>4</v>
      </c>
    </row>
    <row r="93" spans="1:16" ht="14.25" customHeight="1" x14ac:dyDescent="0.3">
      <c r="A93" s="4" t="s">
        <v>77</v>
      </c>
      <c r="B93" s="5">
        <v>7.666666666666667</v>
      </c>
      <c r="O93" s="4" t="s">
        <v>77</v>
      </c>
      <c r="P93" s="3">
        <v>6</v>
      </c>
    </row>
    <row r="94" spans="1:16" ht="14.25" customHeight="1" x14ac:dyDescent="0.3">
      <c r="A94" s="4" t="s">
        <v>78</v>
      </c>
      <c r="B94" s="5">
        <v>7</v>
      </c>
      <c r="O94" s="4" t="s">
        <v>78</v>
      </c>
      <c r="P94" s="3">
        <v>2</v>
      </c>
    </row>
    <row r="95" spans="1:16" ht="14.25" customHeight="1" x14ac:dyDescent="0.3">
      <c r="A95" s="4" t="s">
        <v>79</v>
      </c>
      <c r="B95" s="5">
        <v>5.125</v>
      </c>
      <c r="O95" s="4" t="s">
        <v>79</v>
      </c>
      <c r="P95" s="3">
        <v>8</v>
      </c>
    </row>
    <row r="96" spans="1:16" ht="14.25" customHeight="1" x14ac:dyDescent="0.3">
      <c r="A96" s="4" t="s">
        <v>80</v>
      </c>
      <c r="B96" s="5">
        <v>7.666666666666667</v>
      </c>
      <c r="O96" s="4" t="s">
        <v>80</v>
      </c>
      <c r="P96" s="3">
        <v>3</v>
      </c>
    </row>
    <row r="97" spans="1:16" ht="14.25" customHeight="1" x14ac:dyDescent="0.3">
      <c r="A97" s="4" t="s">
        <v>81</v>
      </c>
      <c r="B97" s="5">
        <v>7.75</v>
      </c>
      <c r="O97" s="4" t="s">
        <v>81</v>
      </c>
      <c r="P97" s="3">
        <v>4</v>
      </c>
    </row>
    <row r="98" spans="1:16" ht="14.25" customHeight="1" x14ac:dyDescent="0.3">
      <c r="A98" s="4" t="s">
        <v>82</v>
      </c>
      <c r="B98" s="5">
        <v>8.75</v>
      </c>
      <c r="O98" s="4" t="s">
        <v>82</v>
      </c>
      <c r="P98" s="3">
        <v>4</v>
      </c>
    </row>
    <row r="99" spans="1:16" ht="14.25" customHeight="1" x14ac:dyDescent="0.3">
      <c r="A99" s="4" t="s">
        <v>83</v>
      </c>
      <c r="B99" s="5">
        <v>7.4</v>
      </c>
      <c r="O99" s="4" t="s">
        <v>83</v>
      </c>
      <c r="P99" s="3">
        <v>5</v>
      </c>
    </row>
    <row r="100" spans="1:16" ht="14.25" customHeight="1" x14ac:dyDescent="0.3">
      <c r="A100" s="4" t="s">
        <v>84</v>
      </c>
      <c r="B100" s="5">
        <v>4.333333333333333</v>
      </c>
      <c r="O100" s="4" t="s">
        <v>84</v>
      </c>
      <c r="P100" s="3">
        <v>3</v>
      </c>
    </row>
    <row r="101" spans="1:16" ht="14.25" customHeight="1" x14ac:dyDescent="0.3">
      <c r="A101" s="4" t="s">
        <v>85</v>
      </c>
      <c r="B101" s="5">
        <v>6.666666666666667</v>
      </c>
      <c r="O101" s="4" t="s">
        <v>85</v>
      </c>
      <c r="P101" s="3">
        <v>3</v>
      </c>
    </row>
    <row r="102" spans="1:16" ht="14.25" customHeight="1" x14ac:dyDescent="0.3">
      <c r="A102" s="4" t="s">
        <v>86</v>
      </c>
      <c r="B102" s="5">
        <v>8</v>
      </c>
      <c r="O102" s="4" t="s">
        <v>86</v>
      </c>
      <c r="P102" s="3">
        <v>2</v>
      </c>
    </row>
    <row r="103" spans="1:16" ht="14.25" customHeight="1" x14ac:dyDescent="0.3">
      <c r="A103" s="4" t="s">
        <v>87</v>
      </c>
      <c r="B103" s="5">
        <v>4.25</v>
      </c>
      <c r="O103" s="4" t="s">
        <v>87</v>
      </c>
      <c r="P103" s="3">
        <v>8</v>
      </c>
    </row>
    <row r="104" spans="1:16" ht="14.25" customHeight="1" x14ac:dyDescent="0.3">
      <c r="A104" s="4" t="s">
        <v>88</v>
      </c>
      <c r="B104" s="5">
        <v>8</v>
      </c>
      <c r="O104" s="4" t="s">
        <v>88</v>
      </c>
      <c r="P104" s="3">
        <v>3</v>
      </c>
    </row>
    <row r="105" spans="1:16" ht="14.25" customHeight="1" x14ac:dyDescent="0.3">
      <c r="A105" s="4" t="s">
        <v>89</v>
      </c>
      <c r="B105" s="5">
        <v>6</v>
      </c>
      <c r="O105" s="4" t="s">
        <v>89</v>
      </c>
      <c r="P105" s="3">
        <v>3</v>
      </c>
    </row>
    <row r="106" spans="1:16" ht="14.25" customHeight="1" x14ac:dyDescent="0.3">
      <c r="A106" s="4" t="s">
        <v>90</v>
      </c>
      <c r="B106" s="5">
        <v>6.333333333333333</v>
      </c>
      <c r="O106" s="4" t="s">
        <v>90</v>
      </c>
      <c r="P106" s="3">
        <v>6</v>
      </c>
    </row>
    <row r="107" spans="1:16" ht="14.25" customHeight="1" x14ac:dyDescent="0.3">
      <c r="A107" s="4" t="s">
        <v>91</v>
      </c>
      <c r="B107" s="5">
        <v>6</v>
      </c>
      <c r="O107" s="4" t="s">
        <v>91</v>
      </c>
      <c r="P107" s="3">
        <v>3</v>
      </c>
    </row>
    <row r="108" spans="1:16" ht="14.25" customHeight="1" x14ac:dyDescent="0.3">
      <c r="A108" s="4" t="s">
        <v>92</v>
      </c>
      <c r="B108" s="5">
        <v>6.666666666666667</v>
      </c>
      <c r="O108" s="4" t="s">
        <v>92</v>
      </c>
      <c r="P108" s="3">
        <v>6</v>
      </c>
    </row>
    <row r="109" spans="1:16" ht="14.25" customHeight="1" x14ac:dyDescent="0.3">
      <c r="A109" s="4" t="s">
        <v>93</v>
      </c>
      <c r="B109" s="5">
        <v>3.8</v>
      </c>
      <c r="O109" s="4" t="s">
        <v>93</v>
      </c>
      <c r="P109" s="3">
        <v>5</v>
      </c>
    </row>
    <row r="110" spans="1:16" ht="14.25" customHeight="1" x14ac:dyDescent="0.3">
      <c r="A110" s="4" t="s">
        <v>94</v>
      </c>
      <c r="B110" s="5">
        <v>5.8</v>
      </c>
      <c r="O110" s="4" t="s">
        <v>94</v>
      </c>
      <c r="P110" s="3">
        <v>5</v>
      </c>
    </row>
    <row r="111" spans="1:16" ht="14.25" customHeight="1" x14ac:dyDescent="0.3">
      <c r="A111" s="4" t="s">
        <v>95</v>
      </c>
      <c r="B111" s="5">
        <v>5.5</v>
      </c>
      <c r="O111" s="4" t="s">
        <v>95</v>
      </c>
      <c r="P111" s="3">
        <v>6</v>
      </c>
    </row>
    <row r="112" spans="1:16" ht="14.25" customHeight="1" x14ac:dyDescent="0.3">
      <c r="A112" s="4" t="s">
        <v>96</v>
      </c>
      <c r="B112" s="5">
        <v>6.5714285714285712</v>
      </c>
      <c r="O112" s="4" t="s">
        <v>96</v>
      </c>
      <c r="P112" s="3">
        <v>7</v>
      </c>
    </row>
    <row r="113" spans="1:16" ht="14.25" customHeight="1" x14ac:dyDescent="0.3">
      <c r="A113" s="4" t="s">
        <v>97</v>
      </c>
      <c r="B113" s="5">
        <v>7.5</v>
      </c>
      <c r="O113" s="4" t="s">
        <v>97</v>
      </c>
      <c r="P113" s="3">
        <v>4</v>
      </c>
    </row>
    <row r="114" spans="1:16" ht="14.25" customHeight="1" x14ac:dyDescent="0.3">
      <c r="A114" s="4" t="s">
        <v>98</v>
      </c>
      <c r="B114" s="5">
        <v>8</v>
      </c>
      <c r="O114" s="4" t="s">
        <v>98</v>
      </c>
      <c r="P114" s="3">
        <v>8</v>
      </c>
    </row>
    <row r="115" spans="1:16" ht="14.25" customHeight="1" x14ac:dyDescent="0.3">
      <c r="A115" s="4" t="s">
        <v>99</v>
      </c>
      <c r="B115" s="5">
        <v>8.2857142857142865</v>
      </c>
      <c r="O115" s="4" t="s">
        <v>99</v>
      </c>
      <c r="P115" s="3">
        <v>7</v>
      </c>
    </row>
    <row r="116" spans="1:16" ht="14.25" customHeight="1" x14ac:dyDescent="0.3">
      <c r="A116" s="4" t="s">
        <v>100</v>
      </c>
      <c r="B116" s="5">
        <v>5.333333333333333</v>
      </c>
      <c r="O116" s="4" t="s">
        <v>100</v>
      </c>
      <c r="P116" s="3">
        <v>6</v>
      </c>
    </row>
    <row r="117" spans="1:16" ht="14.25" customHeight="1" x14ac:dyDescent="0.3">
      <c r="A117" s="4" t="s">
        <v>101</v>
      </c>
      <c r="B117" s="5">
        <v>7.5</v>
      </c>
      <c r="O117" s="4" t="s">
        <v>101</v>
      </c>
      <c r="P117" s="3">
        <v>6</v>
      </c>
    </row>
    <row r="118" spans="1:16" ht="14.25" customHeight="1" x14ac:dyDescent="0.3">
      <c r="A118" s="4" t="s">
        <v>102</v>
      </c>
      <c r="B118" s="5">
        <v>6.5</v>
      </c>
      <c r="O118" s="4" t="s">
        <v>102</v>
      </c>
      <c r="P118" s="3">
        <v>4</v>
      </c>
    </row>
    <row r="119" spans="1:16" ht="14.25" customHeight="1" x14ac:dyDescent="0.3">
      <c r="A119" s="4" t="s">
        <v>103</v>
      </c>
      <c r="B119" s="5">
        <v>5.8</v>
      </c>
      <c r="O119" s="4" t="s">
        <v>103</v>
      </c>
      <c r="P119" s="3">
        <v>5</v>
      </c>
    </row>
    <row r="120" spans="1:16" ht="14.25" customHeight="1" x14ac:dyDescent="0.3">
      <c r="A120" s="4" t="s">
        <v>104</v>
      </c>
      <c r="B120" s="5">
        <v>7.5555555555555554</v>
      </c>
      <c r="O120" s="4" t="s">
        <v>104</v>
      </c>
      <c r="P120" s="3">
        <v>9</v>
      </c>
    </row>
    <row r="121" spans="1:16" ht="14.25" customHeight="1" x14ac:dyDescent="0.3">
      <c r="A121" s="4" t="s">
        <v>105</v>
      </c>
      <c r="B121" s="5">
        <v>7.4</v>
      </c>
      <c r="O121" s="4" t="s">
        <v>105</v>
      </c>
      <c r="P121" s="3">
        <v>10</v>
      </c>
    </row>
    <row r="122" spans="1:16" ht="14.25" customHeight="1" x14ac:dyDescent="0.3">
      <c r="A122" s="4" t="s">
        <v>106</v>
      </c>
      <c r="B122" s="5">
        <v>7.166666666666667</v>
      </c>
      <c r="O122" s="4" t="s">
        <v>106</v>
      </c>
      <c r="P122" s="3">
        <v>6</v>
      </c>
    </row>
    <row r="123" spans="1:16" ht="14.25" customHeight="1" x14ac:dyDescent="0.3">
      <c r="A123" s="4" t="s">
        <v>107</v>
      </c>
      <c r="B123" s="5">
        <v>8.1428571428571423</v>
      </c>
      <c r="O123" s="4" t="s">
        <v>107</v>
      </c>
      <c r="P123" s="3">
        <v>7</v>
      </c>
    </row>
    <row r="124" spans="1:16" ht="14.25" customHeight="1" x14ac:dyDescent="0.3">
      <c r="A124" s="4" t="s">
        <v>108</v>
      </c>
      <c r="B124" s="5">
        <v>7.8</v>
      </c>
      <c r="O124" s="4" t="s">
        <v>108</v>
      </c>
      <c r="P124" s="3">
        <v>5</v>
      </c>
    </row>
    <row r="125" spans="1:16" ht="14.25" customHeight="1" x14ac:dyDescent="0.3">
      <c r="A125" s="4" t="s">
        <v>109</v>
      </c>
      <c r="B125" s="5">
        <v>1</v>
      </c>
      <c r="O125" s="4" t="s">
        <v>109</v>
      </c>
      <c r="P125" s="3">
        <v>1</v>
      </c>
    </row>
    <row r="126" spans="1:16" ht="14.25" customHeight="1" x14ac:dyDescent="0.3">
      <c r="A126" s="4" t="s">
        <v>110</v>
      </c>
      <c r="B126" s="5">
        <v>3.5</v>
      </c>
      <c r="O126" s="4" t="s">
        <v>110</v>
      </c>
      <c r="P126" s="3">
        <v>2</v>
      </c>
    </row>
    <row r="127" spans="1:16" ht="14.25" customHeight="1" x14ac:dyDescent="0.3">
      <c r="A127" s="4" t="s">
        <v>111</v>
      </c>
      <c r="B127" s="5">
        <v>8.25</v>
      </c>
      <c r="O127" s="4" t="s">
        <v>111</v>
      </c>
      <c r="P127" s="3">
        <v>4</v>
      </c>
    </row>
    <row r="128" spans="1:16" ht="14.25" customHeight="1" x14ac:dyDescent="0.3">
      <c r="A128" s="4" t="s">
        <v>112</v>
      </c>
      <c r="B128" s="5">
        <v>5.666666666666667</v>
      </c>
      <c r="O128" s="4" t="s">
        <v>112</v>
      </c>
      <c r="P128" s="3">
        <v>6</v>
      </c>
    </row>
    <row r="129" spans="1:16" ht="14.25" customHeight="1" x14ac:dyDescent="0.3">
      <c r="A129" s="4" t="s">
        <v>113</v>
      </c>
      <c r="B129" s="5">
        <v>5.8888888888888893</v>
      </c>
      <c r="O129" s="4" t="s">
        <v>113</v>
      </c>
      <c r="P129" s="3">
        <v>9</v>
      </c>
    </row>
    <row r="130" spans="1:16" ht="14.25" customHeight="1" x14ac:dyDescent="0.3">
      <c r="A130" s="4" t="s">
        <v>114</v>
      </c>
      <c r="B130" s="5">
        <v>7.333333333333333</v>
      </c>
      <c r="O130" s="4" t="s">
        <v>114</v>
      </c>
      <c r="P130" s="3">
        <v>6</v>
      </c>
    </row>
    <row r="131" spans="1:16" ht="14.25" customHeight="1" x14ac:dyDescent="0.3">
      <c r="A131" s="4" t="s">
        <v>115</v>
      </c>
      <c r="B131" s="5">
        <v>6.8</v>
      </c>
      <c r="O131" s="4" t="s">
        <v>115</v>
      </c>
      <c r="P131" s="3">
        <v>5</v>
      </c>
    </row>
    <row r="132" spans="1:16" ht="14.25" customHeight="1" x14ac:dyDescent="0.3">
      <c r="O132" s="4" t="s">
        <v>27</v>
      </c>
      <c r="P132" s="3">
        <v>794</v>
      </c>
    </row>
    <row r="133" spans="1:16" ht="14.25" customHeight="1" x14ac:dyDescent="0.3"/>
    <row r="134" spans="1:16" ht="14.25" customHeight="1" x14ac:dyDescent="0.3"/>
    <row r="135" spans="1:16" ht="14.25" customHeight="1" x14ac:dyDescent="0.3"/>
    <row r="136" spans="1:16" ht="14.25" customHeight="1" x14ac:dyDescent="0.3"/>
    <row r="137" spans="1:16" ht="14.25" customHeight="1" x14ac:dyDescent="0.3"/>
    <row r="138" spans="1:16" ht="14.25" customHeight="1" x14ac:dyDescent="0.3"/>
    <row r="139" spans="1:16" ht="14.25" customHeight="1" x14ac:dyDescent="0.3"/>
    <row r="140" spans="1:16" ht="14.25" customHeight="1" x14ac:dyDescent="0.3"/>
    <row r="141" spans="1:16" ht="14.25" customHeight="1" x14ac:dyDescent="0.3"/>
    <row r="142" spans="1:16" ht="14.25" customHeight="1" x14ac:dyDescent="0.3"/>
    <row r="143" spans="1:16" ht="14.25" customHeight="1" x14ac:dyDescent="0.3"/>
    <row r="144" spans="1:16"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RowColHeaders="0" topLeftCell="B3" zoomScale="102" workbookViewId="0">
      <selection activeCell="F2" sqref="F2"/>
    </sheetView>
  </sheetViews>
  <sheetFormatPr defaultColWidth="14.44140625" defaultRowHeight="15" customHeight="1" x14ac:dyDescent="0.3"/>
  <cols>
    <col min="1" max="6" width="8.88671875" customWidth="1"/>
    <col min="7" max="26" width="8.6640625" customWidth="1"/>
  </cols>
  <sheetData>
    <row r="1" spans="1:26" ht="14.25" customHeight="1" x14ac:dyDescent="0.3">
      <c r="A1" s="6"/>
      <c r="B1" s="6"/>
      <c r="C1" s="6"/>
      <c r="D1" s="6"/>
      <c r="E1" s="6"/>
      <c r="F1" s="6"/>
      <c r="G1" s="6"/>
      <c r="H1" s="6"/>
      <c r="I1" s="6"/>
      <c r="J1" s="6"/>
      <c r="K1" s="6"/>
      <c r="L1" s="6"/>
      <c r="M1" s="6"/>
      <c r="N1" s="6"/>
      <c r="O1" s="6"/>
      <c r="P1" s="6"/>
      <c r="Q1" s="6"/>
      <c r="R1" s="6"/>
      <c r="S1" s="6"/>
      <c r="T1" s="6"/>
      <c r="U1" s="6"/>
      <c r="V1" s="6"/>
      <c r="W1" s="6"/>
      <c r="X1" s="6"/>
      <c r="Y1" s="6"/>
      <c r="Z1" s="6"/>
    </row>
    <row r="2" spans="1:26" ht="14.25" customHeight="1" x14ac:dyDescent="0.3">
      <c r="A2" s="6"/>
      <c r="B2" s="6"/>
      <c r="C2" s="6"/>
      <c r="D2" s="6"/>
      <c r="E2" s="6"/>
      <c r="F2" s="6"/>
      <c r="G2" s="6"/>
      <c r="H2" s="6"/>
      <c r="I2" s="6"/>
      <c r="J2" s="6"/>
      <c r="K2" s="6"/>
      <c r="L2" s="6"/>
      <c r="M2" s="6"/>
      <c r="N2" s="6"/>
      <c r="O2" s="6"/>
      <c r="P2" s="6"/>
      <c r="Q2" s="6"/>
      <c r="R2" s="6"/>
      <c r="S2" s="6"/>
      <c r="T2" s="6"/>
      <c r="U2" s="6"/>
      <c r="V2" s="6"/>
      <c r="W2" s="6"/>
      <c r="X2" s="6"/>
      <c r="Y2" s="6"/>
      <c r="Z2" s="6"/>
    </row>
    <row r="3" spans="1:26" ht="14.25" customHeight="1" x14ac:dyDescent="0.3">
      <c r="A3" s="6"/>
      <c r="B3" s="6"/>
      <c r="C3" s="6"/>
      <c r="D3" s="6"/>
      <c r="E3" s="6"/>
      <c r="F3" s="6"/>
      <c r="G3" s="6"/>
      <c r="H3" s="6"/>
      <c r="I3" s="6"/>
      <c r="J3" s="6"/>
      <c r="K3" s="6"/>
      <c r="L3" s="6"/>
      <c r="M3" s="6"/>
      <c r="N3" s="6"/>
      <c r="O3" s="6"/>
      <c r="P3" s="6"/>
      <c r="Q3" s="6"/>
      <c r="R3" s="6"/>
      <c r="S3" s="6"/>
      <c r="T3" s="6"/>
      <c r="U3" s="6"/>
      <c r="V3" s="6"/>
      <c r="W3" s="6"/>
      <c r="X3" s="6"/>
      <c r="Y3" s="6"/>
      <c r="Z3" s="6"/>
    </row>
    <row r="4" spans="1:26" ht="14.25" customHeight="1" x14ac:dyDescent="0.3">
      <c r="A4" s="6"/>
      <c r="B4" s="6"/>
      <c r="C4" s="6"/>
      <c r="D4" s="6"/>
      <c r="E4" s="6"/>
      <c r="F4" s="6"/>
      <c r="G4" s="6"/>
      <c r="H4" s="6"/>
      <c r="I4" s="6"/>
      <c r="J4" s="6"/>
      <c r="K4" s="6"/>
      <c r="L4" s="6"/>
      <c r="M4" s="6"/>
      <c r="N4" s="6"/>
      <c r="O4" s="6"/>
      <c r="P4" s="6"/>
      <c r="Q4" s="6"/>
      <c r="R4" s="6"/>
      <c r="S4" s="6"/>
      <c r="T4" s="6"/>
      <c r="U4" s="6"/>
      <c r="V4" s="6"/>
      <c r="W4" s="6"/>
      <c r="X4" s="6"/>
      <c r="Y4" s="6"/>
      <c r="Z4" s="6"/>
    </row>
    <row r="5" spans="1:26" ht="14.25" customHeight="1" x14ac:dyDescent="0.3">
      <c r="A5" s="6"/>
      <c r="B5" s="6"/>
      <c r="C5" s="6"/>
      <c r="D5" s="6"/>
      <c r="E5" s="6"/>
      <c r="F5" s="6"/>
      <c r="G5" s="6"/>
      <c r="H5" s="6"/>
      <c r="I5" s="6"/>
      <c r="J5" s="6"/>
      <c r="K5" s="6"/>
      <c r="L5" s="6"/>
      <c r="M5" s="6"/>
      <c r="N5" s="6"/>
      <c r="O5" s="6"/>
      <c r="P5" s="6"/>
      <c r="Q5" s="6"/>
      <c r="R5" s="6"/>
      <c r="S5" s="6"/>
      <c r="T5" s="6"/>
      <c r="U5" s="6"/>
      <c r="V5" s="6"/>
      <c r="W5" s="6"/>
      <c r="X5" s="6"/>
      <c r="Y5" s="6"/>
      <c r="Z5" s="6"/>
    </row>
    <row r="6" spans="1:26" ht="14.25" customHeight="1" x14ac:dyDescent="0.3">
      <c r="A6" s="6"/>
      <c r="B6" s="6"/>
      <c r="C6" s="6"/>
      <c r="D6" s="6"/>
      <c r="E6" s="6"/>
      <c r="F6" s="6"/>
      <c r="G6" s="6"/>
      <c r="H6" s="6"/>
      <c r="I6" s="6"/>
      <c r="J6" s="6"/>
      <c r="K6" s="6"/>
      <c r="L6" s="6"/>
      <c r="M6" s="6"/>
      <c r="N6" s="6"/>
      <c r="O6" s="6"/>
      <c r="P6" s="6"/>
      <c r="Q6" s="6"/>
      <c r="R6" s="6"/>
      <c r="S6" s="6"/>
      <c r="T6" s="6"/>
      <c r="U6" s="6"/>
      <c r="V6" s="6"/>
      <c r="W6" s="6"/>
      <c r="X6" s="6"/>
      <c r="Y6" s="6"/>
      <c r="Z6" s="6"/>
    </row>
    <row r="7" spans="1:26" ht="14.25" customHeight="1" x14ac:dyDescent="0.3">
      <c r="A7" s="6"/>
      <c r="B7" s="6"/>
      <c r="C7" s="6"/>
      <c r="D7" s="6"/>
      <c r="E7" s="6"/>
      <c r="F7" s="6"/>
      <c r="G7" s="6"/>
      <c r="H7" s="6"/>
      <c r="I7" s="6"/>
      <c r="J7" s="6"/>
      <c r="K7" s="6"/>
      <c r="L7" s="6"/>
      <c r="M7" s="6"/>
      <c r="N7" s="6"/>
      <c r="O7" s="6"/>
      <c r="P7" s="6"/>
      <c r="Q7" s="6"/>
      <c r="R7" s="6"/>
      <c r="S7" s="6"/>
      <c r="T7" s="6"/>
      <c r="U7" s="6"/>
      <c r="V7" s="6"/>
      <c r="W7" s="6"/>
      <c r="X7" s="6"/>
      <c r="Y7" s="6"/>
      <c r="Z7" s="6"/>
    </row>
    <row r="8" spans="1:26" ht="14.25" customHeight="1" x14ac:dyDescent="0.3">
      <c r="A8" s="6"/>
      <c r="B8" s="6"/>
      <c r="C8" s="6"/>
      <c r="D8" s="6"/>
      <c r="E8" s="6"/>
      <c r="F8" s="6"/>
      <c r="G8" s="6"/>
      <c r="H8" s="6"/>
      <c r="I8" s="6"/>
      <c r="J8" s="6"/>
      <c r="K8" s="6"/>
      <c r="L8" s="6"/>
      <c r="M8" s="6"/>
      <c r="N8" s="6"/>
      <c r="O8" s="6"/>
      <c r="P8" s="6"/>
      <c r="Q8" s="6"/>
      <c r="R8" s="6"/>
      <c r="S8" s="6"/>
      <c r="T8" s="6"/>
      <c r="U8" s="6"/>
      <c r="V8" s="6"/>
      <c r="W8" s="6"/>
      <c r="X8" s="6"/>
      <c r="Y8" s="6"/>
      <c r="Z8" s="6"/>
    </row>
    <row r="9" spans="1:26" ht="14.25" customHeight="1" x14ac:dyDescent="0.3">
      <c r="A9" s="6"/>
      <c r="B9" s="6"/>
      <c r="C9" s="6"/>
      <c r="D9" s="6"/>
      <c r="E9" s="6"/>
      <c r="F9" s="6"/>
      <c r="G9" s="6"/>
      <c r="H9" s="6"/>
      <c r="I9" s="6"/>
      <c r="J9" s="6"/>
      <c r="K9" s="6"/>
      <c r="L9" s="6"/>
      <c r="M9" s="6"/>
      <c r="N9" s="6"/>
      <c r="O9" s="6"/>
      <c r="P9" s="6"/>
      <c r="Q9" s="6"/>
      <c r="R9" s="6"/>
      <c r="S9" s="6"/>
      <c r="T9" s="6"/>
      <c r="U9" s="6"/>
      <c r="V9" s="6"/>
      <c r="W9" s="6"/>
      <c r="X9" s="6"/>
      <c r="Y9" s="6"/>
      <c r="Z9" s="6"/>
    </row>
    <row r="10" spans="1:26" ht="14.25" customHeight="1" x14ac:dyDescent="0.3">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14.25" customHeight="1" x14ac:dyDescent="0.3">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4.25" customHeight="1" x14ac:dyDescent="0.3">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4.25" customHeight="1" x14ac:dyDescent="0.3">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4.25" customHeight="1" x14ac:dyDescent="0.3">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4.25" customHeight="1" x14ac:dyDescent="0.3">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4.25" customHeight="1" x14ac:dyDescent="0.3">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4.25" customHeight="1" x14ac:dyDescent="0.3">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4.25" customHeight="1" x14ac:dyDescent="0.3">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4.25" customHeight="1" x14ac:dyDescent="0.3">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4.25" customHeight="1" x14ac:dyDescent="0.3">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4.25" customHeight="1" x14ac:dyDescent="0.3">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4.25" customHeight="1"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4.25" customHeight="1" x14ac:dyDescent="0.3">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4.25" customHeight="1" x14ac:dyDescent="0.3">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4.25" customHeight="1" x14ac:dyDescent="0.3">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4.25" customHeight="1" x14ac:dyDescent="0.3">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4.25" customHeight="1"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4.25" customHeight="1"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4.25" customHeight="1"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4.25" customHeight="1"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4.25" customHeight="1" x14ac:dyDescent="0.3">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4.25" customHeight="1" x14ac:dyDescent="0.3">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4.25" customHeight="1" x14ac:dyDescent="0.3">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4.25" customHeight="1" x14ac:dyDescent="0.3">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4.25" customHeight="1" x14ac:dyDescent="0.3">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4.25" customHeight="1" x14ac:dyDescent="0.3">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4.25" customHeight="1" x14ac:dyDescent="0.3">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4.25" customHeight="1" x14ac:dyDescent="0.3">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4.25" customHeight="1" x14ac:dyDescent="0.3">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4.25" customHeight="1" x14ac:dyDescent="0.3">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4.25" customHeight="1" x14ac:dyDescent="0.3">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4.25" customHeight="1" x14ac:dyDescent="0.3">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4.25" customHeight="1" x14ac:dyDescent="0.3">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4.25" customHeight="1" x14ac:dyDescent="0.3">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4.25" customHeight="1" x14ac:dyDescent="0.3">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4.25" customHeight="1" x14ac:dyDescent="0.3">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4.25" customHeight="1" x14ac:dyDescent="0.3">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4.25" customHeight="1" x14ac:dyDescent="0.3">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4.25" customHeight="1" x14ac:dyDescent="0.3">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4.25" customHeight="1" x14ac:dyDescent="0.3">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4.25" customHeight="1" x14ac:dyDescent="0.3">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4.25" customHeight="1" x14ac:dyDescent="0.3">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4.25" customHeight="1" x14ac:dyDescent="0.3">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4.25" customHeight="1" x14ac:dyDescent="0.3">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4.25" customHeight="1" x14ac:dyDescent="0.3">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4.25" customHeight="1" x14ac:dyDescent="0.3">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4.25" customHeight="1" x14ac:dyDescent="0.3">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4.25" customHeight="1" x14ac:dyDescent="0.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4.25" customHeight="1" x14ac:dyDescent="0.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4.25" customHeight="1" x14ac:dyDescent="0.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4.25" customHeight="1" x14ac:dyDescent="0.3">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4.25" customHeight="1" x14ac:dyDescent="0.3">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4.25" customHeight="1" x14ac:dyDescent="0.3">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4.25" customHeight="1" x14ac:dyDescent="0.3">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4.25" customHeight="1" x14ac:dyDescent="0.3">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4.25" customHeight="1" x14ac:dyDescent="0.3">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4.25" customHeight="1" x14ac:dyDescent="0.3">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4.25" customHeight="1" x14ac:dyDescent="0.3">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4.25" customHeight="1" x14ac:dyDescent="0.3">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4.25" customHeight="1" x14ac:dyDescent="0.3">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4.25" customHeight="1" x14ac:dyDescent="0.3">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4.25" customHeight="1" x14ac:dyDescent="0.3">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4.25" customHeight="1" x14ac:dyDescent="0.3">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4.25" customHeight="1" x14ac:dyDescent="0.3">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4.25" customHeight="1" x14ac:dyDescent="0.3">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4.25" customHeight="1" x14ac:dyDescent="0.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4.25" customHeight="1" x14ac:dyDescent="0.3">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4.25" customHeight="1" x14ac:dyDescent="0.3">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4.25" customHeight="1" x14ac:dyDescent="0.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4.25" customHeight="1" x14ac:dyDescent="0.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4.25" customHeight="1" x14ac:dyDescent="0.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4.25" customHeight="1" x14ac:dyDescent="0.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4.25" customHeight="1" x14ac:dyDescent="0.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4.25" customHeight="1" x14ac:dyDescent="0.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4.25" customHeight="1" x14ac:dyDescent="0.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4.25" customHeight="1" x14ac:dyDescent="0.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4.25" customHeight="1" x14ac:dyDescent="0.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4.25" customHeight="1" x14ac:dyDescent="0.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4.25" customHeight="1" x14ac:dyDescent="0.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4.25" customHeight="1" x14ac:dyDescent="0.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4.25" customHeight="1" x14ac:dyDescent="0.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4.25" customHeight="1" x14ac:dyDescent="0.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4.25" customHeight="1" x14ac:dyDescent="0.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4.25" customHeight="1" x14ac:dyDescent="0.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4.25" customHeight="1" x14ac:dyDescent="0.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4.25" customHeight="1" x14ac:dyDescent="0.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4.25" customHeight="1" x14ac:dyDescent="0.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4.25" customHeight="1" x14ac:dyDescent="0.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4.25" customHeight="1" x14ac:dyDescent="0.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4.25" customHeight="1"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25" customHeight="1"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25" customHeight="1"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25" customHeight="1"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25" customHeight="1"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25" customHeight="1"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25" customHeight="1"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25" customHeight="1"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25" customHeight="1"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25" customHeight="1"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25" customHeight="1"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25" customHeight="1"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25" customHeight="1"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25" customHeight="1"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25" customHeight="1"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25" customHeight="1"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25" customHeight="1"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25" customHeight="1"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25" customHeight="1"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25" customHeight="1"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25" customHeight="1"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25" customHeight="1"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25" customHeight="1"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25" customHeight="1"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25" customHeight="1"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4CB14-A712-4321-914C-249309F06E57}">
  <dimension ref="A1:S130"/>
  <sheetViews>
    <sheetView topLeftCell="A25" zoomScale="46" workbookViewId="0">
      <selection activeCell="C44" sqref="C44:I61"/>
    </sheetView>
  </sheetViews>
  <sheetFormatPr defaultRowHeight="14.4" x14ac:dyDescent="0.3"/>
  <cols>
    <col min="1" max="1" width="18.33203125" bestFit="1" customWidth="1"/>
    <col min="2" max="2" width="15.77734375" bestFit="1" customWidth="1"/>
    <col min="4" max="4" width="12.44140625" bestFit="1" customWidth="1"/>
    <col min="5" max="5" width="19.5546875" bestFit="1" customWidth="1"/>
    <col min="15" max="15" width="14.109375" bestFit="1" customWidth="1"/>
    <col min="16" max="16" width="19.5546875" bestFit="1" customWidth="1"/>
    <col min="17" max="17" width="12.44140625" bestFit="1" customWidth="1"/>
    <col min="18" max="19" width="20.5546875" bestFit="1" customWidth="1"/>
  </cols>
  <sheetData>
    <row r="1" spans="1:16" ht="18" x14ac:dyDescent="0.35">
      <c r="A1" s="26" t="s">
        <v>1788</v>
      </c>
    </row>
    <row r="2" spans="1:16" ht="23.4" x14ac:dyDescent="0.45">
      <c r="C2" s="27"/>
      <c r="N2" s="27" t="s">
        <v>1789</v>
      </c>
    </row>
    <row r="4" spans="1:16" x14ac:dyDescent="0.3">
      <c r="A4" s="18" t="s">
        <v>21</v>
      </c>
      <c r="B4" s="16" t="s">
        <v>22</v>
      </c>
    </row>
    <row r="5" spans="1:16" x14ac:dyDescent="0.3">
      <c r="A5" s="22" t="s">
        <v>23</v>
      </c>
      <c r="B5" s="16">
        <v>7.2980392156862743</v>
      </c>
    </row>
    <row r="6" spans="1:16" x14ac:dyDescent="0.3">
      <c r="A6" s="23" t="s">
        <v>24</v>
      </c>
      <c r="B6" s="24">
        <v>6.8976377952755907</v>
      </c>
      <c r="O6" s="18" t="s">
        <v>21</v>
      </c>
      <c r="P6" s="16" t="s">
        <v>28</v>
      </c>
    </row>
    <row r="7" spans="1:16" x14ac:dyDescent="0.3">
      <c r="A7" s="23" t="s">
        <v>25</v>
      </c>
      <c r="B7" s="24">
        <v>6.9087719298245611</v>
      </c>
      <c r="O7" s="22" t="s">
        <v>23</v>
      </c>
      <c r="P7" s="16">
        <v>255</v>
      </c>
    </row>
    <row r="8" spans="1:16" x14ac:dyDescent="0.3">
      <c r="A8" s="25" t="s">
        <v>27</v>
      </c>
      <c r="B8" s="17">
        <v>7.0302267002518892</v>
      </c>
      <c r="O8" s="23" t="s">
        <v>24</v>
      </c>
      <c r="P8" s="24">
        <v>254</v>
      </c>
    </row>
    <row r="9" spans="1:16" x14ac:dyDescent="0.3">
      <c r="O9" s="23" t="s">
        <v>25</v>
      </c>
      <c r="P9" s="24">
        <v>285</v>
      </c>
    </row>
    <row r="10" spans="1:16" x14ac:dyDescent="0.3">
      <c r="O10" s="25" t="s">
        <v>27</v>
      </c>
      <c r="P10" s="17">
        <v>794</v>
      </c>
    </row>
    <row r="19" spans="4:19" ht="28.8" x14ac:dyDescent="0.55000000000000004">
      <c r="D19" s="28" t="s">
        <v>1790</v>
      </c>
    </row>
    <row r="20" spans="4:19" ht="25.8" x14ac:dyDescent="0.5">
      <c r="P20" s="29" t="s">
        <v>1791</v>
      </c>
    </row>
    <row r="22" spans="4:19" x14ac:dyDescent="0.3">
      <c r="D22" s="18" t="s">
        <v>21</v>
      </c>
      <c r="E22" s="16" t="s">
        <v>28</v>
      </c>
    </row>
    <row r="23" spans="4:19" x14ac:dyDescent="0.3">
      <c r="D23" s="22" t="s">
        <v>29</v>
      </c>
      <c r="E23" s="16">
        <v>72</v>
      </c>
    </row>
    <row r="24" spans="4:19" x14ac:dyDescent="0.3">
      <c r="D24" s="23" t="s">
        <v>30</v>
      </c>
      <c r="E24" s="24">
        <v>300</v>
      </c>
      <c r="R24" s="18" t="s">
        <v>21</v>
      </c>
      <c r="S24" s="16" t="s">
        <v>22</v>
      </c>
    </row>
    <row r="25" spans="4:19" x14ac:dyDescent="0.3">
      <c r="D25" s="23" t="s">
        <v>31</v>
      </c>
      <c r="E25" s="24">
        <v>422</v>
      </c>
      <c r="R25" s="22" t="s">
        <v>29</v>
      </c>
      <c r="S25" s="16">
        <v>6.625</v>
      </c>
    </row>
    <row r="26" spans="4:19" x14ac:dyDescent="0.3">
      <c r="D26" s="25" t="s">
        <v>27</v>
      </c>
      <c r="E26" s="17">
        <v>794</v>
      </c>
      <c r="R26" s="23" t="s">
        <v>30</v>
      </c>
      <c r="S26" s="24">
        <v>6.9133333333333331</v>
      </c>
    </row>
    <row r="27" spans="4:19" x14ac:dyDescent="0.3">
      <c r="R27" s="23" t="s">
        <v>31</v>
      </c>
      <c r="S27" s="24">
        <v>7.1824644549763033</v>
      </c>
    </row>
    <row r="28" spans="4:19" x14ac:dyDescent="0.3">
      <c r="R28" s="25" t="s">
        <v>27</v>
      </c>
      <c r="S28" s="17">
        <v>7.0302267002518892</v>
      </c>
    </row>
    <row r="41" spans="1:18" ht="23.4" x14ac:dyDescent="0.45">
      <c r="Q41" s="27" t="s">
        <v>1820</v>
      </c>
    </row>
    <row r="42" spans="1:18" ht="25.8" x14ac:dyDescent="0.5">
      <c r="A42" s="29" t="s">
        <v>1823</v>
      </c>
    </row>
    <row r="44" spans="1:18" x14ac:dyDescent="0.3">
      <c r="Q44" s="18" t="s">
        <v>21</v>
      </c>
      <c r="R44" s="16" t="s">
        <v>22</v>
      </c>
    </row>
    <row r="45" spans="1:18" x14ac:dyDescent="0.3">
      <c r="A45" s="18" t="s">
        <v>21</v>
      </c>
      <c r="B45" s="16" t="s">
        <v>1822</v>
      </c>
      <c r="Q45" s="22" t="s">
        <v>32</v>
      </c>
      <c r="R45" s="16">
        <v>6.5384615384615383</v>
      </c>
    </row>
    <row r="46" spans="1:18" x14ac:dyDescent="0.3">
      <c r="A46" s="22" t="s">
        <v>32</v>
      </c>
      <c r="B46" s="16">
        <v>13</v>
      </c>
      <c r="Q46" s="23" t="s">
        <v>33</v>
      </c>
      <c r="R46" s="24">
        <v>8.0909090909090917</v>
      </c>
    </row>
    <row r="47" spans="1:18" x14ac:dyDescent="0.3">
      <c r="A47" s="23" t="s">
        <v>33</v>
      </c>
      <c r="B47" s="24">
        <v>11</v>
      </c>
      <c r="Q47" s="23" t="s">
        <v>34</v>
      </c>
      <c r="R47" s="24">
        <v>7.333333333333333</v>
      </c>
    </row>
    <row r="48" spans="1:18" x14ac:dyDescent="0.3">
      <c r="A48" s="23" t="s">
        <v>34</v>
      </c>
      <c r="B48" s="24">
        <v>18</v>
      </c>
      <c r="Q48" s="23" t="s">
        <v>35</v>
      </c>
      <c r="R48" s="24">
        <v>6.2857142857142856</v>
      </c>
    </row>
    <row r="49" spans="1:18" x14ac:dyDescent="0.3">
      <c r="A49" s="23" t="s">
        <v>35</v>
      </c>
      <c r="B49" s="24">
        <v>7</v>
      </c>
      <c r="Q49" s="23" t="s">
        <v>36</v>
      </c>
      <c r="R49" s="24">
        <v>8.3333333333333339</v>
      </c>
    </row>
    <row r="50" spans="1:18" x14ac:dyDescent="0.3">
      <c r="A50" s="23" t="s">
        <v>36</v>
      </c>
      <c r="B50" s="24">
        <v>12</v>
      </c>
      <c r="Q50" s="23" t="s">
        <v>37</v>
      </c>
      <c r="R50" s="24">
        <v>4.833333333333333</v>
      </c>
    </row>
    <row r="51" spans="1:18" x14ac:dyDescent="0.3">
      <c r="A51" s="23" t="s">
        <v>37</v>
      </c>
      <c r="B51" s="24">
        <v>6</v>
      </c>
      <c r="Q51" s="23" t="s">
        <v>38</v>
      </c>
      <c r="R51" s="24">
        <v>7.7692307692307692</v>
      </c>
    </row>
    <row r="52" spans="1:18" x14ac:dyDescent="0.3">
      <c r="A52" s="23" t="s">
        <v>38</v>
      </c>
      <c r="B52" s="24">
        <v>13</v>
      </c>
      <c r="Q52" s="23" t="s">
        <v>39</v>
      </c>
      <c r="R52" s="24">
        <v>4.875</v>
      </c>
    </row>
    <row r="53" spans="1:18" x14ac:dyDescent="0.3">
      <c r="A53" s="23" t="s">
        <v>39</v>
      </c>
      <c r="B53" s="24">
        <v>8</v>
      </c>
      <c r="Q53" s="23" t="s">
        <v>40</v>
      </c>
      <c r="R53" s="24">
        <v>5.8571428571428568</v>
      </c>
    </row>
    <row r="54" spans="1:18" x14ac:dyDescent="0.3">
      <c r="A54" s="23" t="s">
        <v>40</v>
      </c>
      <c r="B54" s="24">
        <v>7</v>
      </c>
      <c r="Q54" s="23" t="s">
        <v>41</v>
      </c>
      <c r="R54" s="24">
        <v>8.0294117647058822</v>
      </c>
    </row>
    <row r="55" spans="1:18" x14ac:dyDescent="0.3">
      <c r="A55" s="23" t="s">
        <v>41</v>
      </c>
      <c r="B55" s="24">
        <v>34</v>
      </c>
      <c r="Q55" s="23" t="s">
        <v>42</v>
      </c>
      <c r="R55" s="24">
        <v>6.4827586206896548</v>
      </c>
    </row>
    <row r="56" spans="1:18" x14ac:dyDescent="0.3">
      <c r="A56" s="23" t="s">
        <v>42</v>
      </c>
      <c r="B56" s="24">
        <v>29</v>
      </c>
      <c r="Q56" s="23" t="s">
        <v>43</v>
      </c>
      <c r="R56" s="24">
        <v>6.7692307692307692</v>
      </c>
    </row>
    <row r="57" spans="1:18" x14ac:dyDescent="0.3">
      <c r="A57" s="23" t="s">
        <v>43</v>
      </c>
      <c r="B57" s="24">
        <v>13</v>
      </c>
      <c r="Q57" s="23" t="s">
        <v>44</v>
      </c>
      <c r="R57" s="24">
        <v>7.5769230769230766</v>
      </c>
    </row>
    <row r="58" spans="1:18" x14ac:dyDescent="0.3">
      <c r="A58" s="23" t="s">
        <v>44</v>
      </c>
      <c r="B58" s="24">
        <v>26</v>
      </c>
      <c r="Q58" s="23" t="s">
        <v>45</v>
      </c>
      <c r="R58" s="24">
        <v>6.3529411764705879</v>
      </c>
    </row>
    <row r="59" spans="1:18" x14ac:dyDescent="0.3">
      <c r="A59" s="23" t="s">
        <v>45</v>
      </c>
      <c r="B59" s="24">
        <v>17</v>
      </c>
      <c r="Q59" s="23" t="s">
        <v>46</v>
      </c>
      <c r="R59" s="24">
        <v>7.8181818181818183</v>
      </c>
    </row>
    <row r="60" spans="1:18" x14ac:dyDescent="0.3">
      <c r="A60" s="23" t="s">
        <v>46</v>
      </c>
      <c r="B60" s="24">
        <v>11</v>
      </c>
      <c r="Q60" s="23" t="s">
        <v>47</v>
      </c>
      <c r="R60" s="24">
        <v>7.3703703703703702</v>
      </c>
    </row>
    <row r="61" spans="1:18" x14ac:dyDescent="0.3">
      <c r="A61" s="23" t="s">
        <v>47</v>
      </c>
      <c r="B61" s="24">
        <v>27</v>
      </c>
      <c r="Q61" s="23" t="s">
        <v>48</v>
      </c>
      <c r="R61" s="24">
        <v>7.7</v>
      </c>
    </row>
    <row r="62" spans="1:18" x14ac:dyDescent="0.3">
      <c r="A62" s="23" t="s">
        <v>48</v>
      </c>
      <c r="B62" s="24">
        <v>10</v>
      </c>
      <c r="Q62" s="23" t="s">
        <v>1796</v>
      </c>
      <c r="R62" s="24">
        <v>7.3</v>
      </c>
    </row>
    <row r="63" spans="1:18" x14ac:dyDescent="0.3">
      <c r="A63" s="23" t="s">
        <v>1796</v>
      </c>
      <c r="B63" s="24">
        <v>10</v>
      </c>
      <c r="Q63" s="23" t="s">
        <v>1797</v>
      </c>
      <c r="R63" s="24">
        <v>6.6</v>
      </c>
    </row>
    <row r="64" spans="1:18" x14ac:dyDescent="0.3">
      <c r="A64" s="23" t="s">
        <v>1797</v>
      </c>
      <c r="B64" s="24">
        <v>15</v>
      </c>
      <c r="Q64" s="23" t="s">
        <v>1798</v>
      </c>
      <c r="R64" s="24">
        <v>6.4</v>
      </c>
    </row>
    <row r="65" spans="1:18" x14ac:dyDescent="0.3">
      <c r="A65" s="23" t="s">
        <v>1798</v>
      </c>
      <c r="B65" s="24">
        <v>5</v>
      </c>
      <c r="Q65" s="23" t="s">
        <v>1799</v>
      </c>
      <c r="R65" s="24">
        <v>7.3125</v>
      </c>
    </row>
    <row r="66" spans="1:18" x14ac:dyDescent="0.3">
      <c r="A66" s="23" t="s">
        <v>1799</v>
      </c>
      <c r="B66" s="24">
        <v>16</v>
      </c>
      <c r="Q66" s="23" t="s">
        <v>1800</v>
      </c>
      <c r="R66" s="24">
        <v>7.6</v>
      </c>
    </row>
    <row r="67" spans="1:18" x14ac:dyDescent="0.3">
      <c r="A67" s="23" t="s">
        <v>1800</v>
      </c>
      <c r="B67" s="24">
        <v>10</v>
      </c>
      <c r="Q67" s="23" t="s">
        <v>1801</v>
      </c>
      <c r="R67" s="24">
        <v>6.9</v>
      </c>
    </row>
    <row r="68" spans="1:18" x14ac:dyDescent="0.3">
      <c r="A68" s="23" t="s">
        <v>1801</v>
      </c>
      <c r="B68" s="24">
        <v>10</v>
      </c>
      <c r="Q68" s="23" t="s">
        <v>1802</v>
      </c>
      <c r="R68" s="24">
        <v>7.3</v>
      </c>
    </row>
    <row r="69" spans="1:18" x14ac:dyDescent="0.3">
      <c r="A69" s="23" t="s">
        <v>1802</v>
      </c>
      <c r="B69" s="24">
        <v>10</v>
      </c>
      <c r="Q69" s="23" t="s">
        <v>1803</v>
      </c>
      <c r="R69" s="24">
        <v>7.3</v>
      </c>
    </row>
    <row r="70" spans="1:18" x14ac:dyDescent="0.3">
      <c r="A70" s="23" t="s">
        <v>1803</v>
      </c>
      <c r="B70" s="24">
        <v>10</v>
      </c>
      <c r="Q70" s="23" t="s">
        <v>1804</v>
      </c>
      <c r="R70" s="24">
        <v>6.1</v>
      </c>
    </row>
    <row r="71" spans="1:18" x14ac:dyDescent="0.3">
      <c r="A71" s="23" t="s">
        <v>1804</v>
      </c>
      <c r="B71" s="24">
        <v>10</v>
      </c>
      <c r="Q71" s="23" t="s">
        <v>58</v>
      </c>
      <c r="R71" s="24">
        <v>6.333333333333333</v>
      </c>
    </row>
    <row r="72" spans="1:18" x14ac:dyDescent="0.3">
      <c r="A72" s="23" t="s">
        <v>58</v>
      </c>
      <c r="B72" s="24">
        <v>15</v>
      </c>
      <c r="Q72" s="23" t="s">
        <v>59</v>
      </c>
      <c r="R72" s="24">
        <v>7.35</v>
      </c>
    </row>
    <row r="73" spans="1:18" x14ac:dyDescent="0.3">
      <c r="A73" s="23" t="s">
        <v>59</v>
      </c>
      <c r="B73" s="24">
        <v>20</v>
      </c>
      <c r="Q73" s="23" t="s">
        <v>60</v>
      </c>
      <c r="R73" s="24">
        <v>8.1999999999999993</v>
      </c>
    </row>
    <row r="74" spans="1:18" x14ac:dyDescent="0.3">
      <c r="A74" s="23" t="s">
        <v>60</v>
      </c>
      <c r="B74" s="24">
        <v>10</v>
      </c>
      <c r="Q74" s="23" t="s">
        <v>61</v>
      </c>
      <c r="R74" s="24">
        <v>7.5769230769230766</v>
      </c>
    </row>
    <row r="75" spans="1:18" x14ac:dyDescent="0.3">
      <c r="A75" s="23" t="s">
        <v>61</v>
      </c>
      <c r="B75" s="24">
        <v>26</v>
      </c>
      <c r="Q75" s="23" t="s">
        <v>62</v>
      </c>
      <c r="R75" s="24">
        <v>7.2857142857142856</v>
      </c>
    </row>
    <row r="76" spans="1:18" x14ac:dyDescent="0.3">
      <c r="A76" s="23" t="s">
        <v>62</v>
      </c>
      <c r="B76" s="24">
        <v>14</v>
      </c>
      <c r="Q76" s="23" t="s">
        <v>63</v>
      </c>
      <c r="R76" s="24">
        <v>6.2857142857142856</v>
      </c>
    </row>
    <row r="77" spans="1:18" x14ac:dyDescent="0.3">
      <c r="A77" s="23" t="s">
        <v>63</v>
      </c>
      <c r="B77" s="24">
        <v>14</v>
      </c>
      <c r="Q77" s="23" t="s">
        <v>64</v>
      </c>
      <c r="R77" s="24">
        <v>6.8571428571428568</v>
      </c>
    </row>
    <row r="78" spans="1:18" x14ac:dyDescent="0.3">
      <c r="A78" s="23" t="s">
        <v>64</v>
      </c>
      <c r="B78" s="24">
        <v>7</v>
      </c>
      <c r="Q78" s="23" t="s">
        <v>65</v>
      </c>
      <c r="R78" s="24">
        <v>7.1875</v>
      </c>
    </row>
    <row r="79" spans="1:18" x14ac:dyDescent="0.3">
      <c r="A79" s="23" t="s">
        <v>65</v>
      </c>
      <c r="B79" s="24">
        <v>16</v>
      </c>
      <c r="Q79" s="23" t="s">
        <v>66</v>
      </c>
      <c r="R79" s="24">
        <v>7.2142857142857144</v>
      </c>
    </row>
    <row r="80" spans="1:18" x14ac:dyDescent="0.3">
      <c r="A80" s="23" t="s">
        <v>66</v>
      </c>
      <c r="B80" s="24">
        <v>14</v>
      </c>
      <c r="Q80" s="23" t="s">
        <v>67</v>
      </c>
      <c r="R80" s="24">
        <v>6.166666666666667</v>
      </c>
    </row>
    <row r="81" spans="1:18" x14ac:dyDescent="0.3">
      <c r="A81" s="23" t="s">
        <v>67</v>
      </c>
      <c r="B81" s="24">
        <v>12</v>
      </c>
      <c r="Q81" s="23" t="s">
        <v>68</v>
      </c>
      <c r="R81" s="24">
        <v>7.1538461538461542</v>
      </c>
    </row>
    <row r="82" spans="1:18" x14ac:dyDescent="0.3">
      <c r="A82" s="23" t="s">
        <v>68</v>
      </c>
      <c r="B82" s="24">
        <v>13</v>
      </c>
      <c r="Q82" s="23" t="s">
        <v>69</v>
      </c>
      <c r="R82" s="24">
        <v>7.4210526315789478</v>
      </c>
    </row>
    <row r="83" spans="1:18" x14ac:dyDescent="0.3">
      <c r="A83" s="23" t="s">
        <v>69</v>
      </c>
      <c r="B83" s="24">
        <v>19</v>
      </c>
      <c r="Q83" s="23" t="s">
        <v>70</v>
      </c>
      <c r="R83" s="24">
        <v>7.5</v>
      </c>
    </row>
    <row r="84" spans="1:18" x14ac:dyDescent="0.3">
      <c r="A84" s="23" t="s">
        <v>70</v>
      </c>
      <c r="B84" s="24">
        <v>16</v>
      </c>
      <c r="Q84" s="23" t="s">
        <v>71</v>
      </c>
      <c r="R84" s="24">
        <v>8.8571428571428577</v>
      </c>
    </row>
    <row r="85" spans="1:18" x14ac:dyDescent="0.3">
      <c r="A85" s="23" t="s">
        <v>71</v>
      </c>
      <c r="B85" s="24">
        <v>7</v>
      </c>
      <c r="Q85" s="23" t="s">
        <v>72</v>
      </c>
      <c r="R85" s="24">
        <v>7.2</v>
      </c>
    </row>
    <row r="86" spans="1:18" x14ac:dyDescent="0.3">
      <c r="A86" s="23" t="s">
        <v>72</v>
      </c>
      <c r="B86" s="24">
        <v>5</v>
      </c>
      <c r="Q86" s="23" t="s">
        <v>73</v>
      </c>
      <c r="R86" s="24">
        <v>8</v>
      </c>
    </row>
    <row r="87" spans="1:18" x14ac:dyDescent="0.3">
      <c r="A87" s="23" t="s">
        <v>73</v>
      </c>
      <c r="B87" s="24">
        <v>3</v>
      </c>
      <c r="Q87" s="23" t="s">
        <v>74</v>
      </c>
      <c r="R87" s="24">
        <v>8</v>
      </c>
    </row>
    <row r="88" spans="1:18" x14ac:dyDescent="0.3">
      <c r="A88" s="23" t="s">
        <v>74</v>
      </c>
      <c r="B88" s="24">
        <v>9</v>
      </c>
      <c r="Q88" s="23" t="s">
        <v>75</v>
      </c>
      <c r="R88" s="24">
        <v>7</v>
      </c>
    </row>
    <row r="89" spans="1:18" x14ac:dyDescent="0.3">
      <c r="A89" s="23" t="s">
        <v>75</v>
      </c>
      <c r="B89" s="24">
        <v>10</v>
      </c>
      <c r="Q89" s="23" t="s">
        <v>76</v>
      </c>
      <c r="R89" s="24">
        <v>5</v>
      </c>
    </row>
    <row r="90" spans="1:18" x14ac:dyDescent="0.3">
      <c r="A90" s="23" t="s">
        <v>76</v>
      </c>
      <c r="B90" s="24">
        <v>4</v>
      </c>
      <c r="Q90" s="23" t="s">
        <v>77</v>
      </c>
      <c r="R90" s="24">
        <v>7.666666666666667</v>
      </c>
    </row>
    <row r="91" spans="1:18" x14ac:dyDescent="0.3">
      <c r="A91" s="23" t="s">
        <v>77</v>
      </c>
      <c r="B91" s="24">
        <v>6</v>
      </c>
      <c r="Q91" s="23" t="s">
        <v>78</v>
      </c>
      <c r="R91" s="24">
        <v>7</v>
      </c>
    </row>
    <row r="92" spans="1:18" x14ac:dyDescent="0.3">
      <c r="A92" s="23" t="s">
        <v>78</v>
      </c>
      <c r="B92" s="24">
        <v>2</v>
      </c>
      <c r="Q92" s="23" t="s">
        <v>1805</v>
      </c>
      <c r="R92" s="24">
        <v>5.125</v>
      </c>
    </row>
    <row r="93" spans="1:18" x14ac:dyDescent="0.3">
      <c r="A93" s="23" t="s">
        <v>1805</v>
      </c>
      <c r="B93" s="24">
        <v>8</v>
      </c>
      <c r="Q93" s="23" t="s">
        <v>1806</v>
      </c>
      <c r="R93" s="24">
        <v>7.666666666666667</v>
      </c>
    </row>
    <row r="94" spans="1:18" x14ac:dyDescent="0.3">
      <c r="A94" s="23" t="s">
        <v>1806</v>
      </c>
      <c r="B94" s="24">
        <v>3</v>
      </c>
      <c r="Q94" s="23" t="s">
        <v>1807</v>
      </c>
      <c r="R94" s="24">
        <v>7.75</v>
      </c>
    </row>
    <row r="95" spans="1:18" x14ac:dyDescent="0.3">
      <c r="A95" s="23" t="s">
        <v>1807</v>
      </c>
      <c r="B95" s="24">
        <v>4</v>
      </c>
      <c r="Q95" s="23" t="s">
        <v>1808</v>
      </c>
      <c r="R95" s="24">
        <v>8.75</v>
      </c>
    </row>
    <row r="96" spans="1:18" x14ac:dyDescent="0.3">
      <c r="A96" s="23" t="s">
        <v>1808</v>
      </c>
      <c r="B96" s="24">
        <v>4</v>
      </c>
      <c r="Q96" s="23" t="s">
        <v>1809</v>
      </c>
      <c r="R96" s="24">
        <v>7.4</v>
      </c>
    </row>
    <row r="97" spans="1:18" x14ac:dyDescent="0.3">
      <c r="A97" s="23" t="s">
        <v>1809</v>
      </c>
      <c r="B97" s="24">
        <v>5</v>
      </c>
      <c r="Q97" s="23" t="s">
        <v>1810</v>
      </c>
      <c r="R97" s="24">
        <v>4.333333333333333</v>
      </c>
    </row>
    <row r="98" spans="1:18" x14ac:dyDescent="0.3">
      <c r="A98" s="23" t="s">
        <v>1810</v>
      </c>
      <c r="B98" s="24">
        <v>3</v>
      </c>
      <c r="Q98" s="23" t="s">
        <v>1811</v>
      </c>
      <c r="R98" s="24">
        <v>6.666666666666667</v>
      </c>
    </row>
    <row r="99" spans="1:18" x14ac:dyDescent="0.3">
      <c r="A99" s="23" t="s">
        <v>1811</v>
      </c>
      <c r="B99" s="24">
        <v>3</v>
      </c>
      <c r="Q99" s="23" t="s">
        <v>1812</v>
      </c>
      <c r="R99" s="24">
        <v>8</v>
      </c>
    </row>
    <row r="100" spans="1:18" x14ac:dyDescent="0.3">
      <c r="A100" s="23" t="s">
        <v>1812</v>
      </c>
      <c r="B100" s="24">
        <v>2</v>
      </c>
      <c r="Q100" s="23" t="s">
        <v>1813</v>
      </c>
      <c r="R100" s="24">
        <v>4.25</v>
      </c>
    </row>
    <row r="101" spans="1:18" x14ac:dyDescent="0.3">
      <c r="A101" s="23" t="s">
        <v>1813</v>
      </c>
      <c r="B101" s="24">
        <v>8</v>
      </c>
      <c r="Q101" s="23" t="s">
        <v>88</v>
      </c>
      <c r="R101" s="24">
        <v>8</v>
      </c>
    </row>
    <row r="102" spans="1:18" x14ac:dyDescent="0.3">
      <c r="A102" s="23" t="s">
        <v>88</v>
      </c>
      <c r="B102" s="24">
        <v>3</v>
      </c>
      <c r="Q102" s="23" t="s">
        <v>89</v>
      </c>
      <c r="R102" s="24">
        <v>6</v>
      </c>
    </row>
    <row r="103" spans="1:18" x14ac:dyDescent="0.3">
      <c r="A103" s="23" t="s">
        <v>89</v>
      </c>
      <c r="B103" s="24">
        <v>3</v>
      </c>
      <c r="Q103" s="23" t="s">
        <v>90</v>
      </c>
      <c r="R103" s="24">
        <v>6.333333333333333</v>
      </c>
    </row>
    <row r="104" spans="1:18" x14ac:dyDescent="0.3">
      <c r="A104" s="23" t="s">
        <v>90</v>
      </c>
      <c r="B104" s="24">
        <v>6</v>
      </c>
      <c r="Q104" s="23" t="s">
        <v>91</v>
      </c>
      <c r="R104" s="24">
        <v>6</v>
      </c>
    </row>
    <row r="105" spans="1:18" x14ac:dyDescent="0.3">
      <c r="A105" s="23" t="s">
        <v>91</v>
      </c>
      <c r="B105" s="24">
        <v>3</v>
      </c>
      <c r="Q105" s="23" t="s">
        <v>92</v>
      </c>
      <c r="R105" s="24">
        <v>6.666666666666667</v>
      </c>
    </row>
    <row r="106" spans="1:18" x14ac:dyDescent="0.3">
      <c r="A106" s="23" t="s">
        <v>92</v>
      </c>
      <c r="B106" s="24">
        <v>6</v>
      </c>
      <c r="Q106" s="23" t="s">
        <v>93</v>
      </c>
      <c r="R106" s="24">
        <v>3.8</v>
      </c>
    </row>
    <row r="107" spans="1:18" x14ac:dyDescent="0.3">
      <c r="A107" s="23" t="s">
        <v>93</v>
      </c>
      <c r="B107" s="24">
        <v>5</v>
      </c>
      <c r="Q107" s="23" t="s">
        <v>94</v>
      </c>
      <c r="R107" s="24">
        <v>5.8</v>
      </c>
    </row>
    <row r="108" spans="1:18" x14ac:dyDescent="0.3">
      <c r="A108" s="23" t="s">
        <v>94</v>
      </c>
      <c r="B108" s="24">
        <v>5</v>
      </c>
      <c r="Q108" s="23" t="s">
        <v>95</v>
      </c>
      <c r="R108" s="24">
        <v>5.5</v>
      </c>
    </row>
    <row r="109" spans="1:18" x14ac:dyDescent="0.3">
      <c r="A109" s="23" t="s">
        <v>95</v>
      </c>
      <c r="B109" s="24">
        <v>6</v>
      </c>
      <c r="Q109" s="23" t="s">
        <v>96</v>
      </c>
      <c r="R109" s="24">
        <v>6.5714285714285712</v>
      </c>
    </row>
    <row r="110" spans="1:18" x14ac:dyDescent="0.3">
      <c r="A110" s="23" t="s">
        <v>96</v>
      </c>
      <c r="B110" s="24">
        <v>7</v>
      </c>
      <c r="Q110" s="23" t="s">
        <v>97</v>
      </c>
      <c r="R110" s="24">
        <v>7.5</v>
      </c>
    </row>
    <row r="111" spans="1:18" x14ac:dyDescent="0.3">
      <c r="A111" s="23" t="s">
        <v>97</v>
      </c>
      <c r="B111" s="24">
        <v>4</v>
      </c>
      <c r="Q111" s="23" t="s">
        <v>98</v>
      </c>
      <c r="R111" s="24">
        <v>8</v>
      </c>
    </row>
    <row r="112" spans="1:18" x14ac:dyDescent="0.3">
      <c r="A112" s="23" t="s">
        <v>98</v>
      </c>
      <c r="B112" s="24">
        <v>8</v>
      </c>
      <c r="Q112" s="23" t="s">
        <v>99</v>
      </c>
      <c r="R112" s="24">
        <v>8.2857142857142865</v>
      </c>
    </row>
    <row r="113" spans="1:18" x14ac:dyDescent="0.3">
      <c r="A113" s="23" t="s">
        <v>99</v>
      </c>
      <c r="B113" s="24">
        <v>7</v>
      </c>
      <c r="Q113" s="23" t="s">
        <v>100</v>
      </c>
      <c r="R113" s="24">
        <v>5.333333333333333</v>
      </c>
    </row>
    <row r="114" spans="1:18" x14ac:dyDescent="0.3">
      <c r="A114" s="23" t="s">
        <v>100</v>
      </c>
      <c r="B114" s="24">
        <v>6</v>
      </c>
      <c r="Q114" s="23" t="s">
        <v>101</v>
      </c>
      <c r="R114" s="24">
        <v>7.5</v>
      </c>
    </row>
    <row r="115" spans="1:18" x14ac:dyDescent="0.3">
      <c r="A115" s="23" t="s">
        <v>101</v>
      </c>
      <c r="B115" s="24">
        <v>6</v>
      </c>
      <c r="Q115" s="23" t="s">
        <v>102</v>
      </c>
      <c r="R115" s="24">
        <v>6.5</v>
      </c>
    </row>
    <row r="116" spans="1:18" x14ac:dyDescent="0.3">
      <c r="A116" s="23" t="s">
        <v>102</v>
      </c>
      <c r="B116" s="24">
        <v>4</v>
      </c>
      <c r="Q116" s="23" t="s">
        <v>103</v>
      </c>
      <c r="R116" s="24">
        <v>5.8</v>
      </c>
    </row>
    <row r="117" spans="1:18" x14ac:dyDescent="0.3">
      <c r="A117" s="23" t="s">
        <v>103</v>
      </c>
      <c r="B117" s="24">
        <v>5</v>
      </c>
      <c r="Q117" s="23" t="s">
        <v>104</v>
      </c>
      <c r="R117" s="24">
        <v>7.5555555555555554</v>
      </c>
    </row>
    <row r="118" spans="1:18" x14ac:dyDescent="0.3">
      <c r="A118" s="23" t="s">
        <v>104</v>
      </c>
      <c r="B118" s="24">
        <v>9</v>
      </c>
      <c r="Q118" s="23" t="s">
        <v>105</v>
      </c>
      <c r="R118" s="24">
        <v>7.4</v>
      </c>
    </row>
    <row r="119" spans="1:18" x14ac:dyDescent="0.3">
      <c r="A119" s="23" t="s">
        <v>105</v>
      </c>
      <c r="B119" s="24">
        <v>10</v>
      </c>
      <c r="Q119" s="23" t="s">
        <v>106</v>
      </c>
      <c r="R119" s="24">
        <v>7.166666666666667</v>
      </c>
    </row>
    <row r="120" spans="1:18" x14ac:dyDescent="0.3">
      <c r="A120" s="23" t="s">
        <v>106</v>
      </c>
      <c r="B120" s="24">
        <v>6</v>
      </c>
      <c r="Q120" s="23" t="s">
        <v>107</v>
      </c>
      <c r="R120" s="24">
        <v>8.1428571428571423</v>
      </c>
    </row>
    <row r="121" spans="1:18" x14ac:dyDescent="0.3">
      <c r="A121" s="23" t="s">
        <v>107</v>
      </c>
      <c r="B121" s="24">
        <v>7</v>
      </c>
      <c r="Q121" s="23" t="s">
        <v>108</v>
      </c>
      <c r="R121" s="24">
        <v>7.8</v>
      </c>
    </row>
    <row r="122" spans="1:18" x14ac:dyDescent="0.3">
      <c r="A122" s="23" t="s">
        <v>108</v>
      </c>
      <c r="B122" s="24">
        <v>5</v>
      </c>
      <c r="Q122" s="23" t="s">
        <v>109</v>
      </c>
      <c r="R122" s="24">
        <v>1</v>
      </c>
    </row>
    <row r="123" spans="1:18" x14ac:dyDescent="0.3">
      <c r="A123" s="23" t="s">
        <v>109</v>
      </c>
      <c r="B123" s="24">
        <v>1</v>
      </c>
      <c r="Q123" s="23" t="s">
        <v>1814</v>
      </c>
      <c r="R123" s="24">
        <v>3.5</v>
      </c>
    </row>
    <row r="124" spans="1:18" x14ac:dyDescent="0.3">
      <c r="A124" s="23" t="s">
        <v>1814</v>
      </c>
      <c r="B124" s="24">
        <v>2</v>
      </c>
      <c r="Q124" s="23" t="s">
        <v>1815</v>
      </c>
      <c r="R124" s="24">
        <v>8.25</v>
      </c>
    </row>
    <row r="125" spans="1:18" x14ac:dyDescent="0.3">
      <c r="A125" s="23" t="s">
        <v>1815</v>
      </c>
      <c r="B125" s="24">
        <v>4</v>
      </c>
      <c r="Q125" s="23" t="s">
        <v>1816</v>
      </c>
      <c r="R125" s="24">
        <v>5.666666666666667</v>
      </c>
    </row>
    <row r="126" spans="1:18" x14ac:dyDescent="0.3">
      <c r="A126" s="23" t="s">
        <v>1816</v>
      </c>
      <c r="B126" s="24">
        <v>6</v>
      </c>
      <c r="Q126" s="23" t="s">
        <v>1817</v>
      </c>
      <c r="R126" s="24">
        <v>5.8888888888888893</v>
      </c>
    </row>
    <row r="127" spans="1:18" x14ac:dyDescent="0.3">
      <c r="A127" s="23" t="s">
        <v>1817</v>
      </c>
      <c r="B127" s="24">
        <v>9</v>
      </c>
      <c r="Q127" s="23" t="s">
        <v>1818</v>
      </c>
      <c r="R127" s="24">
        <v>7.333333333333333</v>
      </c>
    </row>
    <row r="128" spans="1:18" x14ac:dyDescent="0.3">
      <c r="A128" s="23" t="s">
        <v>1818</v>
      </c>
      <c r="B128" s="24">
        <v>6</v>
      </c>
      <c r="Q128" s="23" t="s">
        <v>1819</v>
      </c>
      <c r="R128" s="24">
        <v>6.8</v>
      </c>
    </row>
    <row r="129" spans="1:18" x14ac:dyDescent="0.3">
      <c r="A129" s="23" t="s">
        <v>1819</v>
      </c>
      <c r="B129" s="24">
        <v>5</v>
      </c>
      <c r="Q129" s="25" t="s">
        <v>27</v>
      </c>
      <c r="R129" s="17">
        <v>7.0302267002518892</v>
      </c>
    </row>
    <row r="130" spans="1:18" x14ac:dyDescent="0.3">
      <c r="A130" s="25" t="s">
        <v>27</v>
      </c>
      <c r="B130" s="17">
        <v>794</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1035D-8573-4659-9789-B2094C6D7CE8}">
  <dimension ref="K10:U10"/>
  <sheetViews>
    <sheetView showGridLines="0" tabSelected="1" topLeftCell="A10" zoomScale="72" workbookViewId="0">
      <selection activeCell="G44" sqref="G44"/>
    </sheetView>
  </sheetViews>
  <sheetFormatPr defaultRowHeight="14.4" x14ac:dyDescent="0.3"/>
  <cols>
    <col min="1" max="16384" width="8.88671875" style="45"/>
  </cols>
  <sheetData>
    <row r="10" spans="11:21" ht="61.2" x14ac:dyDescent="1.1000000000000001">
      <c r="K10" s="46"/>
      <c r="L10" s="46"/>
      <c r="M10" s="47" t="s">
        <v>1841</v>
      </c>
      <c r="N10" s="46"/>
      <c r="O10" s="46"/>
      <c r="P10" s="46"/>
      <c r="Q10" s="46"/>
      <c r="R10" s="46"/>
      <c r="S10" s="46"/>
      <c r="T10" s="46"/>
      <c r="U10"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00"/>
  <sheetViews>
    <sheetView workbookViewId="0">
      <selection activeCell="R31" sqref="R31"/>
    </sheetView>
  </sheetViews>
  <sheetFormatPr defaultColWidth="14.44140625" defaultRowHeight="15" customHeight="1" x14ac:dyDescent="0.3"/>
  <cols>
    <col min="1" max="1" width="7.44140625" customWidth="1"/>
    <col min="2" max="2" width="14.109375" customWidth="1"/>
    <col min="3" max="3" width="10.88671875" customWidth="1"/>
    <col min="4" max="4" width="20.6640625" customWidth="1"/>
    <col min="5" max="5" width="14.5546875" customWidth="1"/>
    <col min="6" max="6" width="14.6640625" customWidth="1"/>
    <col min="7" max="7" width="19.109375" customWidth="1"/>
    <col min="8" max="8" width="10.88671875" customWidth="1"/>
    <col min="9" max="9" width="16.5546875" customWidth="1"/>
    <col min="10" max="10" width="14.44140625" customWidth="1"/>
    <col min="11" max="13" width="8.6640625" customWidth="1"/>
    <col min="14" max="15" width="12.44140625" bestFit="1" customWidth="1"/>
    <col min="16" max="17" width="15.77734375" bestFit="1" customWidth="1"/>
    <col min="18" max="18" width="12.5546875" bestFit="1" customWidth="1"/>
    <col min="19" max="19" width="10.77734375" bestFit="1" customWidth="1"/>
    <col min="20" max="20" width="9.6640625" bestFit="1" customWidth="1"/>
    <col min="21" max="21" width="10.33203125" bestFit="1" customWidth="1"/>
    <col min="22" max="22" width="11.33203125" bestFit="1" customWidth="1"/>
    <col min="23" max="23" width="9.88671875" bestFit="1" customWidth="1"/>
    <col min="24" max="24" width="10.109375" bestFit="1" customWidth="1"/>
    <col min="25" max="25" width="11.109375" bestFit="1" customWidth="1"/>
    <col min="26" max="26" width="13.77734375" bestFit="1" customWidth="1"/>
    <col min="27" max="27" width="13.109375" bestFit="1" customWidth="1"/>
    <col min="28" max="28" width="9.77734375" bestFit="1" customWidth="1"/>
    <col min="29" max="29" width="14.88671875" bestFit="1" customWidth="1"/>
    <col min="30" max="30" width="19.109375" bestFit="1" customWidth="1"/>
    <col min="31" max="31" width="10.88671875" bestFit="1" customWidth="1"/>
    <col min="32" max="32" width="9.44140625" bestFit="1" customWidth="1"/>
    <col min="33" max="33" width="11.109375" bestFit="1" customWidth="1"/>
    <col min="34" max="34" width="13.109375" bestFit="1" customWidth="1"/>
    <col min="35" max="35" width="11.33203125" bestFit="1" customWidth="1"/>
    <col min="36" max="36" width="12.77734375" bestFit="1" customWidth="1"/>
    <col min="37" max="37" width="11.33203125" bestFit="1" customWidth="1"/>
    <col min="38" max="38" width="10.44140625" bestFit="1" customWidth="1"/>
    <col min="39" max="39" width="11.6640625" bestFit="1" customWidth="1"/>
    <col min="40" max="40" width="15.44140625" bestFit="1" customWidth="1"/>
    <col min="41" max="41" width="14" bestFit="1" customWidth="1"/>
    <col min="42" max="42" width="11" bestFit="1" customWidth="1"/>
    <col min="43" max="43" width="9.5546875" bestFit="1" customWidth="1"/>
    <col min="44" max="44" width="10.33203125" bestFit="1" customWidth="1"/>
    <col min="45" max="45" width="11.21875" bestFit="1" customWidth="1"/>
    <col min="46" max="46" width="4.44140625" bestFit="1" customWidth="1"/>
    <col min="47" max="47" width="11.33203125" bestFit="1" customWidth="1"/>
    <col min="48" max="48" width="9.88671875" bestFit="1" customWidth="1"/>
    <col min="49" max="49" width="12.77734375" bestFit="1" customWidth="1"/>
    <col min="50" max="50" width="10.21875" bestFit="1" customWidth="1"/>
    <col min="51" max="51" width="9.44140625" bestFit="1" customWidth="1"/>
    <col min="52" max="52" width="11.44140625" bestFit="1" customWidth="1"/>
    <col min="53" max="53" width="9.44140625" bestFit="1" customWidth="1"/>
    <col min="54" max="54" width="10.5546875" bestFit="1" customWidth="1"/>
  </cols>
  <sheetData>
    <row r="1" spans="1:16" ht="14.25" customHeight="1" x14ac:dyDescent="0.3">
      <c r="A1" s="7" t="s">
        <v>116</v>
      </c>
      <c r="B1" s="7" t="s">
        <v>117</v>
      </c>
      <c r="C1" s="7" t="s">
        <v>118</v>
      </c>
      <c r="D1" s="7" t="s">
        <v>119</v>
      </c>
      <c r="E1" s="8" t="s">
        <v>120</v>
      </c>
      <c r="F1" s="7" t="s">
        <v>121</v>
      </c>
      <c r="G1" s="7" t="s">
        <v>122</v>
      </c>
      <c r="H1" s="7" t="s">
        <v>123</v>
      </c>
      <c r="I1" s="7" t="s">
        <v>124</v>
      </c>
      <c r="J1" s="9" t="s">
        <v>125</v>
      </c>
      <c r="K1" t="s">
        <v>1821</v>
      </c>
    </row>
    <row r="2" spans="1:16" ht="14.25" customHeight="1" x14ac:dyDescent="0.3">
      <c r="A2" s="2">
        <v>1</v>
      </c>
      <c r="B2" s="2" t="s">
        <v>126</v>
      </c>
      <c r="C2" s="2" t="s">
        <v>126</v>
      </c>
      <c r="D2" s="2" t="s">
        <v>127</v>
      </c>
      <c r="E2" s="10">
        <v>44739</v>
      </c>
      <c r="F2" s="2" t="s">
        <v>30</v>
      </c>
      <c r="G2" s="2" t="s">
        <v>128</v>
      </c>
      <c r="H2" s="2" t="s">
        <v>129</v>
      </c>
      <c r="I2" s="2" t="s">
        <v>25</v>
      </c>
      <c r="J2" s="2">
        <v>9</v>
      </c>
    </row>
    <row r="3" spans="1:16" ht="14.25" customHeight="1" x14ac:dyDescent="0.3">
      <c r="A3" s="2">
        <v>2</v>
      </c>
      <c r="B3" s="2" t="s">
        <v>130</v>
      </c>
      <c r="C3" s="2" t="s">
        <v>130</v>
      </c>
      <c r="D3" s="2" t="s">
        <v>131</v>
      </c>
      <c r="E3" s="10">
        <v>44740</v>
      </c>
      <c r="F3" s="2" t="s">
        <v>31</v>
      </c>
      <c r="G3" s="2" t="s">
        <v>128</v>
      </c>
      <c r="H3" s="2" t="s">
        <v>132</v>
      </c>
      <c r="I3" s="2" t="s">
        <v>23</v>
      </c>
      <c r="J3" s="2">
        <v>7</v>
      </c>
    </row>
    <row r="4" spans="1:16" ht="14.25" customHeight="1" x14ac:dyDescent="0.3">
      <c r="A4" s="2">
        <v>3</v>
      </c>
      <c r="B4" s="2" t="s">
        <v>133</v>
      </c>
      <c r="C4" s="2" t="s">
        <v>133</v>
      </c>
      <c r="D4" s="2" t="s">
        <v>134</v>
      </c>
      <c r="E4" s="10">
        <v>44734</v>
      </c>
      <c r="F4" s="2" t="s">
        <v>29</v>
      </c>
      <c r="G4" s="2" t="s">
        <v>135</v>
      </c>
      <c r="H4" s="2" t="s">
        <v>136</v>
      </c>
      <c r="I4" s="2" t="s">
        <v>24</v>
      </c>
      <c r="J4" s="2">
        <v>8</v>
      </c>
    </row>
    <row r="5" spans="1:16" ht="14.25" customHeight="1" x14ac:dyDescent="0.3">
      <c r="A5" s="2">
        <v>4</v>
      </c>
      <c r="B5" s="2" t="s">
        <v>137</v>
      </c>
      <c r="C5" s="2" t="s">
        <v>137</v>
      </c>
      <c r="D5" s="2" t="s">
        <v>138</v>
      </c>
      <c r="E5" s="10">
        <v>44737</v>
      </c>
      <c r="F5" s="2" t="s">
        <v>30</v>
      </c>
      <c r="G5" s="2" t="s">
        <v>128</v>
      </c>
      <c r="H5" s="2" t="s">
        <v>139</v>
      </c>
      <c r="I5" s="2" t="s">
        <v>25</v>
      </c>
      <c r="J5" s="2">
        <v>6</v>
      </c>
    </row>
    <row r="6" spans="1:16" ht="14.25" customHeight="1" x14ac:dyDescent="0.3">
      <c r="A6" s="2">
        <v>5</v>
      </c>
      <c r="B6" s="2" t="s">
        <v>140</v>
      </c>
      <c r="C6" s="2" t="s">
        <v>140</v>
      </c>
      <c r="D6" s="2" t="s">
        <v>141</v>
      </c>
      <c r="E6" s="10">
        <v>44735</v>
      </c>
      <c r="F6" s="2" t="s">
        <v>31</v>
      </c>
      <c r="G6" s="2" t="s">
        <v>128</v>
      </c>
      <c r="H6" s="2" t="s">
        <v>142</v>
      </c>
      <c r="I6" s="2" t="s">
        <v>23</v>
      </c>
      <c r="J6" s="2">
        <v>2</v>
      </c>
      <c r="P6" s="1"/>
    </row>
    <row r="7" spans="1:16" ht="14.25" customHeight="1" x14ac:dyDescent="0.3">
      <c r="A7" s="2">
        <v>6</v>
      </c>
      <c r="B7" s="2" t="s">
        <v>143</v>
      </c>
      <c r="C7" s="2" t="s">
        <v>143</v>
      </c>
      <c r="D7" s="2" t="s">
        <v>144</v>
      </c>
      <c r="E7" s="10">
        <v>44727</v>
      </c>
      <c r="F7" s="2" t="s">
        <v>31</v>
      </c>
      <c r="G7" s="2" t="s">
        <v>128</v>
      </c>
      <c r="H7" s="2" t="s">
        <v>145</v>
      </c>
      <c r="I7" s="2" t="s">
        <v>24</v>
      </c>
      <c r="J7" s="2">
        <v>4</v>
      </c>
      <c r="P7" s="2"/>
    </row>
    <row r="8" spans="1:16" ht="14.25" customHeight="1" x14ac:dyDescent="0.3">
      <c r="A8" s="2">
        <v>7</v>
      </c>
      <c r="B8" s="2" t="s">
        <v>146</v>
      </c>
      <c r="C8" s="2" t="s">
        <v>146</v>
      </c>
      <c r="D8" s="2" t="s">
        <v>147</v>
      </c>
      <c r="E8" s="10">
        <v>44740</v>
      </c>
      <c r="F8" s="2" t="s">
        <v>30</v>
      </c>
      <c r="G8" s="2" t="s">
        <v>128</v>
      </c>
      <c r="H8" s="2" t="s">
        <v>148</v>
      </c>
      <c r="I8" s="2" t="s">
        <v>25</v>
      </c>
      <c r="J8" s="2">
        <v>1</v>
      </c>
      <c r="P8" s="2"/>
    </row>
    <row r="9" spans="1:16" ht="14.25" customHeight="1" x14ac:dyDescent="0.3">
      <c r="A9" s="2">
        <v>8</v>
      </c>
      <c r="B9" s="2" t="s">
        <v>149</v>
      </c>
      <c r="C9" s="2" t="s">
        <v>150</v>
      </c>
      <c r="D9" s="2" t="s">
        <v>147</v>
      </c>
      <c r="E9" s="10">
        <v>44725</v>
      </c>
      <c r="F9" s="2" t="s">
        <v>31</v>
      </c>
      <c r="G9" s="2" t="s">
        <v>128</v>
      </c>
      <c r="H9" s="2" t="s">
        <v>151</v>
      </c>
      <c r="I9" s="2" t="s">
        <v>23</v>
      </c>
      <c r="J9" s="2">
        <v>9</v>
      </c>
      <c r="P9" s="2"/>
    </row>
    <row r="10" spans="1:16" ht="14.25" customHeight="1" x14ac:dyDescent="0.3">
      <c r="A10" s="2">
        <v>9</v>
      </c>
      <c r="B10" s="2" t="s">
        <v>152</v>
      </c>
      <c r="C10" s="2" t="s">
        <v>149</v>
      </c>
      <c r="D10" s="2" t="s">
        <v>153</v>
      </c>
      <c r="E10" s="10">
        <v>44736</v>
      </c>
      <c r="F10" s="2" t="s">
        <v>31</v>
      </c>
      <c r="G10" s="2" t="s">
        <v>135</v>
      </c>
      <c r="H10" s="2" t="s">
        <v>154</v>
      </c>
      <c r="I10" s="2" t="s">
        <v>24</v>
      </c>
      <c r="J10" s="2">
        <v>6</v>
      </c>
      <c r="P10" s="2"/>
    </row>
    <row r="11" spans="1:16" ht="14.25" customHeight="1" x14ac:dyDescent="0.3">
      <c r="A11" s="2">
        <v>10</v>
      </c>
      <c r="B11" s="2" t="s">
        <v>155</v>
      </c>
      <c r="C11" s="2" t="s">
        <v>152</v>
      </c>
      <c r="D11" s="2" t="s">
        <v>144</v>
      </c>
      <c r="E11" s="10">
        <v>44725</v>
      </c>
      <c r="F11" s="2" t="s">
        <v>30</v>
      </c>
      <c r="G11" s="2" t="s">
        <v>128</v>
      </c>
      <c r="H11" s="2" t="s">
        <v>156</v>
      </c>
      <c r="I11" s="2" t="s">
        <v>25</v>
      </c>
      <c r="J11" s="2">
        <v>9</v>
      </c>
      <c r="P11" s="2"/>
    </row>
    <row r="12" spans="1:16" ht="14.25" customHeight="1" x14ac:dyDescent="0.3">
      <c r="A12" s="2">
        <v>11</v>
      </c>
      <c r="B12" s="2" t="s">
        <v>157</v>
      </c>
      <c r="C12" s="2" t="s">
        <v>155</v>
      </c>
      <c r="D12" s="2" t="s">
        <v>158</v>
      </c>
      <c r="E12" s="10">
        <v>44734</v>
      </c>
      <c r="F12" s="2" t="s">
        <v>31</v>
      </c>
      <c r="G12" s="2" t="s">
        <v>128</v>
      </c>
      <c r="H12" s="2" t="s">
        <v>159</v>
      </c>
      <c r="I12" s="2" t="s">
        <v>23</v>
      </c>
      <c r="J12" s="2">
        <v>9</v>
      </c>
      <c r="P12" s="2"/>
    </row>
    <row r="13" spans="1:16" ht="14.25" customHeight="1" x14ac:dyDescent="0.3">
      <c r="A13" s="2">
        <v>12</v>
      </c>
      <c r="B13" s="2" t="s">
        <v>160</v>
      </c>
      <c r="C13" s="2" t="s">
        <v>157</v>
      </c>
      <c r="D13" s="2" t="s">
        <v>161</v>
      </c>
      <c r="E13" s="10">
        <v>44731</v>
      </c>
      <c r="F13" s="2" t="s">
        <v>29</v>
      </c>
      <c r="G13" s="2" t="s">
        <v>128</v>
      </c>
      <c r="H13" s="2" t="s">
        <v>162</v>
      </c>
      <c r="I13" s="2" t="s">
        <v>24</v>
      </c>
      <c r="J13" s="2">
        <v>3</v>
      </c>
    </row>
    <row r="14" spans="1:16" ht="14.25" customHeight="1" x14ac:dyDescent="0.3">
      <c r="A14" s="2">
        <v>13</v>
      </c>
      <c r="B14" s="2" t="s">
        <v>163</v>
      </c>
      <c r="C14" s="2" t="s">
        <v>160</v>
      </c>
      <c r="D14" s="2" t="s">
        <v>164</v>
      </c>
      <c r="E14" s="10">
        <v>44730</v>
      </c>
      <c r="F14" s="2" t="s">
        <v>30</v>
      </c>
      <c r="G14" s="2" t="s">
        <v>128</v>
      </c>
      <c r="H14" s="2" t="s">
        <v>165</v>
      </c>
      <c r="I14" s="2" t="s">
        <v>25</v>
      </c>
      <c r="J14" s="2">
        <v>2</v>
      </c>
    </row>
    <row r="15" spans="1:16" ht="14.25" customHeight="1" x14ac:dyDescent="0.3">
      <c r="A15" s="2">
        <v>14</v>
      </c>
      <c r="B15" s="2" t="s">
        <v>166</v>
      </c>
      <c r="C15" s="2" t="s">
        <v>163</v>
      </c>
      <c r="D15" s="2" t="s">
        <v>167</v>
      </c>
      <c r="E15" s="10">
        <v>44735</v>
      </c>
      <c r="F15" s="2" t="s">
        <v>31</v>
      </c>
      <c r="G15" s="2" t="s">
        <v>128</v>
      </c>
      <c r="H15" s="2" t="s">
        <v>168</v>
      </c>
      <c r="I15" s="2" t="s">
        <v>23</v>
      </c>
      <c r="J15" s="2">
        <v>3</v>
      </c>
    </row>
    <row r="16" spans="1:16" ht="14.25" customHeight="1" x14ac:dyDescent="0.3">
      <c r="A16" s="2">
        <v>15</v>
      </c>
      <c r="B16" s="2" t="s">
        <v>169</v>
      </c>
      <c r="C16" s="2" t="s">
        <v>166</v>
      </c>
      <c r="D16" s="2" t="s">
        <v>144</v>
      </c>
      <c r="E16" s="10">
        <v>44738</v>
      </c>
      <c r="F16" s="2" t="s">
        <v>29</v>
      </c>
      <c r="G16" s="2" t="s">
        <v>135</v>
      </c>
      <c r="H16" s="2" t="s">
        <v>170</v>
      </c>
      <c r="I16" s="2" t="s">
        <v>24</v>
      </c>
      <c r="J16" s="2">
        <v>10</v>
      </c>
    </row>
    <row r="17" spans="1:10" ht="14.25" customHeight="1" x14ac:dyDescent="0.3">
      <c r="A17" s="2">
        <v>16</v>
      </c>
      <c r="B17" s="2" t="s">
        <v>171</v>
      </c>
      <c r="C17" s="2" t="s">
        <v>169</v>
      </c>
      <c r="D17" s="2" t="s">
        <v>172</v>
      </c>
      <c r="E17" s="10">
        <v>44738</v>
      </c>
      <c r="F17" s="2" t="s">
        <v>30</v>
      </c>
      <c r="G17" s="2" t="s">
        <v>128</v>
      </c>
      <c r="H17" s="2" t="s">
        <v>173</v>
      </c>
      <c r="I17" s="2" t="s">
        <v>25</v>
      </c>
      <c r="J17" s="2">
        <v>3</v>
      </c>
    </row>
    <row r="18" spans="1:10" ht="14.25" customHeight="1" x14ac:dyDescent="0.3">
      <c r="A18" s="2">
        <v>17</v>
      </c>
      <c r="B18" s="2" t="s">
        <v>174</v>
      </c>
      <c r="C18" s="2" t="s">
        <v>171</v>
      </c>
      <c r="D18" s="2" t="s">
        <v>161</v>
      </c>
      <c r="E18" s="10">
        <v>44725</v>
      </c>
      <c r="F18" s="2" t="s">
        <v>31</v>
      </c>
      <c r="G18" s="2" t="s">
        <v>128</v>
      </c>
      <c r="H18" s="2" t="s">
        <v>175</v>
      </c>
      <c r="I18" s="2" t="s">
        <v>23</v>
      </c>
      <c r="J18" s="2">
        <v>1</v>
      </c>
    </row>
    <row r="19" spans="1:10" ht="14.25" customHeight="1" x14ac:dyDescent="0.3">
      <c r="A19" s="2">
        <v>18</v>
      </c>
      <c r="B19" s="2" t="s">
        <v>176</v>
      </c>
      <c r="C19" s="2" t="s">
        <v>174</v>
      </c>
      <c r="D19" s="2" t="s">
        <v>141</v>
      </c>
      <c r="E19" s="10">
        <v>44730</v>
      </c>
      <c r="F19" s="2" t="s">
        <v>29</v>
      </c>
      <c r="G19" s="2" t="s">
        <v>128</v>
      </c>
      <c r="H19" s="2" t="s">
        <v>177</v>
      </c>
      <c r="I19" s="2" t="s">
        <v>24</v>
      </c>
      <c r="J19" s="2">
        <v>5</v>
      </c>
    </row>
    <row r="20" spans="1:10" ht="14.25" customHeight="1" x14ac:dyDescent="0.3">
      <c r="A20" s="2">
        <v>19</v>
      </c>
      <c r="B20" s="2" t="s">
        <v>178</v>
      </c>
      <c r="C20" s="2" t="s">
        <v>176</v>
      </c>
      <c r="D20" s="2" t="s">
        <v>179</v>
      </c>
      <c r="E20" s="10">
        <v>44738</v>
      </c>
      <c r="F20" s="2" t="s">
        <v>30</v>
      </c>
      <c r="G20" s="2" t="s">
        <v>128</v>
      </c>
      <c r="H20" s="2" t="s">
        <v>180</v>
      </c>
      <c r="I20" s="2" t="s">
        <v>25</v>
      </c>
      <c r="J20" s="2">
        <v>1</v>
      </c>
    </row>
    <row r="21" spans="1:10" ht="14.25" customHeight="1" x14ac:dyDescent="0.3">
      <c r="A21" s="2">
        <v>20</v>
      </c>
      <c r="B21" s="2" t="s">
        <v>181</v>
      </c>
      <c r="C21" s="2" t="s">
        <v>178</v>
      </c>
      <c r="D21" s="2" t="s">
        <v>182</v>
      </c>
      <c r="E21" s="10">
        <v>44730</v>
      </c>
      <c r="F21" s="2" t="s">
        <v>31</v>
      </c>
      <c r="G21" s="2" t="s">
        <v>128</v>
      </c>
      <c r="H21" s="2" t="s">
        <v>183</v>
      </c>
      <c r="I21" s="2" t="s">
        <v>23</v>
      </c>
      <c r="J21" s="2">
        <v>5</v>
      </c>
    </row>
    <row r="22" spans="1:10" ht="14.25" customHeight="1" x14ac:dyDescent="0.3">
      <c r="A22" s="2">
        <v>21</v>
      </c>
      <c r="B22" s="2" t="s">
        <v>184</v>
      </c>
      <c r="C22" s="2" t="s">
        <v>181</v>
      </c>
      <c r="D22" s="2" t="s">
        <v>185</v>
      </c>
      <c r="E22" s="10">
        <v>44738</v>
      </c>
      <c r="F22" s="2" t="s">
        <v>31</v>
      </c>
      <c r="G22" s="2" t="s">
        <v>135</v>
      </c>
      <c r="H22" s="2" t="s">
        <v>186</v>
      </c>
      <c r="I22" s="2" t="s">
        <v>24</v>
      </c>
      <c r="J22" s="2">
        <v>5</v>
      </c>
    </row>
    <row r="23" spans="1:10" ht="14.25" customHeight="1" x14ac:dyDescent="0.3">
      <c r="A23" s="2">
        <v>22</v>
      </c>
      <c r="B23" s="2" t="s">
        <v>187</v>
      </c>
      <c r="C23" s="2" t="s">
        <v>184</v>
      </c>
      <c r="D23" s="2" t="s">
        <v>188</v>
      </c>
      <c r="E23" s="10">
        <v>44734</v>
      </c>
      <c r="F23" s="2" t="s">
        <v>30</v>
      </c>
      <c r="G23" s="2" t="s">
        <v>128</v>
      </c>
      <c r="H23" s="2" t="s">
        <v>189</v>
      </c>
      <c r="I23" s="2" t="s">
        <v>25</v>
      </c>
      <c r="J23" s="2">
        <v>3</v>
      </c>
    </row>
    <row r="24" spans="1:10" ht="14.25" customHeight="1" x14ac:dyDescent="0.3">
      <c r="A24" s="2">
        <v>23</v>
      </c>
      <c r="B24" s="2" t="s">
        <v>190</v>
      </c>
      <c r="C24" s="2" t="s">
        <v>187</v>
      </c>
      <c r="D24" s="2" t="s">
        <v>191</v>
      </c>
      <c r="E24" s="10">
        <v>44729</v>
      </c>
      <c r="F24" s="2" t="s">
        <v>31</v>
      </c>
      <c r="G24" s="2" t="s">
        <v>128</v>
      </c>
      <c r="H24" s="2" t="s">
        <v>192</v>
      </c>
      <c r="I24" s="2" t="s">
        <v>23</v>
      </c>
      <c r="J24" s="2">
        <v>3</v>
      </c>
    </row>
    <row r="25" spans="1:10" ht="14.25" customHeight="1" x14ac:dyDescent="0.3">
      <c r="A25" s="2">
        <v>24</v>
      </c>
      <c r="B25" s="2" t="s">
        <v>193</v>
      </c>
      <c r="C25" s="2" t="s">
        <v>190</v>
      </c>
      <c r="D25" s="2" t="s">
        <v>194</v>
      </c>
      <c r="E25" s="10">
        <v>44730</v>
      </c>
      <c r="F25" s="2" t="s">
        <v>29</v>
      </c>
      <c r="G25" s="2" t="s">
        <v>128</v>
      </c>
      <c r="H25" s="2" t="s">
        <v>195</v>
      </c>
      <c r="I25" s="2" t="s">
        <v>24</v>
      </c>
      <c r="J25" s="2">
        <v>7</v>
      </c>
    </row>
    <row r="26" spans="1:10" ht="14.25" customHeight="1" x14ac:dyDescent="0.3">
      <c r="A26" s="2">
        <v>25</v>
      </c>
      <c r="B26" s="2" t="s">
        <v>196</v>
      </c>
      <c r="C26" s="2" t="s">
        <v>193</v>
      </c>
      <c r="D26" s="2" t="s">
        <v>197</v>
      </c>
      <c r="E26" s="10">
        <v>44728</v>
      </c>
      <c r="F26" s="2" t="s">
        <v>30</v>
      </c>
      <c r="G26" s="2" t="s">
        <v>128</v>
      </c>
      <c r="H26" s="2" t="s">
        <v>198</v>
      </c>
      <c r="I26" s="2" t="s">
        <v>25</v>
      </c>
      <c r="J26" s="2">
        <v>4</v>
      </c>
    </row>
    <row r="27" spans="1:10" ht="14.25" customHeight="1" x14ac:dyDescent="0.3">
      <c r="A27" s="2">
        <v>26</v>
      </c>
      <c r="B27" s="2" t="s">
        <v>199</v>
      </c>
      <c r="C27" s="2" t="s">
        <v>196</v>
      </c>
      <c r="D27" s="2" t="s">
        <v>200</v>
      </c>
      <c r="E27" s="10">
        <v>44735</v>
      </c>
      <c r="F27" s="2" t="s">
        <v>31</v>
      </c>
      <c r="G27" s="2" t="s">
        <v>128</v>
      </c>
      <c r="H27" s="2" t="s">
        <v>201</v>
      </c>
      <c r="I27" s="2" t="s">
        <v>23</v>
      </c>
      <c r="J27" s="2">
        <v>3</v>
      </c>
    </row>
    <row r="28" spans="1:10" ht="14.25" customHeight="1" x14ac:dyDescent="0.3">
      <c r="A28" s="2">
        <v>27</v>
      </c>
      <c r="B28" s="2" t="s">
        <v>202</v>
      </c>
      <c r="C28" s="2" t="s">
        <v>199</v>
      </c>
      <c r="D28" s="2" t="s">
        <v>203</v>
      </c>
      <c r="E28" s="10">
        <v>44738</v>
      </c>
      <c r="F28" s="2" t="s">
        <v>29</v>
      </c>
      <c r="G28" s="2" t="s">
        <v>135</v>
      </c>
      <c r="H28" s="2" t="s">
        <v>204</v>
      </c>
      <c r="I28" s="2" t="s">
        <v>24</v>
      </c>
      <c r="J28" s="2">
        <v>8</v>
      </c>
    </row>
    <row r="29" spans="1:10" ht="14.25" customHeight="1" x14ac:dyDescent="0.3">
      <c r="A29" s="2">
        <v>28</v>
      </c>
      <c r="B29" s="2" t="s">
        <v>205</v>
      </c>
      <c r="C29" s="2" t="s">
        <v>206</v>
      </c>
      <c r="D29" s="2" t="s">
        <v>207</v>
      </c>
      <c r="E29" s="10">
        <v>44738</v>
      </c>
      <c r="F29" s="2" t="s">
        <v>30</v>
      </c>
      <c r="G29" s="2" t="s">
        <v>128</v>
      </c>
      <c r="H29" s="2" t="s">
        <v>208</v>
      </c>
      <c r="I29" s="2" t="s">
        <v>25</v>
      </c>
      <c r="J29" s="2">
        <v>2</v>
      </c>
    </row>
    <row r="30" spans="1:10" ht="14.25" customHeight="1" x14ac:dyDescent="0.3">
      <c r="A30" s="2">
        <v>29</v>
      </c>
      <c r="B30" s="2" t="s">
        <v>209</v>
      </c>
      <c r="C30" s="2" t="s">
        <v>205</v>
      </c>
      <c r="D30" s="2" t="s">
        <v>210</v>
      </c>
      <c r="E30" s="10">
        <v>44734</v>
      </c>
      <c r="F30" s="2" t="s">
        <v>31</v>
      </c>
      <c r="G30" s="2" t="s">
        <v>128</v>
      </c>
      <c r="H30" s="2" t="s">
        <v>211</v>
      </c>
      <c r="I30" s="2" t="s">
        <v>23</v>
      </c>
      <c r="J30" s="2">
        <v>9</v>
      </c>
    </row>
    <row r="31" spans="1:10" ht="14.25" customHeight="1" x14ac:dyDescent="0.3">
      <c r="A31" s="2">
        <v>30</v>
      </c>
      <c r="B31" s="2" t="s">
        <v>212</v>
      </c>
      <c r="C31" s="2" t="s">
        <v>209</v>
      </c>
      <c r="D31" s="2" t="s">
        <v>213</v>
      </c>
      <c r="E31" s="10">
        <v>44727</v>
      </c>
      <c r="F31" s="2" t="s">
        <v>29</v>
      </c>
      <c r="G31" s="2" t="s">
        <v>128</v>
      </c>
      <c r="H31" s="2" t="s">
        <v>214</v>
      </c>
      <c r="I31" s="2" t="s">
        <v>24</v>
      </c>
      <c r="J31" s="2">
        <v>6</v>
      </c>
    </row>
    <row r="32" spans="1:10" ht="14.25" customHeight="1" x14ac:dyDescent="0.3">
      <c r="A32" s="2">
        <v>31</v>
      </c>
      <c r="B32" s="2" t="s">
        <v>215</v>
      </c>
      <c r="C32" s="2" t="s">
        <v>212</v>
      </c>
      <c r="D32" s="2" t="s">
        <v>216</v>
      </c>
      <c r="E32" s="10">
        <v>44729</v>
      </c>
      <c r="F32" s="2" t="s">
        <v>30</v>
      </c>
      <c r="G32" s="2" t="s">
        <v>128</v>
      </c>
      <c r="H32" s="2" t="s">
        <v>217</v>
      </c>
      <c r="I32" s="2" t="s">
        <v>25</v>
      </c>
      <c r="J32" s="2">
        <v>7</v>
      </c>
    </row>
    <row r="33" spans="1:10" ht="14.25" customHeight="1" x14ac:dyDescent="0.3">
      <c r="A33" s="2">
        <v>32</v>
      </c>
      <c r="B33" s="2" t="s">
        <v>218</v>
      </c>
      <c r="C33" s="2" t="s">
        <v>215</v>
      </c>
      <c r="D33" s="2" t="s">
        <v>219</v>
      </c>
      <c r="E33" s="10">
        <v>44726</v>
      </c>
      <c r="F33" s="2" t="s">
        <v>31</v>
      </c>
      <c r="G33" s="2" t="s">
        <v>128</v>
      </c>
      <c r="H33" s="2" t="s">
        <v>220</v>
      </c>
      <c r="I33" s="2" t="s">
        <v>23</v>
      </c>
      <c r="J33" s="2">
        <v>9</v>
      </c>
    </row>
    <row r="34" spans="1:10" ht="14.25" customHeight="1" x14ac:dyDescent="0.3">
      <c r="A34" s="2">
        <v>33</v>
      </c>
      <c r="B34" s="2" t="s">
        <v>221</v>
      </c>
      <c r="C34" s="2" t="s">
        <v>218</v>
      </c>
      <c r="D34" s="2" t="s">
        <v>167</v>
      </c>
      <c r="E34" s="10">
        <v>44733</v>
      </c>
      <c r="F34" s="2" t="s">
        <v>31</v>
      </c>
      <c r="G34" s="2" t="s">
        <v>135</v>
      </c>
      <c r="H34" s="2" t="s">
        <v>222</v>
      </c>
      <c r="I34" s="2" t="s">
        <v>24</v>
      </c>
      <c r="J34" s="2">
        <v>2</v>
      </c>
    </row>
    <row r="35" spans="1:10" ht="14.25" customHeight="1" x14ac:dyDescent="0.3">
      <c r="A35" s="2">
        <v>34</v>
      </c>
      <c r="B35" s="2" t="s">
        <v>223</v>
      </c>
      <c r="C35" s="2" t="s">
        <v>224</v>
      </c>
      <c r="D35" s="2" t="s">
        <v>191</v>
      </c>
      <c r="E35" s="10">
        <v>44730</v>
      </c>
      <c r="F35" s="2" t="s">
        <v>30</v>
      </c>
      <c r="G35" s="2" t="s">
        <v>128</v>
      </c>
      <c r="H35" s="2" t="s">
        <v>225</v>
      </c>
      <c r="I35" s="2" t="s">
        <v>25</v>
      </c>
      <c r="J35" s="2">
        <v>9</v>
      </c>
    </row>
    <row r="36" spans="1:10" ht="14.25" customHeight="1" x14ac:dyDescent="0.3">
      <c r="A36" s="2">
        <v>35</v>
      </c>
      <c r="B36" s="2" t="s">
        <v>226</v>
      </c>
      <c r="C36" s="2" t="s">
        <v>202</v>
      </c>
      <c r="D36" s="2" t="s">
        <v>207</v>
      </c>
      <c r="E36" s="10">
        <v>44736</v>
      </c>
      <c r="F36" s="2" t="s">
        <v>31</v>
      </c>
      <c r="G36" s="2" t="s">
        <v>128</v>
      </c>
      <c r="H36" s="2" t="s">
        <v>227</v>
      </c>
      <c r="I36" s="2" t="s">
        <v>23</v>
      </c>
      <c r="J36" s="2">
        <v>10</v>
      </c>
    </row>
    <row r="37" spans="1:10" ht="14.25" customHeight="1" x14ac:dyDescent="0.3">
      <c r="A37" s="2">
        <v>36</v>
      </c>
      <c r="B37" s="2" t="s">
        <v>228</v>
      </c>
      <c r="C37" s="2" t="s">
        <v>221</v>
      </c>
      <c r="D37" s="2" t="s">
        <v>141</v>
      </c>
      <c r="E37" s="10">
        <v>44732</v>
      </c>
      <c r="F37" s="2" t="s">
        <v>29</v>
      </c>
      <c r="G37" s="2" t="s">
        <v>128</v>
      </c>
      <c r="H37" s="2" t="s">
        <v>229</v>
      </c>
      <c r="I37" s="2" t="s">
        <v>24</v>
      </c>
      <c r="J37" s="2">
        <v>1</v>
      </c>
    </row>
    <row r="38" spans="1:10" ht="14.25" customHeight="1" x14ac:dyDescent="0.3">
      <c r="A38" s="2">
        <v>37</v>
      </c>
      <c r="B38" s="2" t="s">
        <v>230</v>
      </c>
      <c r="C38" s="2" t="s">
        <v>223</v>
      </c>
      <c r="D38" s="2" t="s">
        <v>172</v>
      </c>
      <c r="E38" s="10">
        <v>44732</v>
      </c>
      <c r="F38" s="2" t="s">
        <v>30</v>
      </c>
      <c r="G38" s="2" t="s">
        <v>128</v>
      </c>
      <c r="H38" s="2" t="s">
        <v>231</v>
      </c>
      <c r="I38" s="2" t="s">
        <v>25</v>
      </c>
      <c r="J38" s="2">
        <v>1</v>
      </c>
    </row>
    <row r="39" spans="1:10" ht="14.25" customHeight="1" x14ac:dyDescent="0.3">
      <c r="A39" s="2">
        <v>38</v>
      </c>
      <c r="B39" s="2" t="s">
        <v>232</v>
      </c>
      <c r="C39" s="2" t="s">
        <v>226</v>
      </c>
      <c r="D39" s="2" t="s">
        <v>213</v>
      </c>
      <c r="E39" s="10">
        <v>44731</v>
      </c>
      <c r="F39" s="2" t="s">
        <v>31</v>
      </c>
      <c r="G39" s="2" t="s">
        <v>128</v>
      </c>
      <c r="H39" s="2" t="s">
        <v>233</v>
      </c>
      <c r="I39" s="2" t="s">
        <v>23</v>
      </c>
      <c r="J39" s="2">
        <v>10</v>
      </c>
    </row>
    <row r="40" spans="1:10" ht="14.25" customHeight="1" x14ac:dyDescent="0.3">
      <c r="A40" s="2">
        <v>39</v>
      </c>
      <c r="B40" s="2" t="s">
        <v>234</v>
      </c>
      <c r="C40" s="2" t="s">
        <v>235</v>
      </c>
      <c r="D40" s="2" t="s">
        <v>216</v>
      </c>
      <c r="E40" s="10">
        <v>44735</v>
      </c>
      <c r="F40" s="2" t="s">
        <v>31</v>
      </c>
      <c r="G40" s="2" t="s">
        <v>135</v>
      </c>
      <c r="H40" s="2" t="s">
        <v>236</v>
      </c>
      <c r="I40" s="2" t="s">
        <v>24</v>
      </c>
      <c r="J40" s="2">
        <v>4</v>
      </c>
    </row>
    <row r="41" spans="1:10" ht="14.25" customHeight="1" x14ac:dyDescent="0.3">
      <c r="A41" s="2">
        <v>40</v>
      </c>
      <c r="B41" s="2" t="s">
        <v>237</v>
      </c>
      <c r="C41" s="2" t="s">
        <v>228</v>
      </c>
      <c r="D41" s="2" t="s">
        <v>238</v>
      </c>
      <c r="E41" s="10">
        <v>44728</v>
      </c>
      <c r="F41" s="2" t="s">
        <v>30</v>
      </c>
      <c r="G41" s="2" t="s">
        <v>128</v>
      </c>
      <c r="H41" s="2" t="s">
        <v>239</v>
      </c>
      <c r="I41" s="2" t="s">
        <v>25</v>
      </c>
      <c r="J41" s="2">
        <v>7</v>
      </c>
    </row>
    <row r="42" spans="1:10" ht="14.25" customHeight="1" x14ac:dyDescent="0.3">
      <c r="A42" s="2">
        <v>41</v>
      </c>
      <c r="B42" s="2" t="s">
        <v>240</v>
      </c>
      <c r="C42" s="2" t="s">
        <v>230</v>
      </c>
      <c r="D42" s="2" t="s">
        <v>158</v>
      </c>
      <c r="E42" s="10">
        <v>44727</v>
      </c>
      <c r="F42" s="2" t="s">
        <v>31</v>
      </c>
      <c r="G42" s="2" t="s">
        <v>128</v>
      </c>
      <c r="H42" s="2" t="s">
        <v>241</v>
      </c>
      <c r="I42" s="2" t="s">
        <v>23</v>
      </c>
      <c r="J42" s="2">
        <v>3</v>
      </c>
    </row>
    <row r="43" spans="1:10" ht="14.25" customHeight="1" x14ac:dyDescent="0.3">
      <c r="A43" s="2">
        <v>42</v>
      </c>
      <c r="B43" s="2" t="s">
        <v>242</v>
      </c>
      <c r="C43" s="2" t="s">
        <v>232</v>
      </c>
      <c r="D43" s="2" t="s">
        <v>243</v>
      </c>
      <c r="E43" s="10">
        <v>44731</v>
      </c>
      <c r="F43" s="2" t="s">
        <v>29</v>
      </c>
      <c r="G43" s="2" t="s">
        <v>128</v>
      </c>
      <c r="H43" s="2" t="s">
        <v>244</v>
      </c>
      <c r="I43" s="2" t="s">
        <v>24</v>
      </c>
      <c r="J43" s="2">
        <v>6</v>
      </c>
    </row>
    <row r="44" spans="1:10" ht="14.25" customHeight="1" x14ac:dyDescent="0.3">
      <c r="A44" s="2">
        <v>43</v>
      </c>
      <c r="B44" s="2" t="s">
        <v>245</v>
      </c>
      <c r="C44" s="2" t="s">
        <v>234</v>
      </c>
      <c r="D44" s="2" t="s">
        <v>246</v>
      </c>
      <c r="E44" s="10">
        <v>44732</v>
      </c>
      <c r="F44" s="2" t="s">
        <v>30</v>
      </c>
      <c r="G44" s="2" t="s">
        <v>128</v>
      </c>
      <c r="H44" s="2" t="s">
        <v>247</v>
      </c>
      <c r="I44" s="2" t="s">
        <v>25</v>
      </c>
      <c r="J44" s="2">
        <v>6</v>
      </c>
    </row>
    <row r="45" spans="1:10" ht="14.25" customHeight="1" x14ac:dyDescent="0.3">
      <c r="A45" s="2">
        <v>44</v>
      </c>
      <c r="B45" s="2" t="s">
        <v>248</v>
      </c>
      <c r="C45" s="2" t="s">
        <v>237</v>
      </c>
      <c r="D45" s="2" t="s">
        <v>249</v>
      </c>
      <c r="E45" s="10">
        <v>44738</v>
      </c>
      <c r="F45" s="2" t="s">
        <v>31</v>
      </c>
      <c r="G45" s="2" t="s">
        <v>128</v>
      </c>
      <c r="H45" s="2" t="s">
        <v>250</v>
      </c>
      <c r="I45" s="2" t="s">
        <v>23</v>
      </c>
      <c r="J45" s="2">
        <v>5</v>
      </c>
    </row>
    <row r="46" spans="1:10" ht="14.25" customHeight="1" x14ac:dyDescent="0.3">
      <c r="A46" s="2">
        <v>45</v>
      </c>
      <c r="B46" s="2" t="s">
        <v>251</v>
      </c>
      <c r="C46" s="2" t="s">
        <v>240</v>
      </c>
      <c r="D46" s="2" t="s">
        <v>252</v>
      </c>
      <c r="E46" s="10">
        <v>44730</v>
      </c>
      <c r="F46" s="2" t="s">
        <v>29</v>
      </c>
      <c r="G46" s="2" t="s">
        <v>135</v>
      </c>
      <c r="H46" s="2" t="s">
        <v>253</v>
      </c>
      <c r="I46" s="2" t="s">
        <v>24</v>
      </c>
      <c r="J46" s="2">
        <v>1</v>
      </c>
    </row>
    <row r="47" spans="1:10" ht="14.25" customHeight="1" x14ac:dyDescent="0.3">
      <c r="A47" s="2">
        <v>46</v>
      </c>
      <c r="B47" s="2" t="s">
        <v>254</v>
      </c>
      <c r="C47" s="2" t="s">
        <v>242</v>
      </c>
      <c r="D47" s="2" t="s">
        <v>255</v>
      </c>
      <c r="E47" s="10">
        <v>44736</v>
      </c>
      <c r="F47" s="2" t="s">
        <v>30</v>
      </c>
      <c r="G47" s="2" t="s">
        <v>128</v>
      </c>
      <c r="H47" s="2" t="s">
        <v>256</v>
      </c>
      <c r="I47" s="2" t="s">
        <v>25</v>
      </c>
      <c r="J47" s="2">
        <v>9</v>
      </c>
    </row>
    <row r="48" spans="1:10" ht="14.25" customHeight="1" x14ac:dyDescent="0.3">
      <c r="A48" s="2">
        <v>47</v>
      </c>
      <c r="B48" s="2" t="s">
        <v>257</v>
      </c>
      <c r="C48" s="2" t="s">
        <v>245</v>
      </c>
      <c r="D48" s="2" t="s">
        <v>258</v>
      </c>
      <c r="E48" s="10">
        <v>44733</v>
      </c>
      <c r="F48" s="2" t="s">
        <v>31</v>
      </c>
      <c r="G48" s="2" t="s">
        <v>128</v>
      </c>
      <c r="H48" s="2" t="s">
        <v>259</v>
      </c>
      <c r="I48" s="2" t="s">
        <v>23</v>
      </c>
      <c r="J48" s="2">
        <v>3</v>
      </c>
    </row>
    <row r="49" spans="1:10" ht="14.25" customHeight="1" x14ac:dyDescent="0.3">
      <c r="A49" s="2">
        <v>48</v>
      </c>
      <c r="B49" s="2" t="s">
        <v>260</v>
      </c>
      <c r="C49" s="2" t="s">
        <v>248</v>
      </c>
      <c r="D49" s="2" t="s">
        <v>261</v>
      </c>
      <c r="E49" s="10">
        <v>44746</v>
      </c>
      <c r="F49" s="2" t="s">
        <v>31</v>
      </c>
      <c r="G49" s="2" t="s">
        <v>128</v>
      </c>
      <c r="H49" s="2" t="s">
        <v>262</v>
      </c>
      <c r="I49" s="2" t="s">
        <v>24</v>
      </c>
      <c r="J49" s="2">
        <v>4</v>
      </c>
    </row>
    <row r="50" spans="1:10" ht="14.25" customHeight="1" x14ac:dyDescent="0.3">
      <c r="A50" s="2">
        <v>49</v>
      </c>
      <c r="B50" s="2" t="s">
        <v>263</v>
      </c>
      <c r="C50" s="2" t="s">
        <v>251</v>
      </c>
      <c r="D50" s="2" t="s">
        <v>264</v>
      </c>
      <c r="E50" s="10">
        <v>44755</v>
      </c>
      <c r="F50" s="2" t="s">
        <v>30</v>
      </c>
      <c r="G50" s="2" t="s">
        <v>128</v>
      </c>
      <c r="H50" s="2" t="s">
        <v>265</v>
      </c>
      <c r="I50" s="2" t="s">
        <v>25</v>
      </c>
      <c r="J50" s="2">
        <v>8</v>
      </c>
    </row>
    <row r="51" spans="1:10" ht="14.25" customHeight="1" x14ac:dyDescent="0.3">
      <c r="A51" s="2">
        <v>50</v>
      </c>
      <c r="B51" s="2" t="s">
        <v>266</v>
      </c>
      <c r="C51" s="2" t="s">
        <v>254</v>
      </c>
      <c r="D51" s="2" t="s">
        <v>267</v>
      </c>
      <c r="E51" s="10">
        <v>44755</v>
      </c>
      <c r="F51" s="2" t="s">
        <v>31</v>
      </c>
      <c r="G51" s="2" t="s">
        <v>128</v>
      </c>
      <c r="H51" s="2" t="s">
        <v>268</v>
      </c>
      <c r="I51" s="2" t="s">
        <v>25</v>
      </c>
      <c r="J51" s="2">
        <v>6</v>
      </c>
    </row>
    <row r="52" spans="1:10" ht="14.25" customHeight="1" x14ac:dyDescent="0.3">
      <c r="A52" s="2">
        <v>51</v>
      </c>
      <c r="B52" s="2" t="s">
        <v>269</v>
      </c>
      <c r="C52" s="2" t="s">
        <v>257</v>
      </c>
      <c r="D52" s="2" t="s">
        <v>127</v>
      </c>
      <c r="E52" s="10">
        <v>44727</v>
      </c>
      <c r="F52" s="2" t="s">
        <v>30</v>
      </c>
      <c r="G52" s="2" t="s">
        <v>128</v>
      </c>
      <c r="H52" s="2" t="s">
        <v>270</v>
      </c>
      <c r="I52" s="2" t="s">
        <v>25</v>
      </c>
      <c r="J52" s="2">
        <v>9</v>
      </c>
    </row>
    <row r="53" spans="1:10" ht="14.25" customHeight="1" x14ac:dyDescent="0.3">
      <c r="A53" s="2">
        <v>52</v>
      </c>
      <c r="B53" s="2" t="s">
        <v>271</v>
      </c>
      <c r="C53" s="2" t="s">
        <v>260</v>
      </c>
      <c r="D53" s="2" t="s">
        <v>131</v>
      </c>
      <c r="E53" s="10">
        <v>44746</v>
      </c>
      <c r="F53" s="2" t="s">
        <v>31</v>
      </c>
      <c r="G53" s="2" t="s">
        <v>128</v>
      </c>
      <c r="H53" s="2" t="s">
        <v>272</v>
      </c>
      <c r="I53" s="2" t="s">
        <v>23</v>
      </c>
      <c r="J53" s="2">
        <v>7</v>
      </c>
    </row>
    <row r="54" spans="1:10" ht="14.25" customHeight="1" x14ac:dyDescent="0.3">
      <c r="A54" s="2">
        <v>53</v>
      </c>
      <c r="B54" s="2" t="s">
        <v>273</v>
      </c>
      <c r="C54" s="2" t="s">
        <v>263</v>
      </c>
      <c r="D54" s="2" t="s">
        <v>134</v>
      </c>
      <c r="E54" s="10">
        <v>44740</v>
      </c>
      <c r="F54" s="2" t="s">
        <v>29</v>
      </c>
      <c r="G54" s="2" t="s">
        <v>135</v>
      </c>
      <c r="H54" s="2" t="s">
        <v>274</v>
      </c>
      <c r="I54" s="2" t="s">
        <v>24</v>
      </c>
      <c r="J54" s="2">
        <v>8</v>
      </c>
    </row>
    <row r="55" spans="1:10" ht="14.25" customHeight="1" x14ac:dyDescent="0.3">
      <c r="A55" s="2">
        <v>54</v>
      </c>
      <c r="B55" s="2" t="s">
        <v>275</v>
      </c>
      <c r="C55" s="2" t="s">
        <v>266</v>
      </c>
      <c r="D55" s="2" t="s">
        <v>138</v>
      </c>
      <c r="E55" s="10">
        <v>44743</v>
      </c>
      <c r="F55" s="2" t="s">
        <v>30</v>
      </c>
      <c r="G55" s="2" t="s">
        <v>128</v>
      </c>
      <c r="H55" s="2" t="s">
        <v>276</v>
      </c>
      <c r="I55" s="2" t="s">
        <v>25</v>
      </c>
      <c r="J55" s="2">
        <v>6</v>
      </c>
    </row>
    <row r="56" spans="1:10" ht="14.25" customHeight="1" x14ac:dyDescent="0.3">
      <c r="A56" s="2">
        <v>55</v>
      </c>
      <c r="B56" s="2" t="s">
        <v>277</v>
      </c>
      <c r="C56" s="2" t="s">
        <v>269</v>
      </c>
      <c r="D56" s="2" t="s">
        <v>141</v>
      </c>
      <c r="E56" s="10">
        <v>44737</v>
      </c>
      <c r="F56" s="2" t="s">
        <v>31</v>
      </c>
      <c r="G56" s="2" t="s">
        <v>128</v>
      </c>
      <c r="H56" s="2" t="s">
        <v>278</v>
      </c>
      <c r="I56" s="2" t="s">
        <v>23</v>
      </c>
      <c r="J56" s="2">
        <v>2</v>
      </c>
    </row>
    <row r="57" spans="1:10" ht="14.25" customHeight="1" x14ac:dyDescent="0.3">
      <c r="A57" s="2">
        <v>56</v>
      </c>
      <c r="B57" s="2" t="s">
        <v>279</v>
      </c>
      <c r="C57" s="2" t="s">
        <v>271</v>
      </c>
      <c r="D57" s="2" t="s">
        <v>144</v>
      </c>
      <c r="E57" s="10">
        <v>44757</v>
      </c>
      <c r="F57" s="2" t="s">
        <v>31</v>
      </c>
      <c r="G57" s="2" t="s">
        <v>128</v>
      </c>
      <c r="H57" s="2" t="s">
        <v>280</v>
      </c>
      <c r="I57" s="2" t="s">
        <v>24</v>
      </c>
      <c r="J57" s="2">
        <v>4</v>
      </c>
    </row>
    <row r="58" spans="1:10" ht="14.25" customHeight="1" x14ac:dyDescent="0.3">
      <c r="A58" s="2">
        <v>57</v>
      </c>
      <c r="B58" s="2" t="s">
        <v>281</v>
      </c>
      <c r="C58" s="2" t="s">
        <v>273</v>
      </c>
      <c r="D58" s="2" t="s">
        <v>147</v>
      </c>
      <c r="E58" s="10">
        <v>44745</v>
      </c>
      <c r="F58" s="2" t="s">
        <v>30</v>
      </c>
      <c r="G58" s="2" t="s">
        <v>128</v>
      </c>
      <c r="H58" s="2" t="s">
        <v>282</v>
      </c>
      <c r="I58" s="2" t="s">
        <v>25</v>
      </c>
      <c r="J58" s="2">
        <v>1</v>
      </c>
    </row>
    <row r="59" spans="1:10" ht="14.25" customHeight="1" x14ac:dyDescent="0.3">
      <c r="A59" s="2">
        <v>58</v>
      </c>
      <c r="B59" s="2" t="s">
        <v>283</v>
      </c>
      <c r="C59" s="2" t="s">
        <v>275</v>
      </c>
      <c r="D59" s="2" t="s">
        <v>147</v>
      </c>
      <c r="E59" s="10">
        <v>44760</v>
      </c>
      <c r="F59" s="2" t="s">
        <v>31</v>
      </c>
      <c r="G59" s="2" t="s">
        <v>128</v>
      </c>
      <c r="H59" s="2" t="s">
        <v>284</v>
      </c>
      <c r="I59" s="2" t="s">
        <v>23</v>
      </c>
      <c r="J59" s="2">
        <v>9</v>
      </c>
    </row>
    <row r="60" spans="1:10" ht="14.25" customHeight="1" x14ac:dyDescent="0.3">
      <c r="A60" s="2">
        <v>59</v>
      </c>
      <c r="B60" s="2" t="s">
        <v>285</v>
      </c>
      <c r="C60" s="2" t="s">
        <v>277</v>
      </c>
      <c r="D60" s="2" t="s">
        <v>153</v>
      </c>
      <c r="E60" s="10">
        <v>44750</v>
      </c>
      <c r="F60" s="2" t="s">
        <v>30</v>
      </c>
      <c r="G60" s="2" t="s">
        <v>135</v>
      </c>
      <c r="H60" s="2" t="s">
        <v>286</v>
      </c>
      <c r="I60" s="2" t="s">
        <v>24</v>
      </c>
      <c r="J60" s="2">
        <v>6</v>
      </c>
    </row>
    <row r="61" spans="1:10" ht="14.25" customHeight="1" x14ac:dyDescent="0.3">
      <c r="A61" s="2">
        <v>60</v>
      </c>
      <c r="B61" s="2" t="s">
        <v>287</v>
      </c>
      <c r="C61" s="2" t="s">
        <v>279</v>
      </c>
      <c r="D61" s="2" t="s">
        <v>288</v>
      </c>
      <c r="E61" s="10">
        <v>44742</v>
      </c>
      <c r="F61" s="2" t="s">
        <v>31</v>
      </c>
      <c r="G61" s="2" t="s">
        <v>128</v>
      </c>
      <c r="H61" s="2" t="s">
        <v>289</v>
      </c>
      <c r="I61" s="2" t="s">
        <v>25</v>
      </c>
      <c r="J61" s="2">
        <v>9</v>
      </c>
    </row>
    <row r="62" spans="1:10" ht="14.25" customHeight="1" x14ac:dyDescent="0.3">
      <c r="A62" s="2">
        <v>61</v>
      </c>
      <c r="B62" s="2" t="s">
        <v>290</v>
      </c>
      <c r="C62" s="2" t="s">
        <v>281</v>
      </c>
      <c r="D62" s="2" t="s">
        <v>158</v>
      </c>
      <c r="E62" s="10">
        <v>44754</v>
      </c>
      <c r="F62" s="2" t="s">
        <v>31</v>
      </c>
      <c r="G62" s="2" t="s">
        <v>128</v>
      </c>
      <c r="H62" s="2" t="s">
        <v>291</v>
      </c>
      <c r="I62" s="2" t="s">
        <v>23</v>
      </c>
      <c r="J62" s="2">
        <v>9</v>
      </c>
    </row>
    <row r="63" spans="1:10" ht="14.25" customHeight="1" x14ac:dyDescent="0.3">
      <c r="A63" s="2">
        <v>62</v>
      </c>
      <c r="B63" s="2" t="s">
        <v>292</v>
      </c>
      <c r="C63" s="2" t="s">
        <v>283</v>
      </c>
      <c r="D63" s="2" t="s">
        <v>161</v>
      </c>
      <c r="E63" s="10">
        <v>44746</v>
      </c>
      <c r="F63" s="2" t="s">
        <v>30</v>
      </c>
      <c r="G63" s="2" t="s">
        <v>128</v>
      </c>
      <c r="H63" s="2" t="s">
        <v>293</v>
      </c>
      <c r="I63" s="2" t="s">
        <v>24</v>
      </c>
      <c r="J63" s="2">
        <v>3</v>
      </c>
    </row>
    <row r="64" spans="1:10" ht="14.25" customHeight="1" x14ac:dyDescent="0.3">
      <c r="A64" s="2">
        <v>63</v>
      </c>
      <c r="B64" s="2" t="s">
        <v>294</v>
      </c>
      <c r="C64" s="2" t="s">
        <v>285</v>
      </c>
      <c r="D64" s="2" t="s">
        <v>164</v>
      </c>
      <c r="E64" s="10">
        <v>44752</v>
      </c>
      <c r="F64" s="2" t="s">
        <v>31</v>
      </c>
      <c r="G64" s="2" t="s">
        <v>128</v>
      </c>
      <c r="H64" s="2" t="s">
        <v>295</v>
      </c>
      <c r="I64" s="2" t="s">
        <v>25</v>
      </c>
      <c r="J64" s="2">
        <v>2</v>
      </c>
    </row>
    <row r="65" spans="1:10" ht="14.25" customHeight="1" x14ac:dyDescent="0.3">
      <c r="A65" s="2">
        <v>64</v>
      </c>
      <c r="B65" s="2" t="s">
        <v>296</v>
      </c>
      <c r="C65" s="2" t="s">
        <v>287</v>
      </c>
      <c r="D65" s="2" t="s">
        <v>167</v>
      </c>
      <c r="E65" s="10">
        <v>44725</v>
      </c>
      <c r="F65" s="2" t="s">
        <v>31</v>
      </c>
      <c r="G65" s="2" t="s">
        <v>128</v>
      </c>
      <c r="H65" s="2" t="s">
        <v>297</v>
      </c>
      <c r="I65" s="2" t="s">
        <v>23</v>
      </c>
      <c r="J65" s="2">
        <v>3</v>
      </c>
    </row>
    <row r="66" spans="1:10" ht="14.25" customHeight="1" x14ac:dyDescent="0.3">
      <c r="A66" s="2">
        <v>65</v>
      </c>
      <c r="B66" s="2" t="s">
        <v>298</v>
      </c>
      <c r="C66" s="2" t="s">
        <v>290</v>
      </c>
      <c r="D66" s="2" t="s">
        <v>267</v>
      </c>
      <c r="E66" s="10">
        <v>44734</v>
      </c>
      <c r="F66" s="2" t="s">
        <v>30</v>
      </c>
      <c r="G66" s="2" t="s">
        <v>135</v>
      </c>
      <c r="H66" s="2" t="s">
        <v>299</v>
      </c>
      <c r="I66" s="2" t="s">
        <v>24</v>
      </c>
      <c r="J66" s="2">
        <v>10</v>
      </c>
    </row>
    <row r="67" spans="1:10" ht="14.25" customHeight="1" x14ac:dyDescent="0.3">
      <c r="A67" s="2">
        <v>66</v>
      </c>
      <c r="B67" s="2" t="s">
        <v>300</v>
      </c>
      <c r="C67" s="2" t="s">
        <v>292</v>
      </c>
      <c r="D67" s="2" t="s">
        <v>127</v>
      </c>
      <c r="E67" s="10">
        <v>44761</v>
      </c>
      <c r="F67" s="2" t="s">
        <v>31</v>
      </c>
      <c r="G67" s="2" t="s">
        <v>128</v>
      </c>
      <c r="H67" s="2" t="s">
        <v>301</v>
      </c>
      <c r="I67" s="2" t="s">
        <v>25</v>
      </c>
      <c r="J67" s="2">
        <v>3</v>
      </c>
    </row>
    <row r="68" spans="1:10" ht="14.25" customHeight="1" x14ac:dyDescent="0.3">
      <c r="A68" s="2">
        <v>67</v>
      </c>
      <c r="B68" s="2" t="s">
        <v>302</v>
      </c>
      <c r="C68" s="2" t="s">
        <v>294</v>
      </c>
      <c r="D68" s="2" t="s">
        <v>131</v>
      </c>
      <c r="E68" s="10">
        <v>44735</v>
      </c>
      <c r="F68" s="2" t="s">
        <v>30</v>
      </c>
      <c r="G68" s="2" t="s">
        <v>128</v>
      </c>
      <c r="H68" s="2" t="s">
        <v>303</v>
      </c>
      <c r="I68" s="2" t="s">
        <v>23</v>
      </c>
      <c r="J68" s="2">
        <v>1</v>
      </c>
    </row>
    <row r="69" spans="1:10" ht="14.25" customHeight="1" x14ac:dyDescent="0.3">
      <c r="A69" s="2">
        <v>68</v>
      </c>
      <c r="B69" s="2" t="s">
        <v>304</v>
      </c>
      <c r="C69" s="2" t="s">
        <v>296</v>
      </c>
      <c r="D69" s="2" t="s">
        <v>134</v>
      </c>
      <c r="E69" s="10">
        <v>44753</v>
      </c>
      <c r="F69" s="2" t="s">
        <v>31</v>
      </c>
      <c r="G69" s="2" t="s">
        <v>128</v>
      </c>
      <c r="H69" s="2" t="s">
        <v>305</v>
      </c>
      <c r="I69" s="2" t="s">
        <v>24</v>
      </c>
      <c r="J69" s="2">
        <v>5</v>
      </c>
    </row>
    <row r="70" spans="1:10" ht="14.25" customHeight="1" x14ac:dyDescent="0.3">
      <c r="A70" s="2">
        <v>69</v>
      </c>
      <c r="B70" s="2" t="s">
        <v>306</v>
      </c>
      <c r="C70" s="2" t="s">
        <v>298</v>
      </c>
      <c r="D70" s="2" t="s">
        <v>138</v>
      </c>
      <c r="E70" s="10">
        <v>44732</v>
      </c>
      <c r="F70" s="2" t="s">
        <v>30</v>
      </c>
      <c r="G70" s="2" t="s">
        <v>128</v>
      </c>
      <c r="H70" s="2" t="s">
        <v>307</v>
      </c>
      <c r="I70" s="2" t="s">
        <v>25</v>
      </c>
      <c r="J70" s="2">
        <v>1</v>
      </c>
    </row>
    <row r="71" spans="1:10" ht="14.25" customHeight="1" x14ac:dyDescent="0.3">
      <c r="A71" s="2">
        <v>70</v>
      </c>
      <c r="B71" s="2" t="s">
        <v>308</v>
      </c>
      <c r="C71" s="2" t="s">
        <v>300</v>
      </c>
      <c r="D71" s="2" t="s">
        <v>141</v>
      </c>
      <c r="E71" s="10">
        <v>44748</v>
      </c>
      <c r="F71" s="2" t="s">
        <v>31</v>
      </c>
      <c r="G71" s="2" t="s">
        <v>128</v>
      </c>
      <c r="H71" s="2" t="s">
        <v>309</v>
      </c>
      <c r="I71" s="2" t="s">
        <v>23</v>
      </c>
      <c r="J71" s="2">
        <v>5</v>
      </c>
    </row>
    <row r="72" spans="1:10" ht="14.25" customHeight="1" x14ac:dyDescent="0.3">
      <c r="A72" s="2">
        <v>71</v>
      </c>
      <c r="B72" s="2" t="s">
        <v>310</v>
      </c>
      <c r="C72" s="2" t="s">
        <v>302</v>
      </c>
      <c r="D72" s="2" t="s">
        <v>144</v>
      </c>
      <c r="E72" s="10">
        <v>44731</v>
      </c>
      <c r="F72" s="2" t="s">
        <v>29</v>
      </c>
      <c r="G72" s="2" t="s">
        <v>135</v>
      </c>
      <c r="H72" s="2" t="s">
        <v>311</v>
      </c>
      <c r="I72" s="2" t="s">
        <v>24</v>
      </c>
      <c r="J72" s="2">
        <v>5</v>
      </c>
    </row>
    <row r="73" spans="1:10" ht="14.25" customHeight="1" x14ac:dyDescent="0.3">
      <c r="A73" s="2">
        <v>72</v>
      </c>
      <c r="B73" s="2" t="s">
        <v>312</v>
      </c>
      <c r="C73" s="2" t="s">
        <v>304</v>
      </c>
      <c r="D73" s="2" t="s">
        <v>147</v>
      </c>
      <c r="E73" s="10">
        <v>44725</v>
      </c>
      <c r="F73" s="2" t="s">
        <v>30</v>
      </c>
      <c r="G73" s="2" t="s">
        <v>128</v>
      </c>
      <c r="H73" s="2" t="s">
        <v>313</v>
      </c>
      <c r="I73" s="2" t="s">
        <v>25</v>
      </c>
      <c r="J73" s="2">
        <v>3</v>
      </c>
    </row>
    <row r="74" spans="1:10" ht="14.25" customHeight="1" x14ac:dyDescent="0.3">
      <c r="A74" s="2">
        <v>73</v>
      </c>
      <c r="B74" s="2" t="s">
        <v>314</v>
      </c>
      <c r="C74" s="2" t="s">
        <v>306</v>
      </c>
      <c r="D74" s="2" t="s">
        <v>147</v>
      </c>
      <c r="E74" s="10">
        <v>44753</v>
      </c>
      <c r="F74" s="2" t="s">
        <v>31</v>
      </c>
      <c r="G74" s="2" t="s">
        <v>128</v>
      </c>
      <c r="H74" s="2" t="s">
        <v>315</v>
      </c>
      <c r="I74" s="2" t="s">
        <v>23</v>
      </c>
      <c r="J74" s="2">
        <v>3</v>
      </c>
    </row>
    <row r="75" spans="1:10" ht="14.25" customHeight="1" x14ac:dyDescent="0.3">
      <c r="A75" s="2">
        <v>74</v>
      </c>
      <c r="B75" s="2" t="s">
        <v>316</v>
      </c>
      <c r="C75" s="2" t="s">
        <v>308</v>
      </c>
      <c r="D75" s="2" t="s">
        <v>153</v>
      </c>
      <c r="E75" s="10">
        <v>44738</v>
      </c>
      <c r="F75" s="2" t="s">
        <v>31</v>
      </c>
      <c r="G75" s="2" t="s">
        <v>128</v>
      </c>
      <c r="H75" s="2" t="s">
        <v>317</v>
      </c>
      <c r="I75" s="2" t="s">
        <v>24</v>
      </c>
      <c r="J75" s="2">
        <v>7</v>
      </c>
    </row>
    <row r="76" spans="1:10" ht="14.25" customHeight="1" x14ac:dyDescent="0.3">
      <c r="A76" s="2">
        <v>75</v>
      </c>
      <c r="B76" s="2" t="s">
        <v>318</v>
      </c>
      <c r="C76" s="2" t="s">
        <v>310</v>
      </c>
      <c r="D76" s="2" t="s">
        <v>144</v>
      </c>
      <c r="E76" s="10">
        <v>44762</v>
      </c>
      <c r="F76" s="2" t="s">
        <v>30</v>
      </c>
      <c r="G76" s="2" t="s">
        <v>128</v>
      </c>
      <c r="H76" s="2" t="s">
        <v>319</v>
      </c>
      <c r="I76" s="2" t="s">
        <v>25</v>
      </c>
      <c r="J76" s="2">
        <v>4</v>
      </c>
    </row>
    <row r="77" spans="1:10" ht="14.25" customHeight="1" x14ac:dyDescent="0.3">
      <c r="A77" s="2">
        <v>76</v>
      </c>
      <c r="B77" s="2" t="s">
        <v>320</v>
      </c>
      <c r="C77" s="2" t="s">
        <v>312</v>
      </c>
      <c r="D77" s="2" t="s">
        <v>158</v>
      </c>
      <c r="E77" s="10">
        <v>44756</v>
      </c>
      <c r="F77" s="2" t="s">
        <v>31</v>
      </c>
      <c r="G77" s="2" t="s">
        <v>128</v>
      </c>
      <c r="H77" s="2" t="s">
        <v>321</v>
      </c>
      <c r="I77" s="2" t="s">
        <v>23</v>
      </c>
      <c r="J77" s="2">
        <v>3</v>
      </c>
    </row>
    <row r="78" spans="1:10" ht="14.25" customHeight="1" x14ac:dyDescent="0.3">
      <c r="A78" s="2">
        <v>77</v>
      </c>
      <c r="B78" s="2" t="s">
        <v>322</v>
      </c>
      <c r="C78" s="2" t="s">
        <v>314</v>
      </c>
      <c r="D78" s="2" t="s">
        <v>161</v>
      </c>
      <c r="E78" s="10">
        <v>44744</v>
      </c>
      <c r="F78" s="2" t="s">
        <v>30</v>
      </c>
      <c r="G78" s="2" t="s">
        <v>135</v>
      </c>
      <c r="H78" s="2" t="s">
        <v>323</v>
      </c>
      <c r="I78" s="2" t="s">
        <v>24</v>
      </c>
      <c r="J78" s="2">
        <v>8</v>
      </c>
    </row>
    <row r="79" spans="1:10" ht="14.25" customHeight="1" x14ac:dyDescent="0.3">
      <c r="A79" s="2">
        <v>78</v>
      </c>
      <c r="B79" s="2" t="s">
        <v>324</v>
      </c>
      <c r="C79" s="2" t="s">
        <v>316</v>
      </c>
      <c r="D79" s="2" t="s">
        <v>164</v>
      </c>
      <c r="E79" s="10">
        <v>44753</v>
      </c>
      <c r="F79" s="2" t="s">
        <v>31</v>
      </c>
      <c r="G79" s="2" t="s">
        <v>128</v>
      </c>
      <c r="H79" s="2" t="s">
        <v>325</v>
      </c>
      <c r="I79" s="2" t="s">
        <v>25</v>
      </c>
      <c r="J79" s="2">
        <v>2</v>
      </c>
    </row>
    <row r="80" spans="1:10" ht="14.25" customHeight="1" x14ac:dyDescent="0.3">
      <c r="A80" s="2">
        <v>79</v>
      </c>
      <c r="B80" s="2" t="s">
        <v>326</v>
      </c>
      <c r="C80" s="2" t="s">
        <v>318</v>
      </c>
      <c r="D80" s="2" t="s">
        <v>167</v>
      </c>
      <c r="E80" s="10">
        <v>44762</v>
      </c>
      <c r="F80" s="2" t="s">
        <v>31</v>
      </c>
      <c r="G80" s="2" t="s">
        <v>128</v>
      </c>
      <c r="H80" s="2" t="s">
        <v>327</v>
      </c>
      <c r="I80" s="2" t="s">
        <v>23</v>
      </c>
      <c r="J80" s="2">
        <v>9</v>
      </c>
    </row>
    <row r="81" spans="1:10" ht="14.25" customHeight="1" x14ac:dyDescent="0.3">
      <c r="A81" s="2">
        <v>80</v>
      </c>
      <c r="B81" s="2" t="s">
        <v>328</v>
      </c>
      <c r="C81" s="2" t="s">
        <v>320</v>
      </c>
      <c r="D81" s="2" t="s">
        <v>144</v>
      </c>
      <c r="E81" s="10">
        <v>44740</v>
      </c>
      <c r="F81" s="2" t="s">
        <v>30</v>
      </c>
      <c r="G81" s="2" t="s">
        <v>128</v>
      </c>
      <c r="H81" s="2" t="s">
        <v>329</v>
      </c>
      <c r="I81" s="2" t="s">
        <v>24</v>
      </c>
      <c r="J81" s="2">
        <v>6</v>
      </c>
    </row>
    <row r="82" spans="1:10" ht="14.25" customHeight="1" x14ac:dyDescent="0.3">
      <c r="A82" s="2">
        <v>81</v>
      </c>
      <c r="B82" s="2" t="s">
        <v>330</v>
      </c>
      <c r="C82" s="2" t="s">
        <v>322</v>
      </c>
      <c r="D82" s="2" t="s">
        <v>172</v>
      </c>
      <c r="E82" s="10">
        <v>44729</v>
      </c>
      <c r="F82" s="2" t="s">
        <v>31</v>
      </c>
      <c r="G82" s="2" t="s">
        <v>128</v>
      </c>
      <c r="H82" s="2" t="s">
        <v>331</v>
      </c>
      <c r="I82" s="2" t="s">
        <v>25</v>
      </c>
      <c r="J82" s="2">
        <v>7</v>
      </c>
    </row>
    <row r="83" spans="1:10" ht="14.25" customHeight="1" x14ac:dyDescent="0.3">
      <c r="A83" s="2">
        <v>82</v>
      </c>
      <c r="B83" s="2" t="s">
        <v>332</v>
      </c>
      <c r="C83" s="2" t="s">
        <v>324</v>
      </c>
      <c r="D83" s="2" t="s">
        <v>161</v>
      </c>
      <c r="E83" s="10">
        <v>44727</v>
      </c>
      <c r="F83" s="2" t="s">
        <v>31</v>
      </c>
      <c r="G83" s="2" t="s">
        <v>128</v>
      </c>
      <c r="H83" s="2" t="s">
        <v>333</v>
      </c>
      <c r="I83" s="2" t="s">
        <v>23</v>
      </c>
      <c r="J83" s="2">
        <v>9</v>
      </c>
    </row>
    <row r="84" spans="1:10" ht="14.25" customHeight="1" x14ac:dyDescent="0.3">
      <c r="A84" s="2">
        <v>83</v>
      </c>
      <c r="B84" s="2" t="s">
        <v>334</v>
      </c>
      <c r="C84" s="2" t="s">
        <v>326</v>
      </c>
      <c r="D84" s="2" t="s">
        <v>141</v>
      </c>
      <c r="E84" s="10">
        <v>44734</v>
      </c>
      <c r="F84" s="2" t="s">
        <v>30</v>
      </c>
      <c r="G84" s="2" t="s">
        <v>135</v>
      </c>
      <c r="H84" s="2" t="s">
        <v>335</v>
      </c>
      <c r="I84" s="2" t="s">
        <v>24</v>
      </c>
      <c r="J84" s="2">
        <v>2</v>
      </c>
    </row>
    <row r="85" spans="1:10" ht="14.25" customHeight="1" x14ac:dyDescent="0.3">
      <c r="A85" s="2">
        <v>84</v>
      </c>
      <c r="B85" s="2" t="s">
        <v>336</v>
      </c>
      <c r="C85" s="2" t="s">
        <v>328</v>
      </c>
      <c r="D85" s="2" t="s">
        <v>158</v>
      </c>
      <c r="E85" s="10">
        <v>44744</v>
      </c>
      <c r="F85" s="2" t="s">
        <v>31</v>
      </c>
      <c r="G85" s="2" t="s">
        <v>128</v>
      </c>
      <c r="H85" s="2" t="s">
        <v>337</v>
      </c>
      <c r="I85" s="2" t="s">
        <v>25</v>
      </c>
      <c r="J85" s="2">
        <v>9</v>
      </c>
    </row>
    <row r="86" spans="1:10" ht="14.25" customHeight="1" x14ac:dyDescent="0.3">
      <c r="A86" s="2">
        <v>85</v>
      </c>
      <c r="B86" s="2" t="s">
        <v>338</v>
      </c>
      <c r="C86" s="2" t="s">
        <v>330</v>
      </c>
      <c r="D86" s="2" t="s">
        <v>182</v>
      </c>
      <c r="E86" s="10">
        <v>44737</v>
      </c>
      <c r="F86" s="2" t="s">
        <v>30</v>
      </c>
      <c r="G86" s="2" t="s">
        <v>128</v>
      </c>
      <c r="H86" s="2" t="s">
        <v>339</v>
      </c>
      <c r="I86" s="2" t="s">
        <v>23</v>
      </c>
      <c r="J86" s="2">
        <v>10</v>
      </c>
    </row>
    <row r="87" spans="1:10" ht="14.25" customHeight="1" x14ac:dyDescent="0.3">
      <c r="A87" s="2">
        <v>86</v>
      </c>
      <c r="B87" s="2" t="s">
        <v>340</v>
      </c>
      <c r="C87" s="2" t="s">
        <v>332</v>
      </c>
      <c r="D87" s="2" t="s">
        <v>185</v>
      </c>
      <c r="E87" s="10">
        <v>44752</v>
      </c>
      <c r="F87" s="2" t="s">
        <v>31</v>
      </c>
      <c r="G87" s="2" t="s">
        <v>128</v>
      </c>
      <c r="H87" s="2" t="s">
        <v>341</v>
      </c>
      <c r="I87" s="2" t="s">
        <v>24</v>
      </c>
      <c r="J87" s="2">
        <v>1</v>
      </c>
    </row>
    <row r="88" spans="1:10" ht="14.25" customHeight="1" x14ac:dyDescent="0.3">
      <c r="A88" s="2">
        <v>87</v>
      </c>
      <c r="B88" s="2" t="s">
        <v>342</v>
      </c>
      <c r="C88" s="2" t="s">
        <v>334</v>
      </c>
      <c r="D88" s="2" t="s">
        <v>188</v>
      </c>
      <c r="E88" s="10">
        <v>44736</v>
      </c>
      <c r="F88" s="2" t="s">
        <v>30</v>
      </c>
      <c r="G88" s="2" t="s">
        <v>128</v>
      </c>
      <c r="H88" s="2" t="s">
        <v>343</v>
      </c>
      <c r="I88" s="2" t="s">
        <v>25</v>
      </c>
      <c r="J88" s="2">
        <v>1</v>
      </c>
    </row>
    <row r="89" spans="1:10" ht="14.25" customHeight="1" x14ac:dyDescent="0.3">
      <c r="A89" s="2">
        <v>88</v>
      </c>
      <c r="B89" s="2" t="s">
        <v>344</v>
      </c>
      <c r="C89" s="2" t="s">
        <v>336</v>
      </c>
      <c r="D89" s="2" t="s">
        <v>191</v>
      </c>
      <c r="E89" s="10">
        <v>44752</v>
      </c>
      <c r="F89" s="2" t="s">
        <v>31</v>
      </c>
      <c r="G89" s="2" t="s">
        <v>128</v>
      </c>
      <c r="H89" s="2" t="s">
        <v>345</v>
      </c>
      <c r="I89" s="2" t="s">
        <v>23</v>
      </c>
      <c r="J89" s="2">
        <v>10</v>
      </c>
    </row>
    <row r="90" spans="1:10" ht="14.25" customHeight="1" x14ac:dyDescent="0.3">
      <c r="A90" s="2">
        <v>89</v>
      </c>
      <c r="B90" s="2" t="s">
        <v>346</v>
      </c>
      <c r="C90" s="2" t="s">
        <v>338</v>
      </c>
      <c r="D90" s="2" t="s">
        <v>194</v>
      </c>
      <c r="E90" s="10">
        <v>44759</v>
      </c>
      <c r="F90" s="2" t="s">
        <v>29</v>
      </c>
      <c r="G90" s="2" t="s">
        <v>135</v>
      </c>
      <c r="H90" s="2" t="s">
        <v>347</v>
      </c>
      <c r="I90" s="2" t="s">
        <v>24</v>
      </c>
      <c r="J90" s="2">
        <v>4</v>
      </c>
    </row>
    <row r="91" spans="1:10" ht="14.25" customHeight="1" x14ac:dyDescent="0.3">
      <c r="A91" s="2">
        <v>90</v>
      </c>
      <c r="B91" s="2" t="s">
        <v>348</v>
      </c>
      <c r="C91" s="2" t="s">
        <v>340</v>
      </c>
      <c r="D91" s="2" t="s">
        <v>197</v>
      </c>
      <c r="E91" s="10">
        <v>44763</v>
      </c>
      <c r="F91" s="2" t="s">
        <v>30</v>
      </c>
      <c r="G91" s="2" t="s">
        <v>128</v>
      </c>
      <c r="H91" s="2" t="s">
        <v>349</v>
      </c>
      <c r="I91" s="2" t="s">
        <v>25</v>
      </c>
      <c r="J91" s="2">
        <v>7</v>
      </c>
    </row>
    <row r="92" spans="1:10" ht="14.25" customHeight="1" x14ac:dyDescent="0.3">
      <c r="A92" s="2">
        <v>91</v>
      </c>
      <c r="B92" s="2" t="s">
        <v>350</v>
      </c>
      <c r="C92" s="2" t="s">
        <v>342</v>
      </c>
      <c r="D92" s="2" t="s">
        <v>200</v>
      </c>
      <c r="E92" s="10">
        <v>44763</v>
      </c>
      <c r="F92" s="2" t="s">
        <v>31</v>
      </c>
      <c r="G92" s="2" t="s">
        <v>128</v>
      </c>
      <c r="H92" s="2" t="s">
        <v>351</v>
      </c>
      <c r="I92" s="2" t="s">
        <v>23</v>
      </c>
      <c r="J92" s="2">
        <v>3</v>
      </c>
    </row>
    <row r="93" spans="1:10" ht="14.25" customHeight="1" x14ac:dyDescent="0.3">
      <c r="A93" s="2">
        <v>92</v>
      </c>
      <c r="B93" s="2" t="s">
        <v>352</v>
      </c>
      <c r="C93" s="2" t="s">
        <v>344</v>
      </c>
      <c r="D93" s="2" t="s">
        <v>203</v>
      </c>
      <c r="E93" s="10">
        <v>44750</v>
      </c>
      <c r="F93" s="2" t="s">
        <v>31</v>
      </c>
      <c r="G93" s="2" t="s">
        <v>128</v>
      </c>
      <c r="H93" s="2" t="s">
        <v>353</v>
      </c>
      <c r="I93" s="2" t="s">
        <v>24</v>
      </c>
      <c r="J93" s="2">
        <v>6</v>
      </c>
    </row>
    <row r="94" spans="1:10" ht="14.25" customHeight="1" x14ac:dyDescent="0.3">
      <c r="A94" s="2">
        <v>93</v>
      </c>
      <c r="B94" s="2" t="s">
        <v>354</v>
      </c>
      <c r="C94" s="2" t="s">
        <v>346</v>
      </c>
      <c r="D94" s="2" t="s">
        <v>207</v>
      </c>
      <c r="E94" s="10">
        <v>44751</v>
      </c>
      <c r="F94" s="2" t="s">
        <v>30</v>
      </c>
      <c r="G94" s="2" t="s">
        <v>128</v>
      </c>
      <c r="H94" s="2" t="s">
        <v>355</v>
      </c>
      <c r="I94" s="2" t="s">
        <v>25</v>
      </c>
      <c r="J94" s="2">
        <v>6</v>
      </c>
    </row>
    <row r="95" spans="1:10" ht="14.25" customHeight="1" x14ac:dyDescent="0.3">
      <c r="A95" s="2">
        <v>94</v>
      </c>
      <c r="B95" s="2" t="s">
        <v>356</v>
      </c>
      <c r="C95" s="2" t="s">
        <v>348</v>
      </c>
      <c r="D95" s="2" t="s">
        <v>210</v>
      </c>
      <c r="E95" s="10">
        <v>44736</v>
      </c>
      <c r="F95" s="2" t="s">
        <v>31</v>
      </c>
      <c r="G95" s="2" t="s">
        <v>128</v>
      </c>
      <c r="H95" s="2" t="s">
        <v>357</v>
      </c>
      <c r="I95" s="2" t="s">
        <v>23</v>
      </c>
      <c r="J95" s="2">
        <v>5</v>
      </c>
    </row>
    <row r="96" spans="1:10" ht="14.25" customHeight="1" x14ac:dyDescent="0.3">
      <c r="A96" s="2">
        <v>95</v>
      </c>
      <c r="B96" s="2" t="s">
        <v>358</v>
      </c>
      <c r="C96" s="2" t="s">
        <v>350</v>
      </c>
      <c r="D96" s="2" t="s">
        <v>213</v>
      </c>
      <c r="E96" s="10">
        <v>44737</v>
      </c>
      <c r="F96" s="2" t="s">
        <v>30</v>
      </c>
      <c r="G96" s="2" t="s">
        <v>135</v>
      </c>
      <c r="H96" s="2" t="s">
        <v>359</v>
      </c>
      <c r="I96" s="2" t="s">
        <v>24</v>
      </c>
      <c r="J96" s="2">
        <v>1</v>
      </c>
    </row>
    <row r="97" spans="1:10" ht="14.25" customHeight="1" x14ac:dyDescent="0.3">
      <c r="A97" s="2">
        <v>96</v>
      </c>
      <c r="B97" s="2" t="s">
        <v>360</v>
      </c>
      <c r="C97" s="2" t="s">
        <v>352</v>
      </c>
      <c r="D97" s="2" t="s">
        <v>216</v>
      </c>
      <c r="E97" s="10">
        <v>44744</v>
      </c>
      <c r="F97" s="2" t="s">
        <v>31</v>
      </c>
      <c r="G97" s="2" t="s">
        <v>128</v>
      </c>
      <c r="H97" s="2" t="s">
        <v>361</v>
      </c>
      <c r="I97" s="2" t="s">
        <v>25</v>
      </c>
      <c r="J97" s="2">
        <v>9</v>
      </c>
    </row>
    <row r="98" spans="1:10" ht="14.25" customHeight="1" x14ac:dyDescent="0.3">
      <c r="A98" s="2">
        <v>97</v>
      </c>
      <c r="B98" s="2" t="s">
        <v>362</v>
      </c>
      <c r="C98" s="2" t="s">
        <v>354</v>
      </c>
      <c r="D98" s="2" t="s">
        <v>219</v>
      </c>
      <c r="E98" s="10">
        <v>44735</v>
      </c>
      <c r="F98" s="2" t="s">
        <v>31</v>
      </c>
      <c r="G98" s="2" t="s">
        <v>128</v>
      </c>
      <c r="H98" s="2" t="s">
        <v>363</v>
      </c>
      <c r="I98" s="2" t="s">
        <v>23</v>
      </c>
      <c r="J98" s="2">
        <v>3</v>
      </c>
    </row>
    <row r="99" spans="1:10" ht="14.25" customHeight="1" x14ac:dyDescent="0.3">
      <c r="A99" s="2">
        <v>98</v>
      </c>
      <c r="B99" s="2" t="s">
        <v>364</v>
      </c>
      <c r="C99" s="2" t="s">
        <v>356</v>
      </c>
      <c r="D99" s="2" t="s">
        <v>167</v>
      </c>
      <c r="E99" s="10">
        <v>44751</v>
      </c>
      <c r="F99" s="2" t="s">
        <v>30</v>
      </c>
      <c r="G99" s="2" t="s">
        <v>128</v>
      </c>
      <c r="H99" s="2" t="s">
        <v>365</v>
      </c>
      <c r="I99" s="2" t="s">
        <v>24</v>
      </c>
      <c r="J99" s="2">
        <v>4</v>
      </c>
    </row>
    <row r="100" spans="1:10" ht="14.25" customHeight="1" x14ac:dyDescent="0.3">
      <c r="A100" s="2">
        <v>99</v>
      </c>
      <c r="B100" s="2" t="s">
        <v>366</v>
      </c>
      <c r="C100" s="2" t="s">
        <v>358</v>
      </c>
      <c r="D100" s="2" t="s">
        <v>191</v>
      </c>
      <c r="E100" s="10">
        <v>44726</v>
      </c>
      <c r="F100" s="2" t="s">
        <v>31</v>
      </c>
      <c r="G100" s="2" t="s">
        <v>128</v>
      </c>
      <c r="H100" s="2" t="s">
        <v>367</v>
      </c>
      <c r="I100" s="2" t="s">
        <v>25</v>
      </c>
      <c r="J100" s="2">
        <v>8</v>
      </c>
    </row>
    <row r="101" spans="1:10" ht="14.25" customHeight="1" x14ac:dyDescent="0.3">
      <c r="A101" s="2">
        <v>100</v>
      </c>
      <c r="B101" s="2" t="s">
        <v>368</v>
      </c>
      <c r="C101" s="2" t="s">
        <v>360</v>
      </c>
      <c r="D101" s="2" t="s">
        <v>207</v>
      </c>
      <c r="E101" s="10">
        <v>44749</v>
      </c>
      <c r="F101" s="2" t="s">
        <v>31</v>
      </c>
      <c r="G101" s="2" t="s">
        <v>128</v>
      </c>
      <c r="H101" s="2" t="s">
        <v>369</v>
      </c>
      <c r="I101" s="2" t="s">
        <v>25</v>
      </c>
      <c r="J101" s="2">
        <v>6</v>
      </c>
    </row>
    <row r="102" spans="1:10" ht="14.25" customHeight="1" x14ac:dyDescent="0.3">
      <c r="A102" s="2">
        <v>101</v>
      </c>
      <c r="B102" s="2" t="s">
        <v>370</v>
      </c>
      <c r="C102" s="2" t="s">
        <v>362</v>
      </c>
      <c r="D102" s="2" t="s">
        <v>141</v>
      </c>
      <c r="E102" s="10">
        <v>44734</v>
      </c>
      <c r="F102" s="2" t="s">
        <v>30</v>
      </c>
      <c r="G102" s="2" t="s">
        <v>128</v>
      </c>
      <c r="H102" s="2" t="s">
        <v>371</v>
      </c>
      <c r="I102" s="2" t="s">
        <v>25</v>
      </c>
      <c r="J102" s="2">
        <v>10</v>
      </c>
    </row>
    <row r="103" spans="1:10" ht="14.25" customHeight="1" x14ac:dyDescent="0.3">
      <c r="A103" s="2">
        <v>102</v>
      </c>
      <c r="B103" s="2" t="s">
        <v>372</v>
      </c>
      <c r="C103" s="2" t="s">
        <v>364</v>
      </c>
      <c r="D103" s="2" t="s">
        <v>172</v>
      </c>
      <c r="E103" s="10">
        <v>44726</v>
      </c>
      <c r="F103" s="2" t="s">
        <v>31</v>
      </c>
      <c r="G103" s="2" t="s">
        <v>128</v>
      </c>
      <c r="H103" s="2" t="s">
        <v>373</v>
      </c>
      <c r="I103" s="2" t="s">
        <v>23</v>
      </c>
      <c r="J103" s="2">
        <v>9</v>
      </c>
    </row>
    <row r="104" spans="1:10" ht="14.25" customHeight="1" x14ac:dyDescent="0.3">
      <c r="A104" s="2">
        <v>103</v>
      </c>
      <c r="B104" s="2" t="s">
        <v>374</v>
      </c>
      <c r="C104" s="2" t="s">
        <v>366</v>
      </c>
      <c r="D104" s="2" t="s">
        <v>213</v>
      </c>
      <c r="E104" s="10">
        <v>44743</v>
      </c>
      <c r="F104" s="2" t="s">
        <v>30</v>
      </c>
      <c r="G104" s="2" t="s">
        <v>128</v>
      </c>
      <c r="H104" s="2" t="s">
        <v>375</v>
      </c>
      <c r="I104" s="2" t="s">
        <v>24</v>
      </c>
      <c r="J104" s="2">
        <v>7</v>
      </c>
    </row>
    <row r="105" spans="1:10" ht="14.25" customHeight="1" x14ac:dyDescent="0.3">
      <c r="A105" s="2">
        <v>104</v>
      </c>
      <c r="B105" s="2" t="s">
        <v>376</v>
      </c>
      <c r="C105" s="2" t="s">
        <v>368</v>
      </c>
      <c r="D105" s="2" t="s">
        <v>216</v>
      </c>
      <c r="E105" s="10">
        <v>44742</v>
      </c>
      <c r="F105" s="2" t="s">
        <v>31</v>
      </c>
      <c r="G105" s="2" t="s">
        <v>128</v>
      </c>
      <c r="H105" s="2" t="s">
        <v>377</v>
      </c>
      <c r="I105" s="2" t="s">
        <v>25</v>
      </c>
      <c r="J105" s="2">
        <v>7</v>
      </c>
    </row>
    <row r="106" spans="1:10" ht="14.25" customHeight="1" x14ac:dyDescent="0.3">
      <c r="A106" s="2">
        <v>105</v>
      </c>
      <c r="B106" s="2" t="s">
        <v>378</v>
      </c>
      <c r="C106" s="2" t="s">
        <v>370</v>
      </c>
      <c r="D106" s="2" t="s">
        <v>238</v>
      </c>
      <c r="E106" s="10">
        <v>44747</v>
      </c>
      <c r="F106" s="2" t="s">
        <v>30</v>
      </c>
      <c r="G106" s="2" t="s">
        <v>128</v>
      </c>
      <c r="H106" s="2" t="s">
        <v>379</v>
      </c>
      <c r="I106" s="2" t="s">
        <v>23</v>
      </c>
      <c r="J106" s="2">
        <v>7</v>
      </c>
    </row>
    <row r="107" spans="1:10" ht="14.25" customHeight="1" x14ac:dyDescent="0.3">
      <c r="A107" s="2">
        <v>106</v>
      </c>
      <c r="B107" s="2" t="s">
        <v>380</v>
      </c>
      <c r="C107" s="2" t="s">
        <v>372</v>
      </c>
      <c r="D107" s="2" t="s">
        <v>381</v>
      </c>
      <c r="E107" s="10">
        <v>44764</v>
      </c>
      <c r="F107" s="2" t="s">
        <v>31</v>
      </c>
      <c r="G107" s="2" t="s">
        <v>128</v>
      </c>
      <c r="H107" s="2" t="s">
        <v>382</v>
      </c>
      <c r="I107" s="2" t="s">
        <v>24</v>
      </c>
      <c r="J107" s="2">
        <v>7</v>
      </c>
    </row>
    <row r="108" spans="1:10" ht="14.25" customHeight="1" x14ac:dyDescent="0.3">
      <c r="A108" s="2">
        <v>107</v>
      </c>
      <c r="B108" s="2" t="s">
        <v>383</v>
      </c>
      <c r="C108" s="2" t="s">
        <v>374</v>
      </c>
      <c r="D108" s="2" t="s">
        <v>243</v>
      </c>
      <c r="E108" s="10">
        <v>44735</v>
      </c>
      <c r="F108" s="2" t="s">
        <v>29</v>
      </c>
      <c r="G108" s="2" t="s">
        <v>128</v>
      </c>
      <c r="H108" s="2" t="s">
        <v>384</v>
      </c>
      <c r="I108" s="2" t="s">
        <v>25</v>
      </c>
      <c r="J108" s="2">
        <v>8</v>
      </c>
    </row>
    <row r="109" spans="1:10" ht="14.25" customHeight="1" x14ac:dyDescent="0.3">
      <c r="A109" s="2">
        <v>108</v>
      </c>
      <c r="B109" s="2" t="s">
        <v>385</v>
      </c>
      <c r="C109" s="2" t="s">
        <v>376</v>
      </c>
      <c r="D109" s="2" t="s">
        <v>246</v>
      </c>
      <c r="E109" s="10">
        <v>44737</v>
      </c>
      <c r="F109" s="2" t="s">
        <v>30</v>
      </c>
      <c r="G109" s="2" t="s">
        <v>128</v>
      </c>
      <c r="H109" s="2" t="s">
        <v>386</v>
      </c>
      <c r="I109" s="2" t="s">
        <v>23</v>
      </c>
      <c r="J109" s="2">
        <v>10</v>
      </c>
    </row>
    <row r="110" spans="1:10" ht="14.25" customHeight="1" x14ac:dyDescent="0.3">
      <c r="A110" s="2">
        <v>109</v>
      </c>
      <c r="B110" s="2" t="s">
        <v>387</v>
      </c>
      <c r="C110" s="2" t="s">
        <v>378</v>
      </c>
      <c r="D110" s="2" t="s">
        <v>249</v>
      </c>
      <c r="E110" s="10">
        <v>44749</v>
      </c>
      <c r="F110" s="2" t="s">
        <v>31</v>
      </c>
      <c r="G110" s="2" t="s">
        <v>128</v>
      </c>
      <c r="H110" s="2" t="s">
        <v>388</v>
      </c>
      <c r="I110" s="2" t="s">
        <v>24</v>
      </c>
      <c r="J110" s="2">
        <v>10</v>
      </c>
    </row>
    <row r="111" spans="1:10" ht="14.25" customHeight="1" x14ac:dyDescent="0.3">
      <c r="A111" s="2">
        <v>110</v>
      </c>
      <c r="B111" s="2" t="s">
        <v>389</v>
      </c>
      <c r="C111" s="2" t="s">
        <v>380</v>
      </c>
      <c r="D111" s="2" t="s">
        <v>252</v>
      </c>
      <c r="E111" s="10">
        <v>44729</v>
      </c>
      <c r="F111" s="2" t="s">
        <v>31</v>
      </c>
      <c r="G111" s="2" t="s">
        <v>128</v>
      </c>
      <c r="H111" s="2" t="s">
        <v>390</v>
      </c>
      <c r="I111" s="2" t="s">
        <v>25</v>
      </c>
      <c r="J111" s="2">
        <v>10</v>
      </c>
    </row>
    <row r="112" spans="1:10" ht="14.25" customHeight="1" x14ac:dyDescent="0.3">
      <c r="A112" s="2">
        <v>111</v>
      </c>
      <c r="B112" s="2" t="s">
        <v>391</v>
      </c>
      <c r="C112" s="2" t="s">
        <v>383</v>
      </c>
      <c r="D112" s="2" t="s">
        <v>255</v>
      </c>
      <c r="E112" s="10">
        <v>44738</v>
      </c>
      <c r="F112" s="2" t="s">
        <v>30</v>
      </c>
      <c r="G112" s="2" t="s">
        <v>128</v>
      </c>
      <c r="H112" s="2" t="s">
        <v>392</v>
      </c>
      <c r="I112" s="2" t="s">
        <v>23</v>
      </c>
      <c r="J112" s="2">
        <v>10</v>
      </c>
    </row>
    <row r="113" spans="1:10" ht="14.25" customHeight="1" x14ac:dyDescent="0.3">
      <c r="A113" s="2">
        <v>112</v>
      </c>
      <c r="B113" s="2" t="s">
        <v>393</v>
      </c>
      <c r="C113" s="2" t="s">
        <v>385</v>
      </c>
      <c r="D113" s="2" t="s">
        <v>258</v>
      </c>
      <c r="E113" s="10">
        <v>44740</v>
      </c>
      <c r="F113" s="2" t="s">
        <v>31</v>
      </c>
      <c r="G113" s="2" t="s">
        <v>128</v>
      </c>
      <c r="H113" s="2" t="s">
        <v>394</v>
      </c>
      <c r="I113" s="2" t="s">
        <v>24</v>
      </c>
      <c r="J113" s="2">
        <v>8</v>
      </c>
    </row>
    <row r="114" spans="1:10" ht="14.25" customHeight="1" x14ac:dyDescent="0.3">
      <c r="A114" s="2">
        <v>113</v>
      </c>
      <c r="B114" s="2" t="s">
        <v>395</v>
      </c>
      <c r="C114" s="2" t="s">
        <v>387</v>
      </c>
      <c r="D114" s="2" t="s">
        <v>188</v>
      </c>
      <c r="E114" s="10">
        <v>44755</v>
      </c>
      <c r="F114" s="2" t="s">
        <v>30</v>
      </c>
      <c r="G114" s="2" t="s">
        <v>128</v>
      </c>
      <c r="H114" s="2" t="s">
        <v>396</v>
      </c>
      <c r="I114" s="2" t="s">
        <v>25</v>
      </c>
      <c r="J114" s="2">
        <v>7</v>
      </c>
    </row>
    <row r="115" spans="1:10" ht="14.25" customHeight="1" x14ac:dyDescent="0.3">
      <c r="A115" s="2">
        <v>114</v>
      </c>
      <c r="B115" s="2" t="s">
        <v>397</v>
      </c>
      <c r="C115" s="2" t="s">
        <v>389</v>
      </c>
      <c r="D115" s="2" t="s">
        <v>191</v>
      </c>
      <c r="E115" s="10">
        <v>44755</v>
      </c>
      <c r="F115" s="2" t="s">
        <v>31</v>
      </c>
      <c r="G115" s="2" t="s">
        <v>128</v>
      </c>
      <c r="H115" s="2" t="s">
        <v>398</v>
      </c>
      <c r="I115" s="2" t="s">
        <v>23</v>
      </c>
      <c r="J115" s="2">
        <v>7</v>
      </c>
    </row>
    <row r="116" spans="1:10" ht="14.25" customHeight="1" x14ac:dyDescent="0.3">
      <c r="A116" s="2">
        <v>115</v>
      </c>
      <c r="B116" s="2" t="s">
        <v>399</v>
      </c>
      <c r="C116" s="2" t="s">
        <v>391</v>
      </c>
      <c r="D116" s="2" t="s">
        <v>194</v>
      </c>
      <c r="E116" s="10">
        <v>44764</v>
      </c>
      <c r="F116" s="2" t="s">
        <v>31</v>
      </c>
      <c r="G116" s="2" t="s">
        <v>128</v>
      </c>
      <c r="H116" s="2" t="s">
        <v>400</v>
      </c>
      <c r="I116" s="2" t="s">
        <v>24</v>
      </c>
      <c r="J116" s="2">
        <v>9</v>
      </c>
    </row>
    <row r="117" spans="1:10" ht="14.25" customHeight="1" x14ac:dyDescent="0.3">
      <c r="A117" s="2">
        <v>116</v>
      </c>
      <c r="B117" s="2" t="s">
        <v>401</v>
      </c>
      <c r="C117" s="2" t="s">
        <v>393</v>
      </c>
      <c r="D117" s="2" t="s">
        <v>158</v>
      </c>
      <c r="E117" s="10">
        <v>44735</v>
      </c>
      <c r="F117" s="2" t="s">
        <v>30</v>
      </c>
      <c r="G117" s="2" t="s">
        <v>128</v>
      </c>
      <c r="H117" s="2" t="s">
        <v>402</v>
      </c>
      <c r="I117" s="2" t="s">
        <v>25</v>
      </c>
      <c r="J117" s="2">
        <v>8</v>
      </c>
    </row>
    <row r="118" spans="1:10" ht="14.25" customHeight="1" x14ac:dyDescent="0.3">
      <c r="A118" s="2">
        <v>117</v>
      </c>
      <c r="B118" s="2" t="s">
        <v>403</v>
      </c>
      <c r="C118" s="2" t="s">
        <v>395</v>
      </c>
      <c r="D118" s="2" t="s">
        <v>200</v>
      </c>
      <c r="E118" s="10">
        <v>44734</v>
      </c>
      <c r="F118" s="2" t="s">
        <v>31</v>
      </c>
      <c r="G118" s="2" t="s">
        <v>135</v>
      </c>
      <c r="H118" s="2" t="s">
        <v>404</v>
      </c>
      <c r="I118" s="2" t="s">
        <v>23</v>
      </c>
      <c r="J118" s="2">
        <v>8</v>
      </c>
    </row>
    <row r="119" spans="1:10" ht="14.25" customHeight="1" x14ac:dyDescent="0.3">
      <c r="A119" s="2">
        <v>118</v>
      </c>
      <c r="B119" s="2" t="s">
        <v>405</v>
      </c>
      <c r="C119" s="2" t="s">
        <v>397</v>
      </c>
      <c r="D119" s="2" t="s">
        <v>203</v>
      </c>
      <c r="E119" s="10">
        <v>44728</v>
      </c>
      <c r="F119" s="2" t="s">
        <v>31</v>
      </c>
      <c r="G119" s="2" t="s">
        <v>128</v>
      </c>
      <c r="H119" s="2" t="s">
        <v>406</v>
      </c>
      <c r="I119" s="2" t="s">
        <v>24</v>
      </c>
      <c r="J119" s="2">
        <v>7</v>
      </c>
    </row>
    <row r="120" spans="1:10" ht="14.25" customHeight="1" x14ac:dyDescent="0.3">
      <c r="A120" s="2">
        <v>119</v>
      </c>
      <c r="B120" s="2" t="s">
        <v>407</v>
      </c>
      <c r="C120" s="2" t="s">
        <v>399</v>
      </c>
      <c r="D120" s="2" t="s">
        <v>207</v>
      </c>
      <c r="E120" s="10">
        <v>44739</v>
      </c>
      <c r="F120" s="2" t="s">
        <v>30</v>
      </c>
      <c r="G120" s="2" t="s">
        <v>128</v>
      </c>
      <c r="H120" s="2" t="s">
        <v>408</v>
      </c>
      <c r="I120" s="2" t="s">
        <v>25</v>
      </c>
      <c r="J120" s="2">
        <v>8</v>
      </c>
    </row>
    <row r="121" spans="1:10" ht="14.25" customHeight="1" x14ac:dyDescent="0.3">
      <c r="A121" s="2">
        <v>120</v>
      </c>
      <c r="B121" s="2" t="s">
        <v>409</v>
      </c>
      <c r="C121" s="2" t="s">
        <v>401</v>
      </c>
      <c r="D121" s="2" t="s">
        <v>210</v>
      </c>
      <c r="E121" s="10">
        <v>44765</v>
      </c>
      <c r="F121" s="2" t="s">
        <v>31</v>
      </c>
      <c r="G121" s="2" t="s">
        <v>128</v>
      </c>
      <c r="H121" s="2" t="s">
        <v>410</v>
      </c>
      <c r="I121" s="2" t="s">
        <v>23</v>
      </c>
      <c r="J121" s="2">
        <v>8</v>
      </c>
    </row>
    <row r="122" spans="1:10" ht="14.25" customHeight="1" x14ac:dyDescent="0.3">
      <c r="A122" s="2">
        <v>121</v>
      </c>
      <c r="B122" s="2" t="s">
        <v>411</v>
      </c>
      <c r="C122" s="2" t="s">
        <v>403</v>
      </c>
      <c r="D122" s="2" t="s">
        <v>213</v>
      </c>
      <c r="E122" s="10">
        <v>44740</v>
      </c>
      <c r="F122" s="2" t="s">
        <v>30</v>
      </c>
      <c r="G122" s="2" t="s">
        <v>128</v>
      </c>
      <c r="H122" s="2" t="s">
        <v>412</v>
      </c>
      <c r="I122" s="2" t="s">
        <v>24</v>
      </c>
      <c r="J122" s="2">
        <v>9</v>
      </c>
    </row>
    <row r="123" spans="1:10" ht="14.25" customHeight="1" x14ac:dyDescent="0.3">
      <c r="A123" s="2">
        <v>122</v>
      </c>
      <c r="B123" s="2" t="s">
        <v>413</v>
      </c>
      <c r="C123" s="2" t="s">
        <v>405</v>
      </c>
      <c r="D123" s="2" t="s">
        <v>216</v>
      </c>
      <c r="E123" s="10">
        <v>44734</v>
      </c>
      <c r="F123" s="2" t="s">
        <v>31</v>
      </c>
      <c r="G123" s="2" t="s">
        <v>128</v>
      </c>
      <c r="H123" s="2" t="s">
        <v>414</v>
      </c>
      <c r="I123" s="2" t="s">
        <v>25</v>
      </c>
      <c r="J123" s="2">
        <v>9</v>
      </c>
    </row>
    <row r="124" spans="1:10" ht="14.25" customHeight="1" x14ac:dyDescent="0.3">
      <c r="A124" s="2">
        <v>123</v>
      </c>
      <c r="B124" s="2" t="s">
        <v>415</v>
      </c>
      <c r="C124" s="2" t="s">
        <v>407</v>
      </c>
      <c r="D124" s="2" t="s">
        <v>127</v>
      </c>
      <c r="E124" s="10">
        <v>44727</v>
      </c>
      <c r="F124" s="2" t="s">
        <v>30</v>
      </c>
      <c r="G124" s="2" t="s">
        <v>135</v>
      </c>
      <c r="H124" s="2" t="s">
        <v>416</v>
      </c>
      <c r="I124" s="2" t="s">
        <v>23</v>
      </c>
      <c r="J124" s="2">
        <v>8</v>
      </c>
    </row>
    <row r="125" spans="1:10" ht="14.25" customHeight="1" x14ac:dyDescent="0.3">
      <c r="A125" s="2">
        <v>124</v>
      </c>
      <c r="B125" s="2" t="s">
        <v>417</v>
      </c>
      <c r="C125" s="2" t="s">
        <v>409</v>
      </c>
      <c r="D125" s="2" t="s">
        <v>131</v>
      </c>
      <c r="E125" s="10">
        <v>44737</v>
      </c>
      <c r="F125" s="2" t="s">
        <v>31</v>
      </c>
      <c r="G125" s="2" t="s">
        <v>128</v>
      </c>
      <c r="H125" s="2" t="s">
        <v>418</v>
      </c>
      <c r="I125" s="2" t="s">
        <v>24</v>
      </c>
      <c r="J125" s="2">
        <v>8</v>
      </c>
    </row>
    <row r="126" spans="1:10" ht="14.25" customHeight="1" x14ac:dyDescent="0.3">
      <c r="A126" s="2">
        <v>125</v>
      </c>
      <c r="B126" s="2" t="s">
        <v>419</v>
      </c>
      <c r="C126" s="2" t="s">
        <v>411</v>
      </c>
      <c r="D126" s="2" t="s">
        <v>134</v>
      </c>
      <c r="E126" s="10">
        <v>44747</v>
      </c>
      <c r="F126" s="2" t="s">
        <v>29</v>
      </c>
      <c r="G126" s="2" t="s">
        <v>128</v>
      </c>
      <c r="H126" s="2" t="s">
        <v>420</v>
      </c>
      <c r="I126" s="2" t="s">
        <v>25</v>
      </c>
      <c r="J126" s="2">
        <v>7</v>
      </c>
    </row>
    <row r="127" spans="1:10" ht="14.25" customHeight="1" x14ac:dyDescent="0.3">
      <c r="A127" s="2">
        <v>126</v>
      </c>
      <c r="B127" s="2" t="s">
        <v>421</v>
      </c>
      <c r="C127" s="2" t="s">
        <v>413</v>
      </c>
      <c r="D127" s="2" t="s">
        <v>138</v>
      </c>
      <c r="E127" s="10">
        <v>44754</v>
      </c>
      <c r="F127" s="2" t="s">
        <v>30</v>
      </c>
      <c r="G127" s="2" t="s">
        <v>128</v>
      </c>
      <c r="H127" s="2" t="s">
        <v>422</v>
      </c>
      <c r="I127" s="2" t="s">
        <v>23</v>
      </c>
      <c r="J127" s="2">
        <v>8</v>
      </c>
    </row>
    <row r="128" spans="1:10" ht="14.25" customHeight="1" x14ac:dyDescent="0.3">
      <c r="A128" s="2">
        <v>127</v>
      </c>
      <c r="B128" s="2" t="s">
        <v>423</v>
      </c>
      <c r="C128" s="2" t="s">
        <v>415</v>
      </c>
      <c r="D128" s="2" t="s">
        <v>141</v>
      </c>
      <c r="E128" s="10">
        <v>44760</v>
      </c>
      <c r="F128" s="2" t="s">
        <v>31</v>
      </c>
      <c r="G128" s="2" t="s">
        <v>128</v>
      </c>
      <c r="H128" s="2" t="s">
        <v>424</v>
      </c>
      <c r="I128" s="2" t="s">
        <v>24</v>
      </c>
      <c r="J128" s="2">
        <v>9</v>
      </c>
    </row>
    <row r="129" spans="1:10" ht="14.25" customHeight="1" x14ac:dyDescent="0.3">
      <c r="A129" s="2">
        <v>128</v>
      </c>
      <c r="B129" s="2" t="s">
        <v>425</v>
      </c>
      <c r="C129" s="2" t="s">
        <v>417</v>
      </c>
      <c r="D129" s="2" t="s">
        <v>144</v>
      </c>
      <c r="E129" s="10">
        <v>44759</v>
      </c>
      <c r="F129" s="2" t="s">
        <v>31</v>
      </c>
      <c r="G129" s="2" t="s">
        <v>128</v>
      </c>
      <c r="H129" s="2" t="s">
        <v>426</v>
      </c>
      <c r="I129" s="2" t="s">
        <v>25</v>
      </c>
      <c r="J129" s="2">
        <v>7</v>
      </c>
    </row>
    <row r="130" spans="1:10" ht="14.25" customHeight="1" x14ac:dyDescent="0.3">
      <c r="A130" s="2">
        <v>129</v>
      </c>
      <c r="B130" s="2" t="s">
        <v>427</v>
      </c>
      <c r="C130" s="2" t="s">
        <v>419</v>
      </c>
      <c r="D130" s="2" t="s">
        <v>147</v>
      </c>
      <c r="E130" s="10">
        <v>44735</v>
      </c>
      <c r="F130" s="2" t="s">
        <v>30</v>
      </c>
      <c r="G130" s="2" t="s">
        <v>128</v>
      </c>
      <c r="H130" s="2" t="s">
        <v>428</v>
      </c>
      <c r="I130" s="2" t="s">
        <v>23</v>
      </c>
      <c r="J130" s="2">
        <v>8</v>
      </c>
    </row>
    <row r="131" spans="1:10" ht="14.25" customHeight="1" x14ac:dyDescent="0.3">
      <c r="A131" s="2">
        <v>130</v>
      </c>
      <c r="B131" s="2" t="s">
        <v>429</v>
      </c>
      <c r="C131" s="2" t="s">
        <v>421</v>
      </c>
      <c r="D131" s="2" t="s">
        <v>147</v>
      </c>
      <c r="E131" s="10">
        <v>44734</v>
      </c>
      <c r="F131" s="2" t="s">
        <v>31</v>
      </c>
      <c r="G131" s="2" t="s">
        <v>128</v>
      </c>
      <c r="H131" s="2" t="s">
        <v>430</v>
      </c>
      <c r="I131" s="2" t="s">
        <v>24</v>
      </c>
      <c r="J131" s="2">
        <v>9</v>
      </c>
    </row>
    <row r="132" spans="1:10" ht="14.25" customHeight="1" x14ac:dyDescent="0.3">
      <c r="A132" s="2">
        <v>131</v>
      </c>
      <c r="B132" s="2" t="s">
        <v>431</v>
      </c>
      <c r="C132" s="2" t="s">
        <v>423</v>
      </c>
      <c r="D132" s="2" t="s">
        <v>153</v>
      </c>
      <c r="E132" s="10">
        <v>44753</v>
      </c>
      <c r="F132" s="2" t="s">
        <v>30</v>
      </c>
      <c r="G132" s="2" t="s">
        <v>128</v>
      </c>
      <c r="H132" s="2" t="s">
        <v>432</v>
      </c>
      <c r="I132" s="2" t="s">
        <v>25</v>
      </c>
      <c r="J132" s="2">
        <v>8</v>
      </c>
    </row>
    <row r="133" spans="1:10" ht="14.25" customHeight="1" x14ac:dyDescent="0.3">
      <c r="A133" s="2">
        <v>132</v>
      </c>
      <c r="B133" s="2" t="s">
        <v>433</v>
      </c>
      <c r="C133" s="2" t="s">
        <v>425</v>
      </c>
      <c r="D133" s="2" t="s">
        <v>144</v>
      </c>
      <c r="E133" s="10">
        <v>44739</v>
      </c>
      <c r="F133" s="2" t="s">
        <v>31</v>
      </c>
      <c r="G133" s="2" t="s">
        <v>128</v>
      </c>
      <c r="H133" s="2" t="s">
        <v>434</v>
      </c>
      <c r="I133" s="2" t="s">
        <v>23</v>
      </c>
      <c r="J133" s="2">
        <v>7</v>
      </c>
    </row>
    <row r="134" spans="1:10" ht="14.25" customHeight="1" x14ac:dyDescent="0.3">
      <c r="A134" s="2">
        <v>133</v>
      </c>
      <c r="B134" s="2" t="s">
        <v>435</v>
      </c>
      <c r="C134" s="2" t="s">
        <v>427</v>
      </c>
      <c r="D134" s="2" t="s">
        <v>158</v>
      </c>
      <c r="E134" s="10">
        <v>44740</v>
      </c>
      <c r="F134" s="2" t="s">
        <v>31</v>
      </c>
      <c r="G134" s="2" t="s">
        <v>128</v>
      </c>
      <c r="H134" s="2" t="s">
        <v>436</v>
      </c>
      <c r="I134" s="2" t="s">
        <v>24</v>
      </c>
      <c r="J134" s="2">
        <v>10</v>
      </c>
    </row>
    <row r="135" spans="1:10" ht="14.25" customHeight="1" x14ac:dyDescent="0.3">
      <c r="A135" s="2">
        <v>134</v>
      </c>
      <c r="B135" s="2" t="s">
        <v>437</v>
      </c>
      <c r="C135" s="2" t="s">
        <v>429</v>
      </c>
      <c r="D135" s="2" t="s">
        <v>161</v>
      </c>
      <c r="E135" s="10">
        <v>44748</v>
      </c>
      <c r="F135" s="2" t="s">
        <v>30</v>
      </c>
      <c r="G135" s="2" t="s">
        <v>128</v>
      </c>
      <c r="H135" s="2" t="s">
        <v>438</v>
      </c>
      <c r="I135" s="2" t="s">
        <v>25</v>
      </c>
      <c r="J135" s="2">
        <v>7</v>
      </c>
    </row>
    <row r="136" spans="1:10" ht="14.25" customHeight="1" x14ac:dyDescent="0.3">
      <c r="A136" s="2">
        <v>135</v>
      </c>
      <c r="B136" s="2" t="s">
        <v>439</v>
      </c>
      <c r="C136" s="2" t="s">
        <v>431</v>
      </c>
      <c r="D136" s="2" t="s">
        <v>164</v>
      </c>
      <c r="E136" s="10">
        <v>44731</v>
      </c>
      <c r="F136" s="2" t="s">
        <v>31</v>
      </c>
      <c r="G136" s="2" t="s">
        <v>128</v>
      </c>
      <c r="H136" s="2" t="s">
        <v>440</v>
      </c>
      <c r="I136" s="2" t="s">
        <v>23</v>
      </c>
      <c r="J136" s="2">
        <v>8</v>
      </c>
    </row>
    <row r="137" spans="1:10" ht="14.25" customHeight="1" x14ac:dyDescent="0.3">
      <c r="A137" s="2">
        <v>136</v>
      </c>
      <c r="B137" s="2" t="s">
        <v>441</v>
      </c>
      <c r="C137" s="2" t="s">
        <v>433</v>
      </c>
      <c r="D137" s="2" t="s">
        <v>167</v>
      </c>
      <c r="E137" s="10">
        <v>44763</v>
      </c>
      <c r="F137" s="2" t="s">
        <v>31</v>
      </c>
      <c r="G137" s="2" t="s">
        <v>128</v>
      </c>
      <c r="H137" s="2" t="s">
        <v>442</v>
      </c>
      <c r="I137" s="2" t="s">
        <v>24</v>
      </c>
      <c r="J137" s="2">
        <v>7</v>
      </c>
    </row>
    <row r="138" spans="1:10" ht="14.25" customHeight="1" x14ac:dyDescent="0.3">
      <c r="A138" s="2">
        <v>137</v>
      </c>
      <c r="B138" s="2" t="s">
        <v>443</v>
      </c>
      <c r="C138" s="2" t="s">
        <v>435</v>
      </c>
      <c r="D138" s="2" t="s">
        <v>144</v>
      </c>
      <c r="E138" s="10">
        <v>44733</v>
      </c>
      <c r="F138" s="2" t="s">
        <v>30</v>
      </c>
      <c r="G138" s="2" t="s">
        <v>128</v>
      </c>
      <c r="H138" s="2" t="s">
        <v>444</v>
      </c>
      <c r="I138" s="2" t="s">
        <v>25</v>
      </c>
      <c r="J138" s="2">
        <v>9</v>
      </c>
    </row>
    <row r="139" spans="1:10" ht="14.25" customHeight="1" x14ac:dyDescent="0.3">
      <c r="A139" s="2">
        <v>138</v>
      </c>
      <c r="B139" s="2" t="s">
        <v>445</v>
      </c>
      <c r="C139" s="2" t="s">
        <v>437</v>
      </c>
      <c r="D139" s="2" t="s">
        <v>172</v>
      </c>
      <c r="E139" s="10">
        <v>44746</v>
      </c>
      <c r="F139" s="2" t="s">
        <v>31</v>
      </c>
      <c r="G139" s="2" t="s">
        <v>128</v>
      </c>
      <c r="H139" s="2" t="s">
        <v>446</v>
      </c>
      <c r="I139" s="2" t="s">
        <v>23</v>
      </c>
      <c r="J139" s="2">
        <v>8</v>
      </c>
    </row>
    <row r="140" spans="1:10" ht="14.25" customHeight="1" x14ac:dyDescent="0.3">
      <c r="A140" s="2">
        <v>139</v>
      </c>
      <c r="B140" s="2" t="s">
        <v>447</v>
      </c>
      <c r="C140" s="2" t="s">
        <v>439</v>
      </c>
      <c r="D140" s="2" t="s">
        <v>161</v>
      </c>
      <c r="E140" s="10">
        <v>44755</v>
      </c>
      <c r="F140" s="2" t="s">
        <v>30</v>
      </c>
      <c r="G140" s="2" t="s">
        <v>128</v>
      </c>
      <c r="H140" s="2" t="s">
        <v>448</v>
      </c>
      <c r="I140" s="2" t="s">
        <v>24</v>
      </c>
      <c r="J140" s="2">
        <v>9</v>
      </c>
    </row>
    <row r="141" spans="1:10" ht="14.25" customHeight="1" x14ac:dyDescent="0.3">
      <c r="A141" s="2">
        <v>140</v>
      </c>
      <c r="B141" s="2" t="s">
        <v>449</v>
      </c>
      <c r="C141" s="2" t="s">
        <v>441</v>
      </c>
      <c r="D141" s="2" t="s">
        <v>141</v>
      </c>
      <c r="E141" s="10">
        <v>44755</v>
      </c>
      <c r="F141" s="2" t="s">
        <v>31</v>
      </c>
      <c r="G141" s="2" t="s">
        <v>128</v>
      </c>
      <c r="H141" s="2" t="s">
        <v>450</v>
      </c>
      <c r="I141" s="2" t="s">
        <v>25</v>
      </c>
      <c r="J141" s="2">
        <v>9</v>
      </c>
    </row>
    <row r="142" spans="1:10" ht="14.25" customHeight="1" x14ac:dyDescent="0.3">
      <c r="A142" s="2">
        <v>141</v>
      </c>
      <c r="B142" s="2" t="s">
        <v>451</v>
      </c>
      <c r="C142" s="2" t="s">
        <v>443</v>
      </c>
      <c r="D142" s="2" t="s">
        <v>179</v>
      </c>
      <c r="E142" s="10">
        <v>44727</v>
      </c>
      <c r="F142" s="2" t="s">
        <v>30</v>
      </c>
      <c r="G142" s="2" t="s">
        <v>128</v>
      </c>
      <c r="H142" s="2" t="s">
        <v>452</v>
      </c>
      <c r="I142" s="2" t="s">
        <v>23</v>
      </c>
      <c r="J142" s="2">
        <v>9</v>
      </c>
    </row>
    <row r="143" spans="1:10" ht="14.25" customHeight="1" x14ac:dyDescent="0.3">
      <c r="A143" s="2">
        <v>142</v>
      </c>
      <c r="B143" s="2" t="s">
        <v>453</v>
      </c>
      <c r="C143" s="2" t="s">
        <v>445</v>
      </c>
      <c r="D143" s="2" t="s">
        <v>182</v>
      </c>
      <c r="E143" s="10">
        <v>44746</v>
      </c>
      <c r="F143" s="2" t="s">
        <v>31</v>
      </c>
      <c r="G143" s="2" t="s">
        <v>128</v>
      </c>
      <c r="H143" s="2" t="s">
        <v>454</v>
      </c>
      <c r="I143" s="2" t="s">
        <v>24</v>
      </c>
      <c r="J143" s="2">
        <v>9</v>
      </c>
    </row>
    <row r="144" spans="1:10" ht="14.25" customHeight="1" x14ac:dyDescent="0.3">
      <c r="A144" s="2">
        <v>143</v>
      </c>
      <c r="B144" s="2" t="s">
        <v>455</v>
      </c>
      <c r="C144" s="2" t="s">
        <v>447</v>
      </c>
      <c r="D144" s="2" t="s">
        <v>185</v>
      </c>
      <c r="E144" s="10">
        <v>44740</v>
      </c>
      <c r="F144" s="2" t="s">
        <v>29</v>
      </c>
      <c r="G144" s="2" t="s">
        <v>128</v>
      </c>
      <c r="H144" s="2" t="s">
        <v>456</v>
      </c>
      <c r="I144" s="2" t="s">
        <v>25</v>
      </c>
      <c r="J144" s="2">
        <v>9</v>
      </c>
    </row>
    <row r="145" spans="1:10" ht="14.25" customHeight="1" x14ac:dyDescent="0.3">
      <c r="A145" s="2">
        <v>144</v>
      </c>
      <c r="B145" s="2" t="s">
        <v>457</v>
      </c>
      <c r="C145" s="2" t="s">
        <v>449</v>
      </c>
      <c r="D145" s="2" t="s">
        <v>158</v>
      </c>
      <c r="E145" s="10">
        <v>44743</v>
      </c>
      <c r="F145" s="2" t="s">
        <v>30</v>
      </c>
      <c r="G145" s="2" t="s">
        <v>128</v>
      </c>
      <c r="H145" s="2" t="s">
        <v>458</v>
      </c>
      <c r="I145" s="2" t="s">
        <v>23</v>
      </c>
      <c r="J145" s="2">
        <v>8</v>
      </c>
    </row>
    <row r="146" spans="1:10" ht="14.25" customHeight="1" x14ac:dyDescent="0.3">
      <c r="A146" s="2">
        <v>145</v>
      </c>
      <c r="B146" s="2" t="s">
        <v>459</v>
      </c>
      <c r="C146" s="2" t="s">
        <v>451</v>
      </c>
      <c r="D146" s="2" t="s">
        <v>191</v>
      </c>
      <c r="E146" s="10">
        <v>44737</v>
      </c>
      <c r="F146" s="2" t="s">
        <v>31</v>
      </c>
      <c r="G146" s="2" t="s">
        <v>135</v>
      </c>
      <c r="H146" s="2" t="s">
        <v>460</v>
      </c>
      <c r="I146" s="2" t="s">
        <v>24</v>
      </c>
      <c r="J146" s="2">
        <v>8</v>
      </c>
    </row>
    <row r="147" spans="1:10" ht="14.25" customHeight="1" x14ac:dyDescent="0.3">
      <c r="A147" s="2">
        <v>146</v>
      </c>
      <c r="B147" s="2" t="s">
        <v>461</v>
      </c>
      <c r="C147" s="2" t="s">
        <v>453</v>
      </c>
      <c r="D147" s="2" t="s">
        <v>194</v>
      </c>
      <c r="E147" s="10">
        <v>44757</v>
      </c>
      <c r="F147" s="2" t="s">
        <v>31</v>
      </c>
      <c r="G147" s="2" t="s">
        <v>128</v>
      </c>
      <c r="H147" s="2" t="s">
        <v>462</v>
      </c>
      <c r="I147" s="2" t="s">
        <v>25</v>
      </c>
      <c r="J147" s="2">
        <v>7</v>
      </c>
    </row>
    <row r="148" spans="1:10" ht="14.25" customHeight="1" x14ac:dyDescent="0.3">
      <c r="A148" s="2">
        <v>147</v>
      </c>
      <c r="B148" s="2" t="s">
        <v>463</v>
      </c>
      <c r="C148" s="2" t="s">
        <v>455</v>
      </c>
      <c r="D148" s="2" t="s">
        <v>197</v>
      </c>
      <c r="E148" s="10">
        <v>44745</v>
      </c>
      <c r="F148" s="2" t="s">
        <v>30</v>
      </c>
      <c r="G148" s="2" t="s">
        <v>128</v>
      </c>
      <c r="H148" s="2" t="s">
        <v>464</v>
      </c>
      <c r="I148" s="2" t="s">
        <v>23</v>
      </c>
      <c r="J148" s="2">
        <v>7</v>
      </c>
    </row>
    <row r="149" spans="1:10" ht="14.25" customHeight="1" x14ac:dyDescent="0.3">
      <c r="A149" s="2">
        <v>148</v>
      </c>
      <c r="B149" s="2" t="s">
        <v>465</v>
      </c>
      <c r="C149" s="2" t="s">
        <v>457</v>
      </c>
      <c r="D149" s="2" t="s">
        <v>200</v>
      </c>
      <c r="E149" s="10">
        <v>44760</v>
      </c>
      <c r="F149" s="2" t="s">
        <v>31</v>
      </c>
      <c r="G149" s="2" t="s">
        <v>128</v>
      </c>
      <c r="H149" s="2" t="s">
        <v>466</v>
      </c>
      <c r="I149" s="2" t="s">
        <v>24</v>
      </c>
      <c r="J149" s="2">
        <v>9</v>
      </c>
    </row>
    <row r="150" spans="1:10" ht="14.25" customHeight="1" x14ac:dyDescent="0.3">
      <c r="A150" s="2">
        <v>149</v>
      </c>
      <c r="B150" s="2" t="s">
        <v>467</v>
      </c>
      <c r="C150" s="2" t="s">
        <v>459</v>
      </c>
      <c r="D150" s="2" t="s">
        <v>203</v>
      </c>
      <c r="E150" s="10">
        <v>44750</v>
      </c>
      <c r="F150" s="2" t="s">
        <v>30</v>
      </c>
      <c r="G150" s="2" t="s">
        <v>128</v>
      </c>
      <c r="H150" s="2" t="s">
        <v>468</v>
      </c>
      <c r="I150" s="2" t="s">
        <v>25</v>
      </c>
      <c r="J150" s="2">
        <v>8</v>
      </c>
    </row>
    <row r="151" spans="1:10" ht="14.25" customHeight="1" x14ac:dyDescent="0.3">
      <c r="A151" s="2">
        <v>150</v>
      </c>
      <c r="B151" s="2" t="s">
        <v>469</v>
      </c>
      <c r="C151" s="2" t="s">
        <v>461</v>
      </c>
      <c r="D151" s="2" t="s">
        <v>207</v>
      </c>
      <c r="E151" s="10">
        <v>44742</v>
      </c>
      <c r="F151" s="2" t="s">
        <v>31</v>
      </c>
      <c r="G151" s="2" t="s">
        <v>128</v>
      </c>
      <c r="H151" s="2" t="s">
        <v>470</v>
      </c>
      <c r="I151" s="2" t="s">
        <v>25</v>
      </c>
      <c r="J151" s="2">
        <v>8</v>
      </c>
    </row>
    <row r="152" spans="1:10" ht="14.25" customHeight="1" x14ac:dyDescent="0.3">
      <c r="A152" s="2">
        <v>151</v>
      </c>
      <c r="B152" s="2" t="s">
        <v>471</v>
      </c>
      <c r="C152" s="2" t="s">
        <v>463</v>
      </c>
      <c r="D152" s="2" t="s">
        <v>210</v>
      </c>
      <c r="E152" s="10">
        <v>44754</v>
      </c>
      <c r="F152" s="2" t="s">
        <v>31</v>
      </c>
      <c r="G152" s="2" t="s">
        <v>135</v>
      </c>
      <c r="H152" s="2" t="s">
        <v>472</v>
      </c>
      <c r="I152" s="2" t="s">
        <v>25</v>
      </c>
      <c r="J152" s="2">
        <v>10</v>
      </c>
    </row>
    <row r="153" spans="1:10" ht="14.25" customHeight="1" x14ac:dyDescent="0.3">
      <c r="A153" s="2">
        <v>152</v>
      </c>
      <c r="B153" s="2" t="s">
        <v>473</v>
      </c>
      <c r="C153" s="2" t="s">
        <v>465</v>
      </c>
      <c r="D153" s="2" t="s">
        <v>213</v>
      </c>
      <c r="E153" s="10">
        <v>44746</v>
      </c>
      <c r="F153" s="2" t="s">
        <v>30</v>
      </c>
      <c r="G153" s="2" t="s">
        <v>128</v>
      </c>
      <c r="H153" s="2" t="s">
        <v>474</v>
      </c>
      <c r="I153" s="2" t="s">
        <v>23</v>
      </c>
      <c r="J153" s="2">
        <v>8</v>
      </c>
    </row>
    <row r="154" spans="1:10" ht="14.25" customHeight="1" x14ac:dyDescent="0.3">
      <c r="A154" s="2">
        <v>153</v>
      </c>
      <c r="B154" s="2" t="s">
        <v>475</v>
      </c>
      <c r="C154" s="2" t="s">
        <v>467</v>
      </c>
      <c r="D154" s="2" t="s">
        <v>216</v>
      </c>
      <c r="E154" s="10">
        <v>44752</v>
      </c>
      <c r="F154" s="2" t="s">
        <v>31</v>
      </c>
      <c r="G154" s="2" t="s">
        <v>128</v>
      </c>
      <c r="H154" s="2" t="s">
        <v>476</v>
      </c>
      <c r="I154" s="2" t="s">
        <v>24</v>
      </c>
      <c r="J154" s="2">
        <v>8</v>
      </c>
    </row>
    <row r="155" spans="1:10" ht="14.25" customHeight="1" x14ac:dyDescent="0.3">
      <c r="A155" s="2">
        <v>154</v>
      </c>
      <c r="B155" s="2" t="s">
        <v>477</v>
      </c>
      <c r="C155" s="2" t="s">
        <v>469</v>
      </c>
      <c r="D155" s="2" t="s">
        <v>219</v>
      </c>
      <c r="E155" s="10">
        <v>44725</v>
      </c>
      <c r="F155" s="2" t="s">
        <v>31</v>
      </c>
      <c r="G155" s="2" t="s">
        <v>128</v>
      </c>
      <c r="H155" s="2" t="s">
        <v>478</v>
      </c>
      <c r="I155" s="2" t="s">
        <v>25</v>
      </c>
      <c r="J155" s="2">
        <v>8</v>
      </c>
    </row>
    <row r="156" spans="1:10" ht="14.25" customHeight="1" x14ac:dyDescent="0.3">
      <c r="A156" s="2">
        <v>155</v>
      </c>
      <c r="B156" s="2" t="s">
        <v>479</v>
      </c>
      <c r="C156" s="2" t="s">
        <v>471</v>
      </c>
      <c r="D156" s="2" t="s">
        <v>167</v>
      </c>
      <c r="E156" s="10">
        <v>44734</v>
      </c>
      <c r="F156" s="2" t="s">
        <v>30</v>
      </c>
      <c r="G156" s="2" t="s">
        <v>128</v>
      </c>
      <c r="H156" s="2" t="s">
        <v>480</v>
      </c>
      <c r="I156" s="2" t="s">
        <v>23</v>
      </c>
      <c r="J156" s="2">
        <v>8</v>
      </c>
    </row>
    <row r="157" spans="1:10" ht="14.25" customHeight="1" x14ac:dyDescent="0.3">
      <c r="A157" s="2">
        <v>156</v>
      </c>
      <c r="B157" s="2" t="s">
        <v>481</v>
      </c>
      <c r="C157" s="2" t="s">
        <v>473</v>
      </c>
      <c r="D157" s="2" t="s">
        <v>191</v>
      </c>
      <c r="E157" s="10">
        <v>44761</v>
      </c>
      <c r="F157" s="2" t="s">
        <v>31</v>
      </c>
      <c r="G157" s="2" t="s">
        <v>128</v>
      </c>
      <c r="H157" s="2" t="s">
        <v>482</v>
      </c>
      <c r="I157" s="2" t="s">
        <v>24</v>
      </c>
      <c r="J157" s="2">
        <v>7</v>
      </c>
    </row>
    <row r="158" spans="1:10" ht="14.25" customHeight="1" x14ac:dyDescent="0.3">
      <c r="A158" s="2">
        <v>157</v>
      </c>
      <c r="B158" s="2" t="s">
        <v>483</v>
      </c>
      <c r="C158" s="2" t="s">
        <v>475</v>
      </c>
      <c r="D158" s="2" t="s">
        <v>207</v>
      </c>
      <c r="E158" s="10">
        <v>44735</v>
      </c>
      <c r="F158" s="2" t="s">
        <v>30</v>
      </c>
      <c r="G158" s="2" t="s">
        <v>128</v>
      </c>
      <c r="H158" s="2" t="s">
        <v>484</v>
      </c>
      <c r="I158" s="2" t="s">
        <v>25</v>
      </c>
      <c r="J158" s="2">
        <v>7</v>
      </c>
    </row>
    <row r="159" spans="1:10" ht="14.25" customHeight="1" x14ac:dyDescent="0.3">
      <c r="A159" s="2">
        <v>158</v>
      </c>
      <c r="B159" s="2" t="s">
        <v>485</v>
      </c>
      <c r="C159" s="2" t="s">
        <v>477</v>
      </c>
      <c r="D159" s="2" t="s">
        <v>141</v>
      </c>
      <c r="E159" s="10">
        <v>44753</v>
      </c>
      <c r="F159" s="2" t="s">
        <v>31</v>
      </c>
      <c r="G159" s="2" t="s">
        <v>128</v>
      </c>
      <c r="H159" s="2" t="s">
        <v>486</v>
      </c>
      <c r="I159" s="2" t="s">
        <v>23</v>
      </c>
      <c r="J159" s="2">
        <v>9</v>
      </c>
    </row>
    <row r="160" spans="1:10" ht="14.25" customHeight="1" x14ac:dyDescent="0.3">
      <c r="A160" s="2">
        <v>159</v>
      </c>
      <c r="B160" s="2" t="s">
        <v>487</v>
      </c>
      <c r="C160" s="2" t="s">
        <v>479</v>
      </c>
      <c r="D160" s="2" t="s">
        <v>172</v>
      </c>
      <c r="E160" s="10">
        <v>44732</v>
      </c>
      <c r="F160" s="2" t="s">
        <v>30</v>
      </c>
      <c r="G160" s="2" t="s">
        <v>128</v>
      </c>
      <c r="H160" s="2" t="s">
        <v>488</v>
      </c>
      <c r="I160" s="2" t="s">
        <v>24</v>
      </c>
      <c r="J160" s="2">
        <v>7</v>
      </c>
    </row>
    <row r="161" spans="1:10" ht="14.25" customHeight="1" x14ac:dyDescent="0.3">
      <c r="A161" s="2">
        <v>160</v>
      </c>
      <c r="B161" s="2" t="s">
        <v>489</v>
      </c>
      <c r="C161" s="2" t="s">
        <v>481</v>
      </c>
      <c r="D161" s="2" t="s">
        <v>213</v>
      </c>
      <c r="E161" s="10">
        <v>44748</v>
      </c>
      <c r="F161" s="2" t="s">
        <v>31</v>
      </c>
      <c r="G161" s="2" t="s">
        <v>128</v>
      </c>
      <c r="H161" s="2" t="s">
        <v>490</v>
      </c>
      <c r="I161" s="2" t="s">
        <v>25</v>
      </c>
      <c r="J161" s="2">
        <v>9</v>
      </c>
    </row>
    <row r="162" spans="1:10" ht="14.25" customHeight="1" x14ac:dyDescent="0.3">
      <c r="A162" s="2">
        <v>161</v>
      </c>
      <c r="B162" s="2" t="s">
        <v>491</v>
      </c>
      <c r="C162" s="2" t="s">
        <v>483</v>
      </c>
      <c r="D162" s="2" t="s">
        <v>216</v>
      </c>
      <c r="E162" s="10">
        <v>44731</v>
      </c>
      <c r="F162" s="2" t="s">
        <v>29</v>
      </c>
      <c r="G162" s="2" t="s">
        <v>128</v>
      </c>
      <c r="H162" s="2" t="s">
        <v>492</v>
      </c>
      <c r="I162" s="2" t="s">
        <v>23</v>
      </c>
      <c r="J162" s="2">
        <v>10</v>
      </c>
    </row>
    <row r="163" spans="1:10" ht="14.25" customHeight="1" x14ac:dyDescent="0.3">
      <c r="A163" s="2">
        <v>162</v>
      </c>
      <c r="B163" s="2" t="s">
        <v>493</v>
      </c>
      <c r="C163" s="2" t="s">
        <v>485</v>
      </c>
      <c r="D163" s="2" t="s">
        <v>238</v>
      </c>
      <c r="E163" s="10">
        <v>44725</v>
      </c>
      <c r="F163" s="2" t="s">
        <v>30</v>
      </c>
      <c r="G163" s="2" t="s">
        <v>128</v>
      </c>
      <c r="H163" s="2" t="s">
        <v>494</v>
      </c>
      <c r="I163" s="2" t="s">
        <v>24</v>
      </c>
      <c r="J163" s="2">
        <v>7</v>
      </c>
    </row>
    <row r="164" spans="1:10" ht="14.25" customHeight="1" x14ac:dyDescent="0.3">
      <c r="A164" s="2">
        <v>163</v>
      </c>
      <c r="B164" s="2" t="s">
        <v>495</v>
      </c>
      <c r="C164" s="2" t="s">
        <v>487</v>
      </c>
      <c r="D164" s="2" t="s">
        <v>381</v>
      </c>
      <c r="E164" s="10">
        <v>44753</v>
      </c>
      <c r="F164" s="2" t="s">
        <v>31</v>
      </c>
      <c r="G164" s="2" t="s">
        <v>128</v>
      </c>
      <c r="H164" s="2" t="s">
        <v>496</v>
      </c>
      <c r="I164" s="2" t="s">
        <v>25</v>
      </c>
      <c r="J164" s="2">
        <v>10</v>
      </c>
    </row>
    <row r="165" spans="1:10" ht="14.25" customHeight="1" x14ac:dyDescent="0.3">
      <c r="A165" s="2">
        <v>164</v>
      </c>
      <c r="B165" s="2" t="s">
        <v>497</v>
      </c>
      <c r="C165" s="2" t="s">
        <v>489</v>
      </c>
      <c r="D165" s="2" t="s">
        <v>243</v>
      </c>
      <c r="E165" s="10">
        <v>44738</v>
      </c>
      <c r="F165" s="2" t="s">
        <v>31</v>
      </c>
      <c r="G165" s="2" t="s">
        <v>128</v>
      </c>
      <c r="H165" s="2" t="s">
        <v>498</v>
      </c>
      <c r="I165" s="2" t="s">
        <v>23</v>
      </c>
      <c r="J165" s="2">
        <v>9</v>
      </c>
    </row>
    <row r="166" spans="1:10" ht="14.25" customHeight="1" x14ac:dyDescent="0.3">
      <c r="A166" s="2">
        <v>165</v>
      </c>
      <c r="B166" s="2" t="s">
        <v>499</v>
      </c>
      <c r="C166" s="2" t="s">
        <v>491</v>
      </c>
      <c r="D166" s="2" t="s">
        <v>246</v>
      </c>
      <c r="E166" s="10">
        <v>44762</v>
      </c>
      <c r="F166" s="2" t="s">
        <v>30</v>
      </c>
      <c r="G166" s="2" t="s">
        <v>128</v>
      </c>
      <c r="H166" s="2" t="s">
        <v>500</v>
      </c>
      <c r="I166" s="2" t="s">
        <v>24</v>
      </c>
      <c r="J166" s="2">
        <v>8</v>
      </c>
    </row>
    <row r="167" spans="1:10" ht="14.25" customHeight="1" x14ac:dyDescent="0.3">
      <c r="A167" s="2">
        <v>166</v>
      </c>
      <c r="B167" s="2" t="s">
        <v>501</v>
      </c>
      <c r="C167" s="2" t="s">
        <v>493</v>
      </c>
      <c r="D167" s="2" t="s">
        <v>249</v>
      </c>
      <c r="E167" s="10">
        <v>44756</v>
      </c>
      <c r="F167" s="2" t="s">
        <v>31</v>
      </c>
      <c r="G167" s="2" t="s">
        <v>128</v>
      </c>
      <c r="H167" s="2" t="s">
        <v>502</v>
      </c>
      <c r="I167" s="2" t="s">
        <v>25</v>
      </c>
      <c r="J167" s="2">
        <v>7</v>
      </c>
    </row>
    <row r="168" spans="1:10" ht="14.25" customHeight="1" x14ac:dyDescent="0.3">
      <c r="A168" s="2">
        <v>167</v>
      </c>
      <c r="B168" s="2" t="s">
        <v>503</v>
      </c>
      <c r="C168" s="2" t="s">
        <v>495</v>
      </c>
      <c r="D168" s="2" t="s">
        <v>158</v>
      </c>
      <c r="E168" s="10">
        <v>44744</v>
      </c>
      <c r="F168" s="2" t="s">
        <v>30</v>
      </c>
      <c r="G168" s="2" t="s">
        <v>128</v>
      </c>
      <c r="H168" s="2" t="s">
        <v>504</v>
      </c>
      <c r="I168" s="2" t="s">
        <v>23</v>
      </c>
      <c r="J168" s="2">
        <v>7</v>
      </c>
    </row>
    <row r="169" spans="1:10" ht="14.25" customHeight="1" x14ac:dyDescent="0.3">
      <c r="A169" s="2">
        <v>168</v>
      </c>
      <c r="B169" s="2" t="s">
        <v>505</v>
      </c>
      <c r="C169" s="2" t="s">
        <v>497</v>
      </c>
      <c r="D169" s="2" t="s">
        <v>255</v>
      </c>
      <c r="E169" s="10">
        <v>44753</v>
      </c>
      <c r="F169" s="2" t="s">
        <v>31</v>
      </c>
      <c r="G169" s="2" t="s">
        <v>128</v>
      </c>
      <c r="H169" s="2" t="s">
        <v>506</v>
      </c>
      <c r="I169" s="2" t="s">
        <v>24</v>
      </c>
      <c r="J169" s="2">
        <v>7</v>
      </c>
    </row>
    <row r="170" spans="1:10" ht="14.25" customHeight="1" x14ac:dyDescent="0.3">
      <c r="A170" s="2">
        <v>169</v>
      </c>
      <c r="B170" s="2" t="s">
        <v>507</v>
      </c>
      <c r="C170" s="2" t="s">
        <v>499</v>
      </c>
      <c r="D170" s="2" t="s">
        <v>258</v>
      </c>
      <c r="E170" s="10">
        <v>44762</v>
      </c>
      <c r="F170" s="2" t="s">
        <v>31</v>
      </c>
      <c r="G170" s="2" t="s">
        <v>128</v>
      </c>
      <c r="H170" s="2" t="s">
        <v>508</v>
      </c>
      <c r="I170" s="2" t="s">
        <v>25</v>
      </c>
      <c r="J170" s="2">
        <v>10</v>
      </c>
    </row>
    <row r="171" spans="1:10" ht="14.25" customHeight="1" x14ac:dyDescent="0.3">
      <c r="A171" s="2">
        <v>170</v>
      </c>
      <c r="B171" s="2" t="s">
        <v>509</v>
      </c>
      <c r="C171" s="2" t="s">
        <v>501</v>
      </c>
      <c r="D171" s="2" t="s">
        <v>261</v>
      </c>
      <c r="E171" s="10">
        <v>44740</v>
      </c>
      <c r="F171" s="2" t="s">
        <v>30</v>
      </c>
      <c r="G171" s="2" t="s">
        <v>128</v>
      </c>
      <c r="H171" s="2" t="s">
        <v>510</v>
      </c>
      <c r="I171" s="2" t="s">
        <v>23</v>
      </c>
      <c r="J171" s="2">
        <v>7</v>
      </c>
    </row>
    <row r="172" spans="1:10" ht="14.25" customHeight="1" x14ac:dyDescent="0.3">
      <c r="A172" s="2">
        <v>171</v>
      </c>
      <c r="B172" s="2" t="s">
        <v>511</v>
      </c>
      <c r="C172" s="2" t="s">
        <v>503</v>
      </c>
      <c r="D172" s="2" t="s">
        <v>264</v>
      </c>
      <c r="E172" s="10">
        <v>44729</v>
      </c>
      <c r="F172" s="2" t="s">
        <v>31</v>
      </c>
      <c r="G172" s="2" t="s">
        <v>128</v>
      </c>
      <c r="H172" s="2" t="s">
        <v>512</v>
      </c>
      <c r="I172" s="2" t="s">
        <v>24</v>
      </c>
      <c r="J172" s="2">
        <v>10</v>
      </c>
    </row>
    <row r="173" spans="1:10" ht="14.25" customHeight="1" x14ac:dyDescent="0.3">
      <c r="A173" s="2">
        <v>172</v>
      </c>
      <c r="B173" s="2" t="s">
        <v>513</v>
      </c>
      <c r="C173" s="2" t="s">
        <v>505</v>
      </c>
      <c r="D173" s="2" t="s">
        <v>267</v>
      </c>
      <c r="E173" s="10">
        <v>44727</v>
      </c>
      <c r="F173" s="2" t="s">
        <v>31</v>
      </c>
      <c r="G173" s="2" t="s">
        <v>128</v>
      </c>
      <c r="H173" s="2" t="s">
        <v>514</v>
      </c>
      <c r="I173" s="2" t="s">
        <v>25</v>
      </c>
      <c r="J173" s="2">
        <v>9</v>
      </c>
    </row>
    <row r="174" spans="1:10" ht="14.25" customHeight="1" x14ac:dyDescent="0.3">
      <c r="A174" s="2">
        <v>173</v>
      </c>
      <c r="B174" s="2" t="s">
        <v>515</v>
      </c>
      <c r="C174" s="2" t="s">
        <v>507</v>
      </c>
      <c r="D174" s="2" t="s">
        <v>127</v>
      </c>
      <c r="E174" s="10">
        <v>44734</v>
      </c>
      <c r="F174" s="2" t="s">
        <v>30</v>
      </c>
      <c r="G174" s="2" t="s">
        <v>135</v>
      </c>
      <c r="H174" s="2" t="s">
        <v>516</v>
      </c>
      <c r="I174" s="2" t="s">
        <v>23</v>
      </c>
      <c r="J174" s="2">
        <v>10</v>
      </c>
    </row>
    <row r="175" spans="1:10" ht="14.25" customHeight="1" x14ac:dyDescent="0.3">
      <c r="A175" s="2">
        <v>174</v>
      </c>
      <c r="B175" s="2" t="s">
        <v>517</v>
      </c>
      <c r="C175" s="2" t="s">
        <v>509</v>
      </c>
      <c r="D175" s="2" t="s">
        <v>131</v>
      </c>
      <c r="E175" s="10">
        <v>44744</v>
      </c>
      <c r="F175" s="2" t="s">
        <v>31</v>
      </c>
      <c r="G175" s="2" t="s">
        <v>128</v>
      </c>
      <c r="H175" s="2" t="s">
        <v>518</v>
      </c>
      <c r="I175" s="2" t="s">
        <v>24</v>
      </c>
      <c r="J175" s="2">
        <v>8</v>
      </c>
    </row>
    <row r="176" spans="1:10" ht="14.25" customHeight="1" x14ac:dyDescent="0.3">
      <c r="A176" s="2">
        <v>175</v>
      </c>
      <c r="B176" s="2" t="s">
        <v>519</v>
      </c>
      <c r="C176" s="2" t="s">
        <v>511</v>
      </c>
      <c r="D176" s="2" t="s">
        <v>134</v>
      </c>
      <c r="E176" s="10">
        <v>44737</v>
      </c>
      <c r="F176" s="2" t="s">
        <v>30</v>
      </c>
      <c r="G176" s="2" t="s">
        <v>128</v>
      </c>
      <c r="H176" s="2" t="s">
        <v>520</v>
      </c>
      <c r="I176" s="2" t="s">
        <v>25</v>
      </c>
      <c r="J176" s="2">
        <v>9</v>
      </c>
    </row>
    <row r="177" spans="1:10" ht="14.25" customHeight="1" x14ac:dyDescent="0.3">
      <c r="A177" s="2">
        <v>176</v>
      </c>
      <c r="B177" s="2" t="s">
        <v>521</v>
      </c>
      <c r="C177" s="2" t="s">
        <v>513</v>
      </c>
      <c r="D177" s="2" t="s">
        <v>138</v>
      </c>
      <c r="E177" s="10">
        <v>44752</v>
      </c>
      <c r="F177" s="2" t="s">
        <v>31</v>
      </c>
      <c r="G177" s="2" t="s">
        <v>128</v>
      </c>
      <c r="H177" s="2" t="s">
        <v>522</v>
      </c>
      <c r="I177" s="2" t="s">
        <v>23</v>
      </c>
      <c r="J177" s="2">
        <v>9</v>
      </c>
    </row>
    <row r="178" spans="1:10" ht="14.25" customHeight="1" x14ac:dyDescent="0.3">
      <c r="A178" s="2">
        <v>177</v>
      </c>
      <c r="B178" s="2" t="s">
        <v>523</v>
      </c>
      <c r="C178" s="2" t="s">
        <v>515</v>
      </c>
      <c r="D178" s="2" t="s">
        <v>141</v>
      </c>
      <c r="E178" s="10">
        <v>44736</v>
      </c>
      <c r="F178" s="2" t="s">
        <v>30</v>
      </c>
      <c r="G178" s="2" t="s">
        <v>128</v>
      </c>
      <c r="H178" s="2" t="s">
        <v>524</v>
      </c>
      <c r="I178" s="2" t="s">
        <v>24</v>
      </c>
      <c r="J178" s="2">
        <v>8</v>
      </c>
    </row>
    <row r="179" spans="1:10" ht="14.25" customHeight="1" x14ac:dyDescent="0.3">
      <c r="A179" s="2">
        <v>178</v>
      </c>
      <c r="B179" s="2" t="s">
        <v>525</v>
      </c>
      <c r="C179" s="2" t="s">
        <v>517</v>
      </c>
      <c r="D179" s="2" t="s">
        <v>144</v>
      </c>
      <c r="E179" s="10">
        <v>44752</v>
      </c>
      <c r="F179" s="2" t="s">
        <v>31</v>
      </c>
      <c r="G179" s="2" t="s">
        <v>128</v>
      </c>
      <c r="H179" s="2" t="s">
        <v>526</v>
      </c>
      <c r="I179" s="2" t="s">
        <v>25</v>
      </c>
      <c r="J179" s="2">
        <v>7</v>
      </c>
    </row>
    <row r="180" spans="1:10" ht="14.25" customHeight="1" x14ac:dyDescent="0.3">
      <c r="A180" s="2">
        <v>179</v>
      </c>
      <c r="B180" s="2" t="s">
        <v>527</v>
      </c>
      <c r="C180" s="2" t="s">
        <v>519</v>
      </c>
      <c r="D180" s="2" t="s">
        <v>147</v>
      </c>
      <c r="E180" s="10">
        <v>44759</v>
      </c>
      <c r="F180" s="2" t="s">
        <v>29</v>
      </c>
      <c r="G180" s="2" t="s">
        <v>135</v>
      </c>
      <c r="H180" s="2" t="s">
        <v>528</v>
      </c>
      <c r="I180" s="2" t="s">
        <v>23</v>
      </c>
      <c r="J180" s="2">
        <v>10</v>
      </c>
    </row>
    <row r="181" spans="1:10" ht="14.25" customHeight="1" x14ac:dyDescent="0.3">
      <c r="A181" s="2">
        <v>180</v>
      </c>
      <c r="B181" s="2" t="s">
        <v>529</v>
      </c>
      <c r="C181" s="2" t="s">
        <v>521</v>
      </c>
      <c r="D181" s="2" t="s">
        <v>147</v>
      </c>
      <c r="E181" s="10">
        <v>44763</v>
      </c>
      <c r="F181" s="2" t="s">
        <v>30</v>
      </c>
      <c r="G181" s="2" t="s">
        <v>128</v>
      </c>
      <c r="H181" s="2" t="s">
        <v>530</v>
      </c>
      <c r="I181" s="2" t="s">
        <v>24</v>
      </c>
      <c r="J181" s="2">
        <v>8</v>
      </c>
    </row>
    <row r="182" spans="1:10" ht="14.25" customHeight="1" x14ac:dyDescent="0.3">
      <c r="A182" s="2">
        <v>181</v>
      </c>
      <c r="B182" s="2" t="s">
        <v>531</v>
      </c>
      <c r="C182" s="2" t="s">
        <v>523</v>
      </c>
      <c r="D182" s="2" t="s">
        <v>153</v>
      </c>
      <c r="E182" s="10">
        <v>44763</v>
      </c>
      <c r="F182" s="2" t="s">
        <v>31</v>
      </c>
      <c r="G182" s="2" t="s">
        <v>128</v>
      </c>
      <c r="H182" s="2" t="s">
        <v>532</v>
      </c>
      <c r="I182" s="2" t="s">
        <v>25</v>
      </c>
      <c r="J182" s="2">
        <v>10</v>
      </c>
    </row>
    <row r="183" spans="1:10" ht="14.25" customHeight="1" x14ac:dyDescent="0.3">
      <c r="A183" s="2">
        <v>182</v>
      </c>
      <c r="B183" s="2" t="s">
        <v>533</v>
      </c>
      <c r="C183" s="2" t="s">
        <v>525</v>
      </c>
      <c r="D183" s="2" t="s">
        <v>288</v>
      </c>
      <c r="E183" s="10">
        <v>44750</v>
      </c>
      <c r="F183" s="2" t="s">
        <v>31</v>
      </c>
      <c r="G183" s="2" t="s">
        <v>128</v>
      </c>
      <c r="H183" s="2" t="s">
        <v>534</v>
      </c>
      <c r="I183" s="2" t="s">
        <v>23</v>
      </c>
      <c r="J183" s="2">
        <v>7</v>
      </c>
    </row>
    <row r="184" spans="1:10" ht="14.25" customHeight="1" x14ac:dyDescent="0.3">
      <c r="A184" s="2">
        <v>183</v>
      </c>
      <c r="B184" s="2" t="s">
        <v>535</v>
      </c>
      <c r="C184" s="2" t="s">
        <v>527</v>
      </c>
      <c r="D184" s="2" t="s">
        <v>158</v>
      </c>
      <c r="E184" s="10">
        <v>44751</v>
      </c>
      <c r="F184" s="2" t="s">
        <v>30</v>
      </c>
      <c r="G184" s="2" t="s">
        <v>128</v>
      </c>
      <c r="H184" s="2" t="s">
        <v>536</v>
      </c>
      <c r="I184" s="2" t="s">
        <v>24</v>
      </c>
      <c r="J184" s="2">
        <v>7</v>
      </c>
    </row>
    <row r="185" spans="1:10" ht="14.25" customHeight="1" x14ac:dyDescent="0.3">
      <c r="A185" s="2">
        <v>184</v>
      </c>
      <c r="B185" s="2" t="s">
        <v>537</v>
      </c>
      <c r="C185" s="2" t="s">
        <v>529</v>
      </c>
      <c r="D185" s="2" t="s">
        <v>161</v>
      </c>
      <c r="E185" s="10">
        <v>44736</v>
      </c>
      <c r="F185" s="2" t="s">
        <v>31</v>
      </c>
      <c r="G185" s="2" t="s">
        <v>128</v>
      </c>
      <c r="H185" s="2" t="s">
        <v>538</v>
      </c>
      <c r="I185" s="2" t="s">
        <v>25</v>
      </c>
      <c r="J185" s="2">
        <v>10</v>
      </c>
    </row>
    <row r="186" spans="1:10" ht="14.25" customHeight="1" x14ac:dyDescent="0.3">
      <c r="A186" s="2">
        <v>185</v>
      </c>
      <c r="B186" s="2" t="s">
        <v>539</v>
      </c>
      <c r="C186" s="2" t="s">
        <v>531</v>
      </c>
      <c r="D186" s="2" t="s">
        <v>164</v>
      </c>
      <c r="E186" s="10">
        <v>44737</v>
      </c>
      <c r="F186" s="2" t="s">
        <v>30</v>
      </c>
      <c r="G186" s="2" t="s">
        <v>128</v>
      </c>
      <c r="H186" s="2" t="s">
        <v>540</v>
      </c>
      <c r="I186" s="2" t="s">
        <v>23</v>
      </c>
      <c r="J186" s="2">
        <v>9</v>
      </c>
    </row>
    <row r="187" spans="1:10" ht="14.25" customHeight="1" x14ac:dyDescent="0.3">
      <c r="A187" s="2">
        <v>186</v>
      </c>
      <c r="B187" s="2" t="s">
        <v>541</v>
      </c>
      <c r="C187" s="2" t="s">
        <v>533</v>
      </c>
      <c r="D187" s="2" t="s">
        <v>167</v>
      </c>
      <c r="E187" s="10">
        <v>44744</v>
      </c>
      <c r="F187" s="2" t="s">
        <v>31</v>
      </c>
      <c r="G187" s="2" t="s">
        <v>128</v>
      </c>
      <c r="H187" s="2" t="s">
        <v>542</v>
      </c>
      <c r="I187" s="2" t="s">
        <v>24</v>
      </c>
      <c r="J187" s="2">
        <v>9</v>
      </c>
    </row>
    <row r="188" spans="1:10" ht="14.25" customHeight="1" x14ac:dyDescent="0.3">
      <c r="A188" s="2">
        <v>187</v>
      </c>
      <c r="B188" s="2" t="s">
        <v>543</v>
      </c>
      <c r="C188" s="2" t="s">
        <v>535</v>
      </c>
      <c r="D188" s="2" t="s">
        <v>267</v>
      </c>
      <c r="E188" s="10">
        <v>44735</v>
      </c>
      <c r="F188" s="2" t="s">
        <v>31</v>
      </c>
      <c r="G188" s="2" t="s">
        <v>128</v>
      </c>
      <c r="H188" s="2" t="s">
        <v>544</v>
      </c>
      <c r="I188" s="2" t="s">
        <v>25</v>
      </c>
      <c r="J188" s="2">
        <v>7</v>
      </c>
    </row>
    <row r="189" spans="1:10" ht="14.25" customHeight="1" x14ac:dyDescent="0.3">
      <c r="A189" s="2">
        <v>188</v>
      </c>
      <c r="B189" s="2" t="s">
        <v>545</v>
      </c>
      <c r="C189" s="2" t="s">
        <v>537</v>
      </c>
      <c r="D189" s="2" t="s">
        <v>127</v>
      </c>
      <c r="E189" s="10">
        <v>44751</v>
      </c>
      <c r="F189" s="2" t="s">
        <v>30</v>
      </c>
      <c r="G189" s="2" t="s">
        <v>128</v>
      </c>
      <c r="H189" s="2" t="s">
        <v>546</v>
      </c>
      <c r="I189" s="2" t="s">
        <v>23</v>
      </c>
      <c r="J189" s="2">
        <v>10</v>
      </c>
    </row>
    <row r="190" spans="1:10" ht="14.25" customHeight="1" x14ac:dyDescent="0.3">
      <c r="A190" s="2">
        <v>189</v>
      </c>
      <c r="B190" s="2" t="s">
        <v>547</v>
      </c>
      <c r="C190" s="2" t="s">
        <v>539</v>
      </c>
      <c r="D190" s="2" t="s">
        <v>131</v>
      </c>
      <c r="E190" s="10">
        <v>44726</v>
      </c>
      <c r="F190" s="2" t="s">
        <v>31</v>
      </c>
      <c r="G190" s="2" t="s">
        <v>128</v>
      </c>
      <c r="H190" s="2" t="s">
        <v>548</v>
      </c>
      <c r="I190" s="2" t="s">
        <v>24</v>
      </c>
      <c r="J190" s="2">
        <v>7</v>
      </c>
    </row>
    <row r="191" spans="1:10" ht="14.25" customHeight="1" x14ac:dyDescent="0.3">
      <c r="A191" s="2">
        <v>190</v>
      </c>
      <c r="B191" s="2" t="s">
        <v>549</v>
      </c>
      <c r="C191" s="2" t="s">
        <v>541</v>
      </c>
      <c r="D191" s="2" t="s">
        <v>134</v>
      </c>
      <c r="E191" s="10">
        <v>44749</v>
      </c>
      <c r="F191" s="2" t="s">
        <v>31</v>
      </c>
      <c r="G191" s="2" t="s">
        <v>128</v>
      </c>
      <c r="H191" s="2" t="s">
        <v>550</v>
      </c>
      <c r="I191" s="2" t="s">
        <v>25</v>
      </c>
      <c r="J191" s="2">
        <v>7</v>
      </c>
    </row>
    <row r="192" spans="1:10" ht="14.25" customHeight="1" x14ac:dyDescent="0.3">
      <c r="A192" s="2">
        <v>191</v>
      </c>
      <c r="B192" s="2" t="s">
        <v>551</v>
      </c>
      <c r="C192" s="2" t="s">
        <v>543</v>
      </c>
      <c r="D192" s="2" t="s">
        <v>138</v>
      </c>
      <c r="E192" s="10">
        <v>44734</v>
      </c>
      <c r="F192" s="2" t="s">
        <v>30</v>
      </c>
      <c r="G192" s="2" t="s">
        <v>128</v>
      </c>
      <c r="H192" s="2" t="s">
        <v>552</v>
      </c>
      <c r="I192" s="2" t="s">
        <v>23</v>
      </c>
      <c r="J192" s="2">
        <v>8</v>
      </c>
    </row>
    <row r="193" spans="1:10" ht="14.25" customHeight="1" x14ac:dyDescent="0.3">
      <c r="A193" s="2">
        <v>192</v>
      </c>
      <c r="B193" s="2" t="s">
        <v>553</v>
      </c>
      <c r="C193" s="2" t="s">
        <v>545</v>
      </c>
      <c r="D193" s="2" t="s">
        <v>141</v>
      </c>
      <c r="E193" s="10">
        <v>44726</v>
      </c>
      <c r="F193" s="2" t="s">
        <v>31</v>
      </c>
      <c r="G193" s="2" t="s">
        <v>128</v>
      </c>
      <c r="H193" s="2" t="s">
        <v>554</v>
      </c>
      <c r="I193" s="2" t="s">
        <v>24</v>
      </c>
      <c r="J193" s="2">
        <v>7</v>
      </c>
    </row>
    <row r="194" spans="1:10" ht="14.25" customHeight="1" x14ac:dyDescent="0.3">
      <c r="A194" s="2">
        <v>193</v>
      </c>
      <c r="B194" s="2" t="s">
        <v>555</v>
      </c>
      <c r="C194" s="2" t="s">
        <v>547</v>
      </c>
      <c r="D194" s="2" t="s">
        <v>144</v>
      </c>
      <c r="E194" s="10">
        <v>44743</v>
      </c>
      <c r="F194" s="2" t="s">
        <v>30</v>
      </c>
      <c r="G194" s="2" t="s">
        <v>128</v>
      </c>
      <c r="H194" s="2" t="s">
        <v>556</v>
      </c>
      <c r="I194" s="2" t="s">
        <v>25</v>
      </c>
      <c r="J194" s="2">
        <v>10</v>
      </c>
    </row>
    <row r="195" spans="1:10" ht="14.25" customHeight="1" x14ac:dyDescent="0.3">
      <c r="A195" s="2">
        <v>194</v>
      </c>
      <c r="B195" s="2" t="s">
        <v>557</v>
      </c>
      <c r="C195" s="2" t="s">
        <v>549</v>
      </c>
      <c r="D195" s="2" t="s">
        <v>147</v>
      </c>
      <c r="E195" s="10">
        <v>44742</v>
      </c>
      <c r="F195" s="2" t="s">
        <v>31</v>
      </c>
      <c r="G195" s="2" t="s">
        <v>128</v>
      </c>
      <c r="H195" s="2" t="s">
        <v>558</v>
      </c>
      <c r="I195" s="2" t="s">
        <v>23</v>
      </c>
      <c r="J195" s="2">
        <v>7</v>
      </c>
    </row>
    <row r="196" spans="1:10" ht="14.25" customHeight="1" x14ac:dyDescent="0.3">
      <c r="A196" s="2">
        <v>195</v>
      </c>
      <c r="B196" s="2" t="s">
        <v>559</v>
      </c>
      <c r="C196" s="2" t="s">
        <v>551</v>
      </c>
      <c r="D196" s="2" t="s">
        <v>147</v>
      </c>
      <c r="E196" s="10">
        <v>44747</v>
      </c>
      <c r="F196" s="2" t="s">
        <v>30</v>
      </c>
      <c r="G196" s="2" t="s">
        <v>128</v>
      </c>
      <c r="H196" s="2" t="s">
        <v>560</v>
      </c>
      <c r="I196" s="2" t="s">
        <v>24</v>
      </c>
      <c r="J196" s="2">
        <v>10</v>
      </c>
    </row>
    <row r="197" spans="1:10" ht="14.25" customHeight="1" x14ac:dyDescent="0.3">
      <c r="A197" s="2">
        <v>196</v>
      </c>
      <c r="B197" s="2" t="s">
        <v>561</v>
      </c>
      <c r="C197" s="2" t="s">
        <v>553</v>
      </c>
      <c r="D197" s="2" t="s">
        <v>153</v>
      </c>
      <c r="E197" s="10">
        <v>44764</v>
      </c>
      <c r="F197" s="2" t="s">
        <v>31</v>
      </c>
      <c r="G197" s="2" t="s">
        <v>128</v>
      </c>
      <c r="H197" s="2" t="s">
        <v>562</v>
      </c>
      <c r="I197" s="2" t="s">
        <v>25</v>
      </c>
      <c r="J197" s="2">
        <v>7</v>
      </c>
    </row>
    <row r="198" spans="1:10" ht="14.25" customHeight="1" x14ac:dyDescent="0.3">
      <c r="A198" s="2">
        <v>197</v>
      </c>
      <c r="B198" s="2" t="s">
        <v>563</v>
      </c>
      <c r="C198" s="2" t="s">
        <v>555</v>
      </c>
      <c r="D198" s="2" t="s">
        <v>144</v>
      </c>
      <c r="E198" s="10">
        <v>44735</v>
      </c>
      <c r="F198" s="2" t="s">
        <v>29</v>
      </c>
      <c r="G198" s="2" t="s">
        <v>128</v>
      </c>
      <c r="H198" s="2" t="s">
        <v>564</v>
      </c>
      <c r="I198" s="2" t="s">
        <v>23</v>
      </c>
      <c r="J198" s="2">
        <v>9</v>
      </c>
    </row>
    <row r="199" spans="1:10" ht="14.25" customHeight="1" x14ac:dyDescent="0.3">
      <c r="A199" s="2">
        <v>198</v>
      </c>
      <c r="B199" s="2" t="s">
        <v>565</v>
      </c>
      <c r="C199" s="2" t="s">
        <v>557</v>
      </c>
      <c r="D199" s="2" t="s">
        <v>158</v>
      </c>
      <c r="E199" s="10">
        <v>44737</v>
      </c>
      <c r="F199" s="2" t="s">
        <v>30</v>
      </c>
      <c r="G199" s="2" t="s">
        <v>128</v>
      </c>
      <c r="H199" s="2" t="s">
        <v>566</v>
      </c>
      <c r="I199" s="2" t="s">
        <v>24</v>
      </c>
      <c r="J199" s="2">
        <v>7</v>
      </c>
    </row>
    <row r="200" spans="1:10" ht="14.25" customHeight="1" x14ac:dyDescent="0.3">
      <c r="A200" s="2">
        <v>199</v>
      </c>
      <c r="B200" s="2" t="s">
        <v>567</v>
      </c>
      <c r="C200" s="2" t="s">
        <v>559</v>
      </c>
      <c r="D200" s="2" t="s">
        <v>161</v>
      </c>
      <c r="E200" s="10">
        <v>44749</v>
      </c>
      <c r="F200" s="2" t="s">
        <v>31</v>
      </c>
      <c r="G200" s="2" t="s">
        <v>128</v>
      </c>
      <c r="H200" s="2" t="s">
        <v>568</v>
      </c>
      <c r="I200" s="2" t="s">
        <v>25</v>
      </c>
      <c r="J200" s="2">
        <v>8</v>
      </c>
    </row>
    <row r="201" spans="1:10" ht="14.25" customHeight="1" x14ac:dyDescent="0.3">
      <c r="A201" s="2">
        <v>200</v>
      </c>
      <c r="B201" s="2" t="s">
        <v>569</v>
      </c>
      <c r="C201" s="2" t="s">
        <v>561</v>
      </c>
      <c r="D201" s="2" t="s">
        <v>164</v>
      </c>
      <c r="E201" s="10">
        <v>44729</v>
      </c>
      <c r="F201" s="2" t="s">
        <v>31</v>
      </c>
      <c r="G201" s="2" t="s">
        <v>128</v>
      </c>
      <c r="H201" s="2" t="s">
        <v>570</v>
      </c>
      <c r="I201" s="2" t="s">
        <v>25</v>
      </c>
      <c r="J201" s="2">
        <v>10</v>
      </c>
    </row>
    <row r="202" spans="1:10" ht="14.25" customHeight="1" x14ac:dyDescent="0.3">
      <c r="A202" s="2">
        <v>201</v>
      </c>
      <c r="B202" s="2" t="s">
        <v>571</v>
      </c>
      <c r="C202" s="2" t="s">
        <v>563</v>
      </c>
      <c r="D202" s="2" t="s">
        <v>167</v>
      </c>
      <c r="E202" s="10">
        <v>44738</v>
      </c>
      <c r="F202" s="2" t="s">
        <v>30</v>
      </c>
      <c r="G202" s="2" t="s">
        <v>135</v>
      </c>
      <c r="H202" s="2" t="s">
        <v>572</v>
      </c>
      <c r="I202" s="2" t="s">
        <v>25</v>
      </c>
      <c r="J202" s="2">
        <v>9</v>
      </c>
    </row>
    <row r="203" spans="1:10" ht="14.25" customHeight="1" x14ac:dyDescent="0.3">
      <c r="A203" s="2">
        <v>202</v>
      </c>
      <c r="B203" s="2" t="s">
        <v>573</v>
      </c>
      <c r="C203" s="2" t="s">
        <v>565</v>
      </c>
      <c r="D203" s="2" t="s">
        <v>144</v>
      </c>
      <c r="E203" s="10">
        <v>44740</v>
      </c>
      <c r="F203" s="2" t="s">
        <v>31</v>
      </c>
      <c r="G203" s="2" t="s">
        <v>128</v>
      </c>
      <c r="H203" s="2" t="s">
        <v>574</v>
      </c>
      <c r="I203" s="2" t="s">
        <v>23</v>
      </c>
      <c r="J203" s="2">
        <v>7</v>
      </c>
    </row>
    <row r="204" spans="1:10" ht="14.25" customHeight="1" x14ac:dyDescent="0.3">
      <c r="A204" s="2">
        <v>203</v>
      </c>
      <c r="B204" s="2" t="s">
        <v>575</v>
      </c>
      <c r="C204" s="2" t="s">
        <v>567</v>
      </c>
      <c r="D204" s="2" t="s">
        <v>172</v>
      </c>
      <c r="E204" s="10">
        <v>44755</v>
      </c>
      <c r="F204" s="2" t="s">
        <v>30</v>
      </c>
      <c r="G204" s="2" t="s">
        <v>128</v>
      </c>
      <c r="H204" s="2" t="s">
        <v>576</v>
      </c>
      <c r="I204" s="2" t="s">
        <v>24</v>
      </c>
      <c r="J204" s="2">
        <v>8</v>
      </c>
    </row>
    <row r="205" spans="1:10" ht="14.25" customHeight="1" x14ac:dyDescent="0.3">
      <c r="A205" s="2">
        <v>204</v>
      </c>
      <c r="B205" s="2" t="s">
        <v>577</v>
      </c>
      <c r="C205" s="2" t="s">
        <v>569</v>
      </c>
      <c r="D205" s="2" t="s">
        <v>161</v>
      </c>
      <c r="E205" s="10">
        <v>44755</v>
      </c>
      <c r="F205" s="2" t="s">
        <v>31</v>
      </c>
      <c r="G205" s="2" t="s">
        <v>128</v>
      </c>
      <c r="H205" s="2" t="s">
        <v>578</v>
      </c>
      <c r="I205" s="2" t="s">
        <v>25</v>
      </c>
      <c r="J205" s="2">
        <v>7</v>
      </c>
    </row>
    <row r="206" spans="1:10" ht="14.25" customHeight="1" x14ac:dyDescent="0.3">
      <c r="A206" s="2">
        <v>205</v>
      </c>
      <c r="B206" s="2" t="s">
        <v>579</v>
      </c>
      <c r="C206" s="2" t="s">
        <v>571</v>
      </c>
      <c r="D206" s="2" t="s">
        <v>141</v>
      </c>
      <c r="E206" s="10">
        <v>44764</v>
      </c>
      <c r="F206" s="2" t="s">
        <v>31</v>
      </c>
      <c r="G206" s="2" t="s">
        <v>128</v>
      </c>
      <c r="H206" s="2" t="s">
        <v>580</v>
      </c>
      <c r="I206" s="2" t="s">
        <v>23</v>
      </c>
      <c r="J206" s="2">
        <v>9</v>
      </c>
    </row>
    <row r="207" spans="1:10" ht="14.25" customHeight="1" x14ac:dyDescent="0.3">
      <c r="A207" s="2">
        <v>206</v>
      </c>
      <c r="B207" s="2" t="s">
        <v>581</v>
      </c>
      <c r="C207" s="2" t="s">
        <v>573</v>
      </c>
      <c r="D207" s="2" t="s">
        <v>179</v>
      </c>
      <c r="E207" s="10">
        <v>44735</v>
      </c>
      <c r="F207" s="2" t="s">
        <v>30</v>
      </c>
      <c r="G207" s="2" t="s">
        <v>128</v>
      </c>
      <c r="H207" s="2" t="s">
        <v>582</v>
      </c>
      <c r="I207" s="2" t="s">
        <v>24</v>
      </c>
      <c r="J207" s="2">
        <v>10</v>
      </c>
    </row>
    <row r="208" spans="1:10" ht="14.25" customHeight="1" x14ac:dyDescent="0.3">
      <c r="A208" s="2">
        <v>207</v>
      </c>
      <c r="B208" s="2" t="s">
        <v>583</v>
      </c>
      <c r="C208" s="2" t="s">
        <v>575</v>
      </c>
      <c r="D208" s="2" t="s">
        <v>182</v>
      </c>
      <c r="E208" s="10">
        <v>44734</v>
      </c>
      <c r="F208" s="2" t="s">
        <v>31</v>
      </c>
      <c r="G208" s="2" t="s">
        <v>135</v>
      </c>
      <c r="H208" s="2" t="s">
        <v>584</v>
      </c>
      <c r="I208" s="2" t="s">
        <v>25</v>
      </c>
      <c r="J208" s="2">
        <v>7</v>
      </c>
    </row>
    <row r="209" spans="1:10" ht="14.25" customHeight="1" x14ac:dyDescent="0.3">
      <c r="A209" s="2">
        <v>208</v>
      </c>
      <c r="B209" s="2" t="s">
        <v>585</v>
      </c>
      <c r="C209" s="2" t="s">
        <v>577</v>
      </c>
      <c r="D209" s="2" t="s">
        <v>185</v>
      </c>
      <c r="E209" s="10">
        <v>44728</v>
      </c>
      <c r="F209" s="2" t="s">
        <v>31</v>
      </c>
      <c r="G209" s="2" t="s">
        <v>128</v>
      </c>
      <c r="H209" s="2" t="s">
        <v>586</v>
      </c>
      <c r="I209" s="2" t="s">
        <v>23</v>
      </c>
      <c r="J209" s="2">
        <v>7</v>
      </c>
    </row>
    <row r="210" spans="1:10" ht="14.25" customHeight="1" x14ac:dyDescent="0.3">
      <c r="A210" s="2">
        <v>209</v>
      </c>
      <c r="B210" s="2" t="s">
        <v>587</v>
      </c>
      <c r="C210" s="2" t="s">
        <v>579</v>
      </c>
      <c r="D210" s="2" t="s">
        <v>188</v>
      </c>
      <c r="E210" s="10">
        <v>44739</v>
      </c>
      <c r="F210" s="2" t="s">
        <v>30</v>
      </c>
      <c r="G210" s="2" t="s">
        <v>128</v>
      </c>
      <c r="H210" s="2" t="s">
        <v>588</v>
      </c>
      <c r="I210" s="2" t="s">
        <v>24</v>
      </c>
      <c r="J210" s="2">
        <v>7</v>
      </c>
    </row>
    <row r="211" spans="1:10" ht="14.25" customHeight="1" x14ac:dyDescent="0.3">
      <c r="A211" s="2">
        <v>210</v>
      </c>
      <c r="B211" s="2" t="s">
        <v>589</v>
      </c>
      <c r="C211" s="2" t="s">
        <v>581</v>
      </c>
      <c r="D211" s="2" t="s">
        <v>191</v>
      </c>
      <c r="E211" s="10">
        <v>44765</v>
      </c>
      <c r="F211" s="2" t="s">
        <v>31</v>
      </c>
      <c r="G211" s="2" t="s">
        <v>128</v>
      </c>
      <c r="H211" s="2" t="s">
        <v>590</v>
      </c>
      <c r="I211" s="2" t="s">
        <v>25</v>
      </c>
      <c r="J211" s="2">
        <v>9</v>
      </c>
    </row>
    <row r="212" spans="1:10" ht="14.25" customHeight="1" x14ac:dyDescent="0.3">
      <c r="A212" s="2">
        <v>211</v>
      </c>
      <c r="B212" s="2" t="s">
        <v>591</v>
      </c>
      <c r="C212" s="2" t="s">
        <v>583</v>
      </c>
      <c r="D212" s="2" t="s">
        <v>194</v>
      </c>
      <c r="E212" s="10">
        <v>44740</v>
      </c>
      <c r="F212" s="2" t="s">
        <v>30</v>
      </c>
      <c r="G212" s="2" t="s">
        <v>128</v>
      </c>
      <c r="H212" s="2" t="s">
        <v>592</v>
      </c>
      <c r="I212" s="2" t="s">
        <v>23</v>
      </c>
      <c r="J212" s="2">
        <v>10</v>
      </c>
    </row>
    <row r="213" spans="1:10" ht="14.25" customHeight="1" x14ac:dyDescent="0.3">
      <c r="A213" s="2">
        <v>212</v>
      </c>
      <c r="B213" s="2" t="s">
        <v>593</v>
      </c>
      <c r="C213" s="2" t="s">
        <v>585</v>
      </c>
      <c r="D213" s="2" t="s">
        <v>197</v>
      </c>
      <c r="E213" s="10">
        <v>44734</v>
      </c>
      <c r="F213" s="2" t="s">
        <v>31</v>
      </c>
      <c r="G213" s="2" t="s">
        <v>128</v>
      </c>
      <c r="H213" s="2" t="s">
        <v>594</v>
      </c>
      <c r="I213" s="2" t="s">
        <v>24</v>
      </c>
      <c r="J213" s="2">
        <v>7</v>
      </c>
    </row>
    <row r="214" spans="1:10" ht="14.25" customHeight="1" x14ac:dyDescent="0.3">
      <c r="A214" s="2">
        <v>213</v>
      </c>
      <c r="B214" s="2" t="s">
        <v>595</v>
      </c>
      <c r="C214" s="2" t="s">
        <v>587</v>
      </c>
      <c r="D214" s="2" t="s">
        <v>200</v>
      </c>
      <c r="E214" s="10">
        <v>44727</v>
      </c>
      <c r="F214" s="2" t="s">
        <v>30</v>
      </c>
      <c r="G214" s="2" t="s">
        <v>128</v>
      </c>
      <c r="H214" s="2" t="s">
        <v>596</v>
      </c>
      <c r="I214" s="2" t="s">
        <v>25</v>
      </c>
      <c r="J214" s="2">
        <v>7</v>
      </c>
    </row>
    <row r="215" spans="1:10" ht="14.25" customHeight="1" x14ac:dyDescent="0.3">
      <c r="A215" s="2">
        <v>214</v>
      </c>
      <c r="B215" s="2" t="s">
        <v>597</v>
      </c>
      <c r="C215" s="2" t="s">
        <v>589</v>
      </c>
      <c r="D215" s="2" t="s">
        <v>203</v>
      </c>
      <c r="E215" s="10">
        <v>44737</v>
      </c>
      <c r="F215" s="2" t="s">
        <v>31</v>
      </c>
      <c r="G215" s="2" t="s">
        <v>128</v>
      </c>
      <c r="H215" s="2" t="s">
        <v>598</v>
      </c>
      <c r="I215" s="2" t="s">
        <v>23</v>
      </c>
      <c r="J215" s="2">
        <v>8</v>
      </c>
    </row>
    <row r="216" spans="1:10" ht="14.25" customHeight="1" x14ac:dyDescent="0.3">
      <c r="A216" s="2">
        <v>215</v>
      </c>
      <c r="B216" s="2" t="s">
        <v>599</v>
      </c>
      <c r="C216" s="2" t="s">
        <v>591</v>
      </c>
      <c r="D216" s="2" t="s">
        <v>207</v>
      </c>
      <c r="E216" s="10">
        <v>44747</v>
      </c>
      <c r="F216" s="2" t="s">
        <v>29</v>
      </c>
      <c r="G216" s="2" t="s">
        <v>128</v>
      </c>
      <c r="H216" s="2" t="s">
        <v>600</v>
      </c>
      <c r="I216" s="2" t="s">
        <v>24</v>
      </c>
      <c r="J216" s="2">
        <v>8</v>
      </c>
    </row>
    <row r="217" spans="1:10" ht="14.25" customHeight="1" x14ac:dyDescent="0.3">
      <c r="A217" s="2">
        <v>216</v>
      </c>
      <c r="B217" s="2" t="s">
        <v>601</v>
      </c>
      <c r="C217" s="2" t="s">
        <v>593</v>
      </c>
      <c r="D217" s="2" t="s">
        <v>210</v>
      </c>
      <c r="E217" s="10">
        <v>44754</v>
      </c>
      <c r="F217" s="2" t="s">
        <v>30</v>
      </c>
      <c r="G217" s="2" t="s">
        <v>128</v>
      </c>
      <c r="H217" s="2" t="s">
        <v>602</v>
      </c>
      <c r="I217" s="2" t="s">
        <v>25</v>
      </c>
      <c r="J217" s="2">
        <v>10</v>
      </c>
    </row>
    <row r="218" spans="1:10" ht="14.25" customHeight="1" x14ac:dyDescent="0.3">
      <c r="A218" s="2">
        <v>217</v>
      </c>
      <c r="B218" s="2" t="s">
        <v>603</v>
      </c>
      <c r="C218" s="2" t="s">
        <v>595</v>
      </c>
      <c r="D218" s="2" t="s">
        <v>213</v>
      </c>
      <c r="E218" s="10">
        <v>44760</v>
      </c>
      <c r="F218" s="2" t="s">
        <v>31</v>
      </c>
      <c r="G218" s="2" t="s">
        <v>128</v>
      </c>
      <c r="H218" s="2" t="s">
        <v>604</v>
      </c>
      <c r="I218" s="2" t="s">
        <v>23</v>
      </c>
      <c r="J218" s="2">
        <v>9</v>
      </c>
    </row>
    <row r="219" spans="1:10" ht="14.25" customHeight="1" x14ac:dyDescent="0.3">
      <c r="A219" s="2">
        <v>218</v>
      </c>
      <c r="B219" s="2" t="s">
        <v>605</v>
      </c>
      <c r="C219" s="2" t="s">
        <v>597</v>
      </c>
      <c r="D219" s="2" t="s">
        <v>216</v>
      </c>
      <c r="E219" s="10">
        <v>44759</v>
      </c>
      <c r="F219" s="2" t="s">
        <v>31</v>
      </c>
      <c r="G219" s="2" t="s">
        <v>128</v>
      </c>
      <c r="H219" s="2" t="s">
        <v>606</v>
      </c>
      <c r="I219" s="2" t="s">
        <v>24</v>
      </c>
      <c r="J219" s="2">
        <v>9</v>
      </c>
    </row>
    <row r="220" spans="1:10" ht="14.25" customHeight="1" x14ac:dyDescent="0.3">
      <c r="A220" s="2">
        <v>219</v>
      </c>
      <c r="B220" s="2" t="s">
        <v>607</v>
      </c>
      <c r="C220" s="2" t="s">
        <v>599</v>
      </c>
      <c r="D220" s="2" t="s">
        <v>219</v>
      </c>
      <c r="E220" s="10">
        <v>44735</v>
      </c>
      <c r="F220" s="2" t="s">
        <v>30</v>
      </c>
      <c r="G220" s="2" t="s">
        <v>128</v>
      </c>
      <c r="H220" s="2" t="s">
        <v>608</v>
      </c>
      <c r="I220" s="2" t="s">
        <v>25</v>
      </c>
      <c r="J220" s="2">
        <v>7</v>
      </c>
    </row>
    <row r="221" spans="1:10" ht="14.25" customHeight="1" x14ac:dyDescent="0.3">
      <c r="A221" s="2">
        <v>220</v>
      </c>
      <c r="B221" s="2" t="s">
        <v>609</v>
      </c>
      <c r="C221" s="2" t="s">
        <v>601</v>
      </c>
      <c r="D221" s="2" t="s">
        <v>167</v>
      </c>
      <c r="E221" s="10">
        <v>44734</v>
      </c>
      <c r="F221" s="2" t="s">
        <v>31</v>
      </c>
      <c r="G221" s="2" t="s">
        <v>128</v>
      </c>
      <c r="H221" s="2" t="s">
        <v>610</v>
      </c>
      <c r="I221" s="2" t="s">
        <v>23</v>
      </c>
      <c r="J221" s="2">
        <v>10</v>
      </c>
    </row>
    <row r="222" spans="1:10" ht="14.25" customHeight="1" x14ac:dyDescent="0.3">
      <c r="A222" s="2">
        <v>221</v>
      </c>
      <c r="B222" s="2" t="s">
        <v>611</v>
      </c>
      <c r="C222" s="2" t="s">
        <v>603</v>
      </c>
      <c r="D222" s="2" t="s">
        <v>191</v>
      </c>
      <c r="E222" s="10">
        <v>44753</v>
      </c>
      <c r="F222" s="2" t="s">
        <v>30</v>
      </c>
      <c r="G222" s="2" t="s">
        <v>128</v>
      </c>
      <c r="H222" s="2" t="s">
        <v>612</v>
      </c>
      <c r="I222" s="2" t="s">
        <v>24</v>
      </c>
      <c r="J222" s="2">
        <v>7</v>
      </c>
    </row>
    <row r="223" spans="1:10" ht="14.25" customHeight="1" x14ac:dyDescent="0.3">
      <c r="A223" s="2">
        <v>222</v>
      </c>
      <c r="B223" s="2" t="s">
        <v>613</v>
      </c>
      <c r="C223" s="2" t="s">
        <v>605</v>
      </c>
      <c r="D223" s="2" t="s">
        <v>207</v>
      </c>
      <c r="E223" s="10">
        <v>44739</v>
      </c>
      <c r="F223" s="2" t="s">
        <v>31</v>
      </c>
      <c r="G223" s="2" t="s">
        <v>128</v>
      </c>
      <c r="H223" s="2" t="s">
        <v>614</v>
      </c>
      <c r="I223" s="2" t="s">
        <v>25</v>
      </c>
      <c r="J223" s="2">
        <v>7</v>
      </c>
    </row>
    <row r="224" spans="1:10" ht="14.25" customHeight="1" x14ac:dyDescent="0.3">
      <c r="A224" s="2">
        <v>223</v>
      </c>
      <c r="B224" s="2" t="s">
        <v>615</v>
      </c>
      <c r="C224" s="2" t="s">
        <v>607</v>
      </c>
      <c r="D224" s="2" t="s">
        <v>141</v>
      </c>
      <c r="E224" s="10">
        <v>44740</v>
      </c>
      <c r="F224" s="2" t="s">
        <v>31</v>
      </c>
      <c r="G224" s="2" t="s">
        <v>128</v>
      </c>
      <c r="H224" s="2" t="s">
        <v>616</v>
      </c>
      <c r="I224" s="2" t="s">
        <v>23</v>
      </c>
      <c r="J224" s="2">
        <v>10</v>
      </c>
    </row>
    <row r="225" spans="1:10" ht="14.25" customHeight="1" x14ac:dyDescent="0.3">
      <c r="A225" s="2">
        <v>224</v>
      </c>
      <c r="B225" s="2" t="s">
        <v>617</v>
      </c>
      <c r="C225" s="2" t="s">
        <v>609</v>
      </c>
      <c r="D225" s="2" t="s">
        <v>172</v>
      </c>
      <c r="E225" s="10">
        <v>44748</v>
      </c>
      <c r="F225" s="2" t="s">
        <v>30</v>
      </c>
      <c r="G225" s="2" t="s">
        <v>128</v>
      </c>
      <c r="H225" s="2" t="s">
        <v>618</v>
      </c>
      <c r="I225" s="2" t="s">
        <v>24</v>
      </c>
      <c r="J225" s="2">
        <v>7</v>
      </c>
    </row>
    <row r="226" spans="1:10" ht="14.25" customHeight="1" x14ac:dyDescent="0.3">
      <c r="A226" s="2">
        <v>225</v>
      </c>
      <c r="B226" s="2" t="s">
        <v>619</v>
      </c>
      <c r="C226" s="2" t="s">
        <v>611</v>
      </c>
      <c r="D226" s="2" t="s">
        <v>213</v>
      </c>
      <c r="E226" s="10">
        <v>44731</v>
      </c>
      <c r="F226" s="2" t="s">
        <v>31</v>
      </c>
      <c r="G226" s="2" t="s">
        <v>128</v>
      </c>
      <c r="H226" s="2" t="s">
        <v>620</v>
      </c>
      <c r="I226" s="2" t="s">
        <v>25</v>
      </c>
      <c r="J226" s="2">
        <v>10</v>
      </c>
    </row>
    <row r="227" spans="1:10" ht="14.25" customHeight="1" x14ac:dyDescent="0.3">
      <c r="A227" s="2">
        <v>226</v>
      </c>
      <c r="B227" s="2" t="s">
        <v>621</v>
      </c>
      <c r="C227" s="2" t="s">
        <v>613</v>
      </c>
      <c r="D227" s="2" t="s">
        <v>216</v>
      </c>
      <c r="E227" s="10">
        <v>44763</v>
      </c>
      <c r="F227" s="2" t="s">
        <v>31</v>
      </c>
      <c r="G227" s="2" t="s">
        <v>128</v>
      </c>
      <c r="H227" s="2" t="s">
        <v>622</v>
      </c>
      <c r="I227" s="2" t="s">
        <v>23</v>
      </c>
      <c r="J227" s="2">
        <v>9</v>
      </c>
    </row>
    <row r="228" spans="1:10" ht="14.25" customHeight="1" x14ac:dyDescent="0.3">
      <c r="A228" s="2">
        <v>227</v>
      </c>
      <c r="B228" s="2" t="s">
        <v>623</v>
      </c>
      <c r="C228" s="2" t="s">
        <v>615</v>
      </c>
      <c r="D228" s="2" t="s">
        <v>238</v>
      </c>
      <c r="E228" s="10">
        <v>44733</v>
      </c>
      <c r="F228" s="2" t="s">
        <v>30</v>
      </c>
      <c r="G228" s="2" t="s">
        <v>128</v>
      </c>
      <c r="H228" s="2" t="s">
        <v>624</v>
      </c>
      <c r="I228" s="2" t="s">
        <v>24</v>
      </c>
      <c r="J228" s="2">
        <v>10</v>
      </c>
    </row>
    <row r="229" spans="1:10" ht="14.25" customHeight="1" x14ac:dyDescent="0.3">
      <c r="A229" s="2">
        <v>228</v>
      </c>
      <c r="B229" s="2" t="s">
        <v>625</v>
      </c>
      <c r="C229" s="2" t="s">
        <v>617</v>
      </c>
      <c r="D229" s="2" t="s">
        <v>381</v>
      </c>
      <c r="E229" s="10">
        <v>44746</v>
      </c>
      <c r="F229" s="2" t="s">
        <v>31</v>
      </c>
      <c r="G229" s="2" t="s">
        <v>128</v>
      </c>
      <c r="H229" s="2" t="s">
        <v>626</v>
      </c>
      <c r="I229" s="2" t="s">
        <v>25</v>
      </c>
      <c r="J229" s="2">
        <v>7</v>
      </c>
    </row>
    <row r="230" spans="1:10" ht="14.25" customHeight="1" x14ac:dyDescent="0.3">
      <c r="A230" s="2">
        <v>229</v>
      </c>
      <c r="B230" s="2" t="s">
        <v>627</v>
      </c>
      <c r="C230" s="2" t="s">
        <v>619</v>
      </c>
      <c r="D230" s="2" t="s">
        <v>243</v>
      </c>
      <c r="E230" s="10">
        <v>44755</v>
      </c>
      <c r="F230" s="2" t="s">
        <v>30</v>
      </c>
      <c r="G230" s="2" t="s">
        <v>135</v>
      </c>
      <c r="H230" s="2" t="s">
        <v>628</v>
      </c>
      <c r="I230" s="2" t="s">
        <v>23</v>
      </c>
      <c r="J230" s="2">
        <v>10</v>
      </c>
    </row>
    <row r="231" spans="1:10" ht="14.25" customHeight="1" x14ac:dyDescent="0.3">
      <c r="A231" s="2">
        <v>230</v>
      </c>
      <c r="B231" s="2" t="s">
        <v>629</v>
      </c>
      <c r="C231" s="2" t="s">
        <v>621</v>
      </c>
      <c r="D231" s="2" t="s">
        <v>246</v>
      </c>
      <c r="E231" s="10">
        <v>44755</v>
      </c>
      <c r="F231" s="2" t="s">
        <v>31</v>
      </c>
      <c r="G231" s="2" t="s">
        <v>128</v>
      </c>
      <c r="H231" s="2" t="s">
        <v>630</v>
      </c>
      <c r="I231" s="2" t="s">
        <v>24</v>
      </c>
      <c r="J231" s="2">
        <v>10</v>
      </c>
    </row>
    <row r="232" spans="1:10" ht="14.25" customHeight="1" x14ac:dyDescent="0.3">
      <c r="A232" s="2">
        <v>231</v>
      </c>
      <c r="B232" s="2" t="s">
        <v>631</v>
      </c>
      <c r="C232" s="2" t="s">
        <v>623</v>
      </c>
      <c r="D232" s="2" t="s">
        <v>249</v>
      </c>
      <c r="E232" s="10">
        <v>44727</v>
      </c>
      <c r="F232" s="2" t="s">
        <v>30</v>
      </c>
      <c r="G232" s="2" t="s">
        <v>128</v>
      </c>
      <c r="H232" s="2" t="s">
        <v>632</v>
      </c>
      <c r="I232" s="2" t="s">
        <v>25</v>
      </c>
      <c r="J232" s="2">
        <v>8</v>
      </c>
    </row>
    <row r="233" spans="1:10" ht="14.25" customHeight="1" x14ac:dyDescent="0.3">
      <c r="A233" s="2">
        <v>232</v>
      </c>
      <c r="B233" s="2" t="s">
        <v>633</v>
      </c>
      <c r="C233" s="2" t="s">
        <v>625</v>
      </c>
      <c r="D233" s="2" t="s">
        <v>252</v>
      </c>
      <c r="E233" s="10">
        <v>44746</v>
      </c>
      <c r="F233" s="2" t="s">
        <v>31</v>
      </c>
      <c r="G233" s="2" t="s">
        <v>128</v>
      </c>
      <c r="H233" s="2" t="s">
        <v>634</v>
      </c>
      <c r="I233" s="2" t="s">
        <v>23</v>
      </c>
      <c r="J233" s="2">
        <v>10</v>
      </c>
    </row>
    <row r="234" spans="1:10" ht="14.25" customHeight="1" x14ac:dyDescent="0.3">
      <c r="A234" s="2">
        <v>233</v>
      </c>
      <c r="B234" s="2" t="s">
        <v>635</v>
      </c>
      <c r="C234" s="2" t="s">
        <v>627</v>
      </c>
      <c r="D234" s="2" t="s">
        <v>255</v>
      </c>
      <c r="E234" s="10">
        <v>44740</v>
      </c>
      <c r="F234" s="2" t="s">
        <v>31</v>
      </c>
      <c r="G234" s="2" t="s">
        <v>128</v>
      </c>
      <c r="H234" s="2" t="s">
        <v>636</v>
      </c>
      <c r="I234" s="2" t="s">
        <v>24</v>
      </c>
      <c r="J234" s="2">
        <v>9</v>
      </c>
    </row>
    <row r="235" spans="1:10" ht="14.25" customHeight="1" x14ac:dyDescent="0.3">
      <c r="A235" s="2">
        <v>234</v>
      </c>
      <c r="B235" s="2" t="s">
        <v>637</v>
      </c>
      <c r="C235" s="2" t="s">
        <v>629</v>
      </c>
      <c r="D235" s="2" t="s">
        <v>258</v>
      </c>
      <c r="E235" s="10">
        <v>44743</v>
      </c>
      <c r="F235" s="2" t="s">
        <v>30</v>
      </c>
      <c r="G235" s="2" t="s">
        <v>128</v>
      </c>
      <c r="H235" s="2" t="s">
        <v>638</v>
      </c>
      <c r="I235" s="2" t="s">
        <v>25</v>
      </c>
      <c r="J235" s="2">
        <v>9</v>
      </c>
    </row>
    <row r="236" spans="1:10" ht="14.25" customHeight="1" x14ac:dyDescent="0.3">
      <c r="A236" s="2">
        <v>235</v>
      </c>
      <c r="B236" s="2" t="s">
        <v>639</v>
      </c>
      <c r="C236" s="2" t="s">
        <v>631</v>
      </c>
      <c r="D236" s="2" t="s">
        <v>188</v>
      </c>
      <c r="E236" s="10">
        <v>44737</v>
      </c>
      <c r="F236" s="2" t="s">
        <v>31</v>
      </c>
      <c r="G236" s="2" t="s">
        <v>135</v>
      </c>
      <c r="H236" s="2" t="s">
        <v>640</v>
      </c>
      <c r="I236" s="2" t="s">
        <v>23</v>
      </c>
      <c r="J236" s="2">
        <v>9</v>
      </c>
    </row>
    <row r="237" spans="1:10" ht="14.25" customHeight="1" x14ac:dyDescent="0.3">
      <c r="A237" s="2">
        <v>236</v>
      </c>
      <c r="B237" s="2" t="s">
        <v>641</v>
      </c>
      <c r="C237" s="2" t="s">
        <v>633</v>
      </c>
      <c r="D237" s="2" t="s">
        <v>191</v>
      </c>
      <c r="E237" s="10">
        <v>44757</v>
      </c>
      <c r="F237" s="2" t="s">
        <v>30</v>
      </c>
      <c r="G237" s="2" t="s">
        <v>128</v>
      </c>
      <c r="H237" s="2" t="s">
        <v>642</v>
      </c>
      <c r="I237" s="2" t="s">
        <v>24</v>
      </c>
      <c r="J237" s="2">
        <v>10</v>
      </c>
    </row>
    <row r="238" spans="1:10" ht="14.25" customHeight="1" x14ac:dyDescent="0.3">
      <c r="A238" s="2">
        <v>237</v>
      </c>
      <c r="B238" s="2" t="s">
        <v>643</v>
      </c>
      <c r="C238" s="2" t="s">
        <v>635</v>
      </c>
      <c r="D238" s="2" t="s">
        <v>194</v>
      </c>
      <c r="E238" s="10">
        <v>44745</v>
      </c>
      <c r="F238" s="2" t="s">
        <v>31</v>
      </c>
      <c r="G238" s="2" t="s">
        <v>128</v>
      </c>
      <c r="H238" s="2" t="s">
        <v>644</v>
      </c>
      <c r="I238" s="2" t="s">
        <v>25</v>
      </c>
      <c r="J238" s="2">
        <v>9</v>
      </c>
    </row>
    <row r="239" spans="1:10" ht="14.25" customHeight="1" x14ac:dyDescent="0.3">
      <c r="A239" s="2">
        <v>238</v>
      </c>
      <c r="B239" s="2" t="s">
        <v>645</v>
      </c>
      <c r="C239" s="2" t="s">
        <v>637</v>
      </c>
      <c r="D239" s="2" t="s">
        <v>197</v>
      </c>
      <c r="E239" s="10">
        <v>44760</v>
      </c>
      <c r="F239" s="2" t="s">
        <v>30</v>
      </c>
      <c r="G239" s="2" t="s">
        <v>128</v>
      </c>
      <c r="H239" s="2" t="s">
        <v>646</v>
      </c>
      <c r="I239" s="2" t="s">
        <v>23</v>
      </c>
      <c r="J239" s="2">
        <v>10</v>
      </c>
    </row>
    <row r="240" spans="1:10" ht="14.25" customHeight="1" x14ac:dyDescent="0.3">
      <c r="A240" s="2">
        <v>239</v>
      </c>
      <c r="B240" s="2" t="s">
        <v>647</v>
      </c>
      <c r="C240" s="2" t="s">
        <v>639</v>
      </c>
      <c r="D240" s="2" t="s">
        <v>200</v>
      </c>
      <c r="E240" s="10">
        <v>44750</v>
      </c>
      <c r="F240" s="2" t="s">
        <v>31</v>
      </c>
      <c r="G240" s="2" t="s">
        <v>128</v>
      </c>
      <c r="H240" s="2" t="s">
        <v>648</v>
      </c>
      <c r="I240" s="2" t="s">
        <v>24</v>
      </c>
      <c r="J240" s="2">
        <v>9</v>
      </c>
    </row>
    <row r="241" spans="1:10" ht="14.25" customHeight="1" x14ac:dyDescent="0.3">
      <c r="A241" s="2">
        <v>240</v>
      </c>
      <c r="B241" s="2" t="s">
        <v>649</v>
      </c>
      <c r="C241" s="2" t="s">
        <v>641</v>
      </c>
      <c r="D241" s="2" t="s">
        <v>203</v>
      </c>
      <c r="E241" s="10">
        <v>44742</v>
      </c>
      <c r="F241" s="2" t="s">
        <v>29</v>
      </c>
      <c r="G241" s="2" t="s">
        <v>128</v>
      </c>
      <c r="H241" s="2" t="s">
        <v>650</v>
      </c>
      <c r="I241" s="2" t="s">
        <v>25</v>
      </c>
      <c r="J241" s="2">
        <v>8</v>
      </c>
    </row>
    <row r="242" spans="1:10" ht="14.25" customHeight="1" x14ac:dyDescent="0.3">
      <c r="A242" s="2">
        <v>241</v>
      </c>
      <c r="B242" s="2" t="s">
        <v>651</v>
      </c>
      <c r="C242" s="2" t="s">
        <v>643</v>
      </c>
      <c r="D242" s="2" t="s">
        <v>207</v>
      </c>
      <c r="E242" s="10">
        <v>44754</v>
      </c>
      <c r="F242" s="2" t="s">
        <v>30</v>
      </c>
      <c r="G242" s="2" t="s">
        <v>128</v>
      </c>
      <c r="H242" s="2" t="s">
        <v>652</v>
      </c>
      <c r="I242" s="2" t="s">
        <v>23</v>
      </c>
      <c r="J242" s="2">
        <v>7</v>
      </c>
    </row>
    <row r="243" spans="1:10" ht="14.25" customHeight="1" x14ac:dyDescent="0.3">
      <c r="A243" s="2">
        <v>242</v>
      </c>
      <c r="B243" s="2" t="s">
        <v>653</v>
      </c>
      <c r="C243" s="2" t="s">
        <v>645</v>
      </c>
      <c r="D243" s="2" t="s">
        <v>210</v>
      </c>
      <c r="E243" s="10">
        <v>44746</v>
      </c>
      <c r="F243" s="2" t="s">
        <v>31</v>
      </c>
      <c r="G243" s="2" t="s">
        <v>128</v>
      </c>
      <c r="H243" s="2" t="s">
        <v>654</v>
      </c>
      <c r="I243" s="2" t="s">
        <v>24</v>
      </c>
      <c r="J243" s="2">
        <v>10</v>
      </c>
    </row>
    <row r="244" spans="1:10" ht="14.25" customHeight="1" x14ac:dyDescent="0.3">
      <c r="A244" s="2">
        <v>243</v>
      </c>
      <c r="B244" s="2" t="s">
        <v>655</v>
      </c>
      <c r="C244" s="2" t="s">
        <v>647</v>
      </c>
      <c r="D244" s="2" t="s">
        <v>213</v>
      </c>
      <c r="E244" s="10">
        <v>44752</v>
      </c>
      <c r="F244" s="2" t="s">
        <v>31</v>
      </c>
      <c r="G244" s="2" t="s">
        <v>128</v>
      </c>
      <c r="H244" s="2" t="s">
        <v>656</v>
      </c>
      <c r="I244" s="2" t="s">
        <v>25</v>
      </c>
      <c r="J244" s="2">
        <v>7</v>
      </c>
    </row>
    <row r="245" spans="1:10" ht="14.25" customHeight="1" x14ac:dyDescent="0.3">
      <c r="A245" s="2">
        <v>244</v>
      </c>
      <c r="B245" s="2" t="s">
        <v>657</v>
      </c>
      <c r="C245" s="2" t="s">
        <v>649</v>
      </c>
      <c r="D245" s="2" t="s">
        <v>216</v>
      </c>
      <c r="E245" s="10">
        <v>44725</v>
      </c>
      <c r="F245" s="2" t="s">
        <v>30</v>
      </c>
      <c r="G245" s="2" t="s">
        <v>128</v>
      </c>
      <c r="H245" s="2" t="s">
        <v>658</v>
      </c>
      <c r="I245" s="2" t="s">
        <v>23</v>
      </c>
      <c r="J245" s="2">
        <v>8</v>
      </c>
    </row>
    <row r="246" spans="1:10" ht="14.25" customHeight="1" x14ac:dyDescent="0.3">
      <c r="A246" s="2">
        <v>245</v>
      </c>
      <c r="B246" s="2" t="s">
        <v>659</v>
      </c>
      <c r="C246" s="2" t="s">
        <v>651</v>
      </c>
      <c r="D246" s="2" t="s">
        <v>127</v>
      </c>
      <c r="E246" s="10">
        <v>44734</v>
      </c>
      <c r="F246" s="2" t="s">
        <v>31</v>
      </c>
      <c r="G246" s="2" t="s">
        <v>128</v>
      </c>
      <c r="H246" s="2" t="s">
        <v>660</v>
      </c>
      <c r="I246" s="2" t="s">
        <v>24</v>
      </c>
      <c r="J246" s="2">
        <v>9</v>
      </c>
    </row>
    <row r="247" spans="1:10" ht="14.25" customHeight="1" x14ac:dyDescent="0.3">
      <c r="A247" s="2">
        <v>246</v>
      </c>
      <c r="B247" s="2" t="s">
        <v>661</v>
      </c>
      <c r="C247" s="2" t="s">
        <v>653</v>
      </c>
      <c r="D247" s="2" t="s">
        <v>131</v>
      </c>
      <c r="E247" s="10">
        <v>44761</v>
      </c>
      <c r="F247" s="2" t="s">
        <v>30</v>
      </c>
      <c r="G247" s="2" t="s">
        <v>128</v>
      </c>
      <c r="H247" s="2" t="s">
        <v>662</v>
      </c>
      <c r="I247" s="2" t="s">
        <v>25</v>
      </c>
      <c r="J247" s="2">
        <v>9</v>
      </c>
    </row>
    <row r="248" spans="1:10" ht="14.25" customHeight="1" x14ac:dyDescent="0.3">
      <c r="A248" s="2">
        <v>247</v>
      </c>
      <c r="B248" s="2" t="s">
        <v>663</v>
      </c>
      <c r="C248" s="2" t="s">
        <v>655</v>
      </c>
      <c r="D248" s="2" t="s">
        <v>134</v>
      </c>
      <c r="E248" s="10">
        <v>44735</v>
      </c>
      <c r="F248" s="2" t="s">
        <v>31</v>
      </c>
      <c r="G248" s="2" t="s">
        <v>128</v>
      </c>
      <c r="H248" s="2" t="s">
        <v>664</v>
      </c>
      <c r="I248" s="2" t="s">
        <v>23</v>
      </c>
      <c r="J248" s="2">
        <v>9</v>
      </c>
    </row>
    <row r="249" spans="1:10" ht="14.25" customHeight="1" x14ac:dyDescent="0.3">
      <c r="A249" s="2">
        <v>248</v>
      </c>
      <c r="B249" s="2" t="s">
        <v>665</v>
      </c>
      <c r="C249" s="2" t="s">
        <v>657</v>
      </c>
      <c r="D249" s="2" t="s">
        <v>138</v>
      </c>
      <c r="E249" s="10">
        <v>44753</v>
      </c>
      <c r="F249" s="2" t="s">
        <v>31</v>
      </c>
      <c r="G249" s="2" t="s">
        <v>128</v>
      </c>
      <c r="H249" s="2" t="s">
        <v>666</v>
      </c>
      <c r="I249" s="2" t="s">
        <v>24</v>
      </c>
      <c r="J249" s="2">
        <v>9</v>
      </c>
    </row>
    <row r="250" spans="1:10" ht="14.25" customHeight="1" x14ac:dyDescent="0.3">
      <c r="A250" s="2">
        <v>249</v>
      </c>
      <c r="B250" s="2" t="s">
        <v>667</v>
      </c>
      <c r="C250" s="2" t="s">
        <v>659</v>
      </c>
      <c r="D250" s="2" t="s">
        <v>141</v>
      </c>
      <c r="E250" s="10">
        <v>44732</v>
      </c>
      <c r="F250" s="2" t="s">
        <v>30</v>
      </c>
      <c r="G250" s="2" t="s">
        <v>128</v>
      </c>
      <c r="H250" s="2" t="s">
        <v>668</v>
      </c>
      <c r="I250" s="2" t="s">
        <v>25</v>
      </c>
      <c r="J250" s="2">
        <v>9</v>
      </c>
    </row>
    <row r="251" spans="1:10" ht="14.25" customHeight="1" x14ac:dyDescent="0.3">
      <c r="A251" s="2">
        <v>250</v>
      </c>
      <c r="B251" s="2" t="s">
        <v>669</v>
      </c>
      <c r="C251" s="2" t="s">
        <v>661</v>
      </c>
      <c r="D251" s="2" t="s">
        <v>144</v>
      </c>
      <c r="E251" s="10">
        <v>44748</v>
      </c>
      <c r="F251" s="2" t="s">
        <v>31</v>
      </c>
      <c r="G251" s="2" t="s">
        <v>128</v>
      </c>
      <c r="H251" s="2" t="s">
        <v>670</v>
      </c>
      <c r="I251" s="2" t="s">
        <v>25</v>
      </c>
      <c r="J251" s="2">
        <v>7</v>
      </c>
    </row>
    <row r="252" spans="1:10" ht="14.25" customHeight="1" x14ac:dyDescent="0.3">
      <c r="A252" s="2">
        <v>251</v>
      </c>
      <c r="B252" s="2" t="s">
        <v>671</v>
      </c>
      <c r="C252" s="2" t="s">
        <v>663</v>
      </c>
      <c r="D252" s="2" t="s">
        <v>127</v>
      </c>
      <c r="E252" s="10">
        <v>44731</v>
      </c>
      <c r="F252" s="2" t="s">
        <v>30</v>
      </c>
      <c r="G252" s="2" t="s">
        <v>128</v>
      </c>
      <c r="H252" s="2" t="s">
        <v>672</v>
      </c>
      <c r="I252" s="2" t="s">
        <v>25</v>
      </c>
      <c r="J252" s="2">
        <v>9</v>
      </c>
    </row>
    <row r="253" spans="1:10" ht="14.25" customHeight="1" x14ac:dyDescent="0.3">
      <c r="A253" s="2">
        <v>252</v>
      </c>
      <c r="B253" s="2" t="s">
        <v>673</v>
      </c>
      <c r="C253" s="2" t="s">
        <v>665</v>
      </c>
      <c r="D253" s="2" t="s">
        <v>131</v>
      </c>
      <c r="E253" s="10">
        <v>44725</v>
      </c>
      <c r="F253" s="2" t="s">
        <v>31</v>
      </c>
      <c r="G253" s="2" t="s">
        <v>128</v>
      </c>
      <c r="H253" s="2" t="s">
        <v>674</v>
      </c>
      <c r="I253" s="2" t="s">
        <v>23</v>
      </c>
      <c r="J253" s="2">
        <v>7</v>
      </c>
    </row>
    <row r="254" spans="1:10" ht="14.25" customHeight="1" x14ac:dyDescent="0.3">
      <c r="A254" s="2">
        <v>253</v>
      </c>
      <c r="B254" s="2" t="s">
        <v>675</v>
      </c>
      <c r="C254" s="2" t="s">
        <v>667</v>
      </c>
      <c r="D254" s="2" t="s">
        <v>134</v>
      </c>
      <c r="E254" s="10">
        <v>44753</v>
      </c>
      <c r="F254" s="2" t="s">
        <v>29</v>
      </c>
      <c r="G254" s="2" t="s">
        <v>135</v>
      </c>
      <c r="H254" s="2" t="s">
        <v>676</v>
      </c>
      <c r="I254" s="2" t="s">
        <v>24</v>
      </c>
      <c r="J254" s="2">
        <v>8</v>
      </c>
    </row>
    <row r="255" spans="1:10" ht="14.25" customHeight="1" x14ac:dyDescent="0.3">
      <c r="A255" s="2">
        <v>254</v>
      </c>
      <c r="B255" s="2" t="s">
        <v>677</v>
      </c>
      <c r="C255" s="2" t="s">
        <v>669</v>
      </c>
      <c r="D255" s="2" t="s">
        <v>138</v>
      </c>
      <c r="E255" s="10">
        <v>44738</v>
      </c>
      <c r="F255" s="2" t="s">
        <v>30</v>
      </c>
      <c r="G255" s="2" t="s">
        <v>128</v>
      </c>
      <c r="H255" s="2" t="s">
        <v>678</v>
      </c>
      <c r="I255" s="2" t="s">
        <v>25</v>
      </c>
      <c r="J255" s="2">
        <v>6</v>
      </c>
    </row>
    <row r="256" spans="1:10" ht="14.25" customHeight="1" x14ac:dyDescent="0.3">
      <c r="A256" s="2">
        <v>255</v>
      </c>
      <c r="B256" s="2" t="s">
        <v>679</v>
      </c>
      <c r="C256" s="2" t="s">
        <v>671</v>
      </c>
      <c r="D256" s="2" t="s">
        <v>141</v>
      </c>
      <c r="E256" s="10">
        <v>44762</v>
      </c>
      <c r="F256" s="2" t="s">
        <v>31</v>
      </c>
      <c r="G256" s="2" t="s">
        <v>128</v>
      </c>
      <c r="H256" s="2" t="s">
        <v>680</v>
      </c>
      <c r="I256" s="2" t="s">
        <v>23</v>
      </c>
      <c r="J256" s="2">
        <v>2</v>
      </c>
    </row>
    <row r="257" spans="1:10" ht="14.25" customHeight="1" x14ac:dyDescent="0.3">
      <c r="A257" s="2">
        <v>256</v>
      </c>
      <c r="B257" s="2" t="s">
        <v>681</v>
      </c>
      <c r="C257" s="2" t="s">
        <v>673</v>
      </c>
      <c r="D257" s="2" t="s">
        <v>144</v>
      </c>
      <c r="E257" s="10">
        <v>44756</v>
      </c>
      <c r="F257" s="2" t="s">
        <v>31</v>
      </c>
      <c r="G257" s="2" t="s">
        <v>128</v>
      </c>
      <c r="H257" s="2" t="s">
        <v>682</v>
      </c>
      <c r="I257" s="2" t="s">
        <v>24</v>
      </c>
      <c r="J257" s="2">
        <v>4</v>
      </c>
    </row>
    <row r="258" spans="1:10" ht="14.25" customHeight="1" x14ac:dyDescent="0.3">
      <c r="A258" s="2">
        <v>257</v>
      </c>
      <c r="B258" s="2" t="s">
        <v>683</v>
      </c>
      <c r="C258" s="2" t="s">
        <v>675</v>
      </c>
      <c r="D258" s="2" t="s">
        <v>147</v>
      </c>
      <c r="E258" s="10">
        <v>44744</v>
      </c>
      <c r="F258" s="2" t="s">
        <v>30</v>
      </c>
      <c r="G258" s="2" t="s">
        <v>128</v>
      </c>
      <c r="H258" s="2" t="s">
        <v>684</v>
      </c>
      <c r="I258" s="2" t="s">
        <v>25</v>
      </c>
      <c r="J258" s="2">
        <v>1</v>
      </c>
    </row>
    <row r="259" spans="1:10" ht="14.25" customHeight="1" x14ac:dyDescent="0.3">
      <c r="A259" s="2">
        <v>258</v>
      </c>
      <c r="B259" s="2" t="s">
        <v>685</v>
      </c>
      <c r="C259" s="2" t="s">
        <v>677</v>
      </c>
      <c r="D259" s="2" t="s">
        <v>147</v>
      </c>
      <c r="E259" s="10">
        <v>44753</v>
      </c>
      <c r="F259" s="2" t="s">
        <v>31</v>
      </c>
      <c r="G259" s="2" t="s">
        <v>128</v>
      </c>
      <c r="H259" s="2" t="s">
        <v>686</v>
      </c>
      <c r="I259" s="2" t="s">
        <v>23</v>
      </c>
      <c r="J259" s="2">
        <v>9</v>
      </c>
    </row>
    <row r="260" spans="1:10" ht="14.25" customHeight="1" x14ac:dyDescent="0.3">
      <c r="A260" s="2">
        <v>259</v>
      </c>
      <c r="B260" s="2" t="s">
        <v>687</v>
      </c>
      <c r="C260" s="2" t="s">
        <v>679</v>
      </c>
      <c r="D260" s="2" t="s">
        <v>153</v>
      </c>
      <c r="E260" s="10">
        <v>44762</v>
      </c>
      <c r="F260" s="2" t="s">
        <v>31</v>
      </c>
      <c r="G260" s="2" t="s">
        <v>135</v>
      </c>
      <c r="H260" s="2" t="s">
        <v>688</v>
      </c>
      <c r="I260" s="2" t="s">
        <v>24</v>
      </c>
      <c r="J260" s="2">
        <v>6</v>
      </c>
    </row>
    <row r="261" spans="1:10" ht="14.25" customHeight="1" x14ac:dyDescent="0.3">
      <c r="A261" s="2">
        <v>260</v>
      </c>
      <c r="B261" s="2" t="s">
        <v>689</v>
      </c>
      <c r="C261" s="2" t="s">
        <v>681</v>
      </c>
      <c r="D261" s="2" t="s">
        <v>144</v>
      </c>
      <c r="E261" s="10">
        <v>44740</v>
      </c>
      <c r="F261" s="2" t="s">
        <v>30</v>
      </c>
      <c r="G261" s="2" t="s">
        <v>128</v>
      </c>
      <c r="H261" s="2" t="s">
        <v>690</v>
      </c>
      <c r="I261" s="2" t="s">
        <v>25</v>
      </c>
      <c r="J261" s="2">
        <v>9</v>
      </c>
    </row>
    <row r="262" spans="1:10" ht="14.25" customHeight="1" x14ac:dyDescent="0.3">
      <c r="A262" s="2">
        <v>261</v>
      </c>
      <c r="B262" s="2" t="s">
        <v>691</v>
      </c>
      <c r="C262" s="2" t="s">
        <v>683</v>
      </c>
      <c r="D262" s="2" t="s">
        <v>158</v>
      </c>
      <c r="E262" s="10">
        <v>44729</v>
      </c>
      <c r="F262" s="2" t="s">
        <v>31</v>
      </c>
      <c r="G262" s="2" t="s">
        <v>128</v>
      </c>
      <c r="H262" s="2" t="s">
        <v>692</v>
      </c>
      <c r="I262" s="2" t="s">
        <v>23</v>
      </c>
      <c r="J262" s="2">
        <v>9</v>
      </c>
    </row>
    <row r="263" spans="1:10" ht="14.25" customHeight="1" x14ac:dyDescent="0.3">
      <c r="A263" s="2">
        <v>262</v>
      </c>
      <c r="B263" s="2" t="s">
        <v>693</v>
      </c>
      <c r="C263" s="2" t="s">
        <v>685</v>
      </c>
      <c r="D263" s="2" t="s">
        <v>161</v>
      </c>
      <c r="E263" s="10">
        <v>44727</v>
      </c>
      <c r="F263" s="2" t="s">
        <v>29</v>
      </c>
      <c r="G263" s="2" t="s">
        <v>128</v>
      </c>
      <c r="H263" s="2" t="s">
        <v>694</v>
      </c>
      <c r="I263" s="2" t="s">
        <v>24</v>
      </c>
      <c r="J263" s="2">
        <v>3</v>
      </c>
    </row>
    <row r="264" spans="1:10" ht="14.25" customHeight="1" x14ac:dyDescent="0.3">
      <c r="A264" s="2">
        <v>263</v>
      </c>
      <c r="B264" s="2" t="s">
        <v>695</v>
      </c>
      <c r="C264" s="2" t="s">
        <v>687</v>
      </c>
      <c r="D264" s="2" t="s">
        <v>164</v>
      </c>
      <c r="E264" s="10">
        <v>44734</v>
      </c>
      <c r="F264" s="2" t="s">
        <v>30</v>
      </c>
      <c r="G264" s="2" t="s">
        <v>128</v>
      </c>
      <c r="H264" s="2" t="s">
        <v>696</v>
      </c>
      <c r="I264" s="2" t="s">
        <v>25</v>
      </c>
      <c r="J264" s="2">
        <v>2</v>
      </c>
    </row>
    <row r="265" spans="1:10" ht="14.25" customHeight="1" x14ac:dyDescent="0.3">
      <c r="A265" s="2">
        <v>264</v>
      </c>
      <c r="B265" s="2" t="s">
        <v>697</v>
      </c>
      <c r="C265" s="2" t="s">
        <v>689</v>
      </c>
      <c r="D265" s="2" t="s">
        <v>167</v>
      </c>
      <c r="E265" s="10">
        <v>44744</v>
      </c>
      <c r="F265" s="2" t="s">
        <v>31</v>
      </c>
      <c r="G265" s="2" t="s">
        <v>128</v>
      </c>
      <c r="H265" s="2" t="s">
        <v>698</v>
      </c>
      <c r="I265" s="2" t="s">
        <v>23</v>
      </c>
      <c r="J265" s="2">
        <v>3</v>
      </c>
    </row>
    <row r="266" spans="1:10" ht="14.25" customHeight="1" x14ac:dyDescent="0.3">
      <c r="A266" s="2">
        <v>265</v>
      </c>
      <c r="B266" s="2" t="s">
        <v>699</v>
      </c>
      <c r="C266" s="2" t="s">
        <v>691</v>
      </c>
      <c r="D266" s="2" t="s">
        <v>144</v>
      </c>
      <c r="E266" s="10">
        <v>44737</v>
      </c>
      <c r="F266" s="2" t="s">
        <v>29</v>
      </c>
      <c r="G266" s="2" t="s">
        <v>135</v>
      </c>
      <c r="H266" s="2" t="s">
        <v>700</v>
      </c>
      <c r="I266" s="2" t="s">
        <v>24</v>
      </c>
      <c r="J266" s="2">
        <v>10</v>
      </c>
    </row>
    <row r="267" spans="1:10" ht="14.25" customHeight="1" x14ac:dyDescent="0.3">
      <c r="A267" s="2">
        <v>266</v>
      </c>
      <c r="B267" s="2" t="s">
        <v>701</v>
      </c>
      <c r="C267" s="2" t="s">
        <v>693</v>
      </c>
      <c r="D267" s="2" t="s">
        <v>172</v>
      </c>
      <c r="E267" s="10">
        <v>44752</v>
      </c>
      <c r="F267" s="2" t="s">
        <v>30</v>
      </c>
      <c r="G267" s="2" t="s">
        <v>128</v>
      </c>
      <c r="H267" s="2" t="s">
        <v>702</v>
      </c>
      <c r="I267" s="2" t="s">
        <v>25</v>
      </c>
      <c r="J267" s="2">
        <v>3</v>
      </c>
    </row>
    <row r="268" spans="1:10" ht="14.25" customHeight="1" x14ac:dyDescent="0.3">
      <c r="A268" s="2">
        <v>267</v>
      </c>
      <c r="B268" s="2" t="s">
        <v>703</v>
      </c>
      <c r="C268" s="2" t="s">
        <v>695</v>
      </c>
      <c r="D268" s="2" t="s">
        <v>161</v>
      </c>
      <c r="E268" s="10">
        <v>44736</v>
      </c>
      <c r="F268" s="2" t="s">
        <v>31</v>
      </c>
      <c r="G268" s="2" t="s">
        <v>128</v>
      </c>
      <c r="H268" s="2" t="s">
        <v>704</v>
      </c>
      <c r="I268" s="2" t="s">
        <v>23</v>
      </c>
      <c r="J268" s="2">
        <v>1</v>
      </c>
    </row>
    <row r="269" spans="1:10" ht="14.25" customHeight="1" x14ac:dyDescent="0.3">
      <c r="A269" s="2">
        <v>268</v>
      </c>
      <c r="B269" s="2" t="s">
        <v>705</v>
      </c>
      <c r="C269" s="2" t="s">
        <v>697</v>
      </c>
      <c r="D269" s="2" t="s">
        <v>141</v>
      </c>
      <c r="E269" s="10">
        <v>44752</v>
      </c>
      <c r="F269" s="2" t="s">
        <v>29</v>
      </c>
      <c r="G269" s="2" t="s">
        <v>128</v>
      </c>
      <c r="H269" s="2" t="s">
        <v>706</v>
      </c>
      <c r="I269" s="2" t="s">
        <v>24</v>
      </c>
      <c r="J269" s="2">
        <v>5</v>
      </c>
    </row>
    <row r="270" spans="1:10" ht="14.25" customHeight="1" x14ac:dyDescent="0.3">
      <c r="A270" s="2">
        <v>269</v>
      </c>
      <c r="B270" s="2" t="s">
        <v>707</v>
      </c>
      <c r="C270" s="2" t="s">
        <v>699</v>
      </c>
      <c r="D270" s="2" t="s">
        <v>179</v>
      </c>
      <c r="E270" s="10">
        <v>44759</v>
      </c>
      <c r="F270" s="2" t="s">
        <v>30</v>
      </c>
      <c r="G270" s="2" t="s">
        <v>128</v>
      </c>
      <c r="H270" s="2" t="s">
        <v>708</v>
      </c>
      <c r="I270" s="2" t="s">
        <v>25</v>
      </c>
      <c r="J270" s="2">
        <v>1</v>
      </c>
    </row>
    <row r="271" spans="1:10" ht="14.25" customHeight="1" x14ac:dyDescent="0.3">
      <c r="A271" s="2">
        <v>270</v>
      </c>
      <c r="B271" s="2" t="s">
        <v>709</v>
      </c>
      <c r="C271" s="2" t="s">
        <v>701</v>
      </c>
      <c r="D271" s="2" t="s">
        <v>182</v>
      </c>
      <c r="E271" s="10">
        <v>44763</v>
      </c>
      <c r="F271" s="2" t="s">
        <v>31</v>
      </c>
      <c r="G271" s="2" t="s">
        <v>128</v>
      </c>
      <c r="H271" s="2" t="s">
        <v>710</v>
      </c>
      <c r="I271" s="2" t="s">
        <v>23</v>
      </c>
      <c r="J271" s="2">
        <v>5</v>
      </c>
    </row>
    <row r="272" spans="1:10" ht="14.25" customHeight="1" x14ac:dyDescent="0.3">
      <c r="A272" s="2">
        <v>271</v>
      </c>
      <c r="B272" s="2" t="s">
        <v>711</v>
      </c>
      <c r="C272" s="2" t="s">
        <v>703</v>
      </c>
      <c r="D272" s="2" t="s">
        <v>185</v>
      </c>
      <c r="E272" s="10">
        <v>44763</v>
      </c>
      <c r="F272" s="2" t="s">
        <v>31</v>
      </c>
      <c r="G272" s="2" t="s">
        <v>135</v>
      </c>
      <c r="H272" s="2" t="s">
        <v>712</v>
      </c>
      <c r="I272" s="2" t="s">
        <v>24</v>
      </c>
      <c r="J272" s="2">
        <v>5</v>
      </c>
    </row>
    <row r="273" spans="1:10" ht="14.25" customHeight="1" x14ac:dyDescent="0.3">
      <c r="A273" s="2">
        <v>272</v>
      </c>
      <c r="B273" s="2" t="s">
        <v>713</v>
      </c>
      <c r="C273" s="2" t="s">
        <v>705</v>
      </c>
      <c r="D273" s="2" t="s">
        <v>188</v>
      </c>
      <c r="E273" s="10">
        <v>44750</v>
      </c>
      <c r="F273" s="2" t="s">
        <v>30</v>
      </c>
      <c r="G273" s="2" t="s">
        <v>128</v>
      </c>
      <c r="H273" s="2" t="s">
        <v>714</v>
      </c>
      <c r="I273" s="2" t="s">
        <v>25</v>
      </c>
      <c r="J273" s="2">
        <v>3</v>
      </c>
    </row>
    <row r="274" spans="1:10" ht="14.25" customHeight="1" x14ac:dyDescent="0.3">
      <c r="A274" s="2">
        <v>273</v>
      </c>
      <c r="B274" s="2" t="s">
        <v>715</v>
      </c>
      <c r="C274" s="2" t="s">
        <v>707</v>
      </c>
      <c r="D274" s="2" t="s">
        <v>191</v>
      </c>
      <c r="E274" s="10">
        <v>44751</v>
      </c>
      <c r="F274" s="2" t="s">
        <v>31</v>
      </c>
      <c r="G274" s="2" t="s">
        <v>128</v>
      </c>
      <c r="H274" s="2" t="s">
        <v>716</v>
      </c>
      <c r="I274" s="2" t="s">
        <v>23</v>
      </c>
      <c r="J274" s="2">
        <v>3</v>
      </c>
    </row>
    <row r="275" spans="1:10" ht="14.25" customHeight="1" x14ac:dyDescent="0.3">
      <c r="A275" s="2">
        <v>274</v>
      </c>
      <c r="B275" s="2" t="s">
        <v>717</v>
      </c>
      <c r="C275" s="2" t="s">
        <v>709</v>
      </c>
      <c r="D275" s="2" t="s">
        <v>194</v>
      </c>
      <c r="E275" s="10">
        <v>44736</v>
      </c>
      <c r="F275" s="2" t="s">
        <v>29</v>
      </c>
      <c r="G275" s="2" t="s">
        <v>128</v>
      </c>
      <c r="H275" s="2" t="s">
        <v>718</v>
      </c>
      <c r="I275" s="2" t="s">
        <v>24</v>
      </c>
      <c r="J275" s="2">
        <v>7</v>
      </c>
    </row>
    <row r="276" spans="1:10" ht="14.25" customHeight="1" x14ac:dyDescent="0.3">
      <c r="A276" s="2">
        <v>275</v>
      </c>
      <c r="B276" s="2" t="s">
        <v>719</v>
      </c>
      <c r="C276" s="2" t="s">
        <v>711</v>
      </c>
      <c r="D276" s="2" t="s">
        <v>197</v>
      </c>
      <c r="E276" s="10">
        <v>44737</v>
      </c>
      <c r="F276" s="2" t="s">
        <v>30</v>
      </c>
      <c r="G276" s="2" t="s">
        <v>128</v>
      </c>
      <c r="H276" s="2" t="s">
        <v>720</v>
      </c>
      <c r="I276" s="2" t="s">
        <v>25</v>
      </c>
      <c r="J276" s="2">
        <v>4</v>
      </c>
    </row>
    <row r="277" spans="1:10" ht="14.25" customHeight="1" x14ac:dyDescent="0.3">
      <c r="A277" s="2">
        <v>276</v>
      </c>
      <c r="B277" s="2" t="s">
        <v>721</v>
      </c>
      <c r="C277" s="2" t="s">
        <v>713</v>
      </c>
      <c r="D277" s="2" t="s">
        <v>200</v>
      </c>
      <c r="E277" s="10">
        <v>44744</v>
      </c>
      <c r="F277" s="2" t="s">
        <v>31</v>
      </c>
      <c r="G277" s="2" t="s">
        <v>128</v>
      </c>
      <c r="H277" s="2" t="s">
        <v>722</v>
      </c>
      <c r="I277" s="2" t="s">
        <v>23</v>
      </c>
      <c r="J277" s="2">
        <v>3</v>
      </c>
    </row>
    <row r="278" spans="1:10" ht="14.25" customHeight="1" x14ac:dyDescent="0.3">
      <c r="A278" s="2">
        <v>277</v>
      </c>
      <c r="B278" s="2" t="s">
        <v>723</v>
      </c>
      <c r="C278" s="2" t="s">
        <v>715</v>
      </c>
      <c r="D278" s="2" t="s">
        <v>203</v>
      </c>
      <c r="E278" s="10">
        <v>44735</v>
      </c>
      <c r="F278" s="2" t="s">
        <v>29</v>
      </c>
      <c r="G278" s="2" t="s">
        <v>135</v>
      </c>
      <c r="H278" s="2" t="s">
        <v>724</v>
      </c>
      <c r="I278" s="2" t="s">
        <v>24</v>
      </c>
      <c r="J278" s="2">
        <v>8</v>
      </c>
    </row>
    <row r="279" spans="1:10" ht="14.25" customHeight="1" x14ac:dyDescent="0.3">
      <c r="A279" s="2">
        <v>278</v>
      </c>
      <c r="B279" s="2" t="s">
        <v>725</v>
      </c>
      <c r="C279" s="2" t="s">
        <v>717</v>
      </c>
      <c r="D279" s="2" t="s">
        <v>207</v>
      </c>
      <c r="E279" s="10">
        <v>44751</v>
      </c>
      <c r="F279" s="2" t="s">
        <v>30</v>
      </c>
      <c r="G279" s="2" t="s">
        <v>128</v>
      </c>
      <c r="H279" s="2" t="s">
        <v>726</v>
      </c>
      <c r="I279" s="2" t="s">
        <v>25</v>
      </c>
      <c r="J279" s="2">
        <v>2</v>
      </c>
    </row>
    <row r="280" spans="1:10" ht="14.25" customHeight="1" x14ac:dyDescent="0.3">
      <c r="A280" s="2">
        <v>279</v>
      </c>
      <c r="B280" s="2" t="s">
        <v>727</v>
      </c>
      <c r="C280" s="2" t="s">
        <v>719</v>
      </c>
      <c r="D280" s="2" t="s">
        <v>210</v>
      </c>
      <c r="E280" s="10">
        <v>44726</v>
      </c>
      <c r="F280" s="2" t="s">
        <v>31</v>
      </c>
      <c r="G280" s="2" t="s">
        <v>128</v>
      </c>
      <c r="H280" s="2" t="s">
        <v>728</v>
      </c>
      <c r="I280" s="2" t="s">
        <v>23</v>
      </c>
      <c r="J280" s="2">
        <v>9</v>
      </c>
    </row>
    <row r="281" spans="1:10" ht="14.25" customHeight="1" x14ac:dyDescent="0.3">
      <c r="A281" s="2">
        <v>280</v>
      </c>
      <c r="B281" s="2" t="s">
        <v>729</v>
      </c>
      <c r="C281" s="2" t="s">
        <v>721</v>
      </c>
      <c r="D281" s="2" t="s">
        <v>213</v>
      </c>
      <c r="E281" s="10">
        <v>44749</v>
      </c>
      <c r="F281" s="2" t="s">
        <v>29</v>
      </c>
      <c r="G281" s="2" t="s">
        <v>128</v>
      </c>
      <c r="H281" s="2" t="s">
        <v>730</v>
      </c>
      <c r="I281" s="2" t="s">
        <v>24</v>
      </c>
      <c r="J281" s="2">
        <v>6</v>
      </c>
    </row>
    <row r="282" spans="1:10" ht="14.25" customHeight="1" x14ac:dyDescent="0.3">
      <c r="A282" s="2">
        <v>281</v>
      </c>
      <c r="B282" s="2" t="s">
        <v>731</v>
      </c>
      <c r="C282" s="2" t="s">
        <v>723</v>
      </c>
      <c r="D282" s="2" t="s">
        <v>216</v>
      </c>
      <c r="E282" s="10">
        <v>44734</v>
      </c>
      <c r="F282" s="2" t="s">
        <v>30</v>
      </c>
      <c r="G282" s="2" t="s">
        <v>128</v>
      </c>
      <c r="H282" s="2" t="s">
        <v>732</v>
      </c>
      <c r="I282" s="2" t="s">
        <v>25</v>
      </c>
      <c r="J282" s="2">
        <v>7</v>
      </c>
    </row>
    <row r="283" spans="1:10" ht="14.25" customHeight="1" x14ac:dyDescent="0.3">
      <c r="A283" s="2">
        <v>282</v>
      </c>
      <c r="B283" s="2" t="s">
        <v>733</v>
      </c>
      <c r="C283" s="2" t="s">
        <v>725</v>
      </c>
      <c r="D283" s="2" t="s">
        <v>219</v>
      </c>
      <c r="E283" s="10">
        <v>44726</v>
      </c>
      <c r="F283" s="2" t="s">
        <v>31</v>
      </c>
      <c r="G283" s="2" t="s">
        <v>128</v>
      </c>
      <c r="H283" s="2" t="s">
        <v>734</v>
      </c>
      <c r="I283" s="2" t="s">
        <v>23</v>
      </c>
      <c r="J283" s="2">
        <v>9</v>
      </c>
    </row>
    <row r="284" spans="1:10" ht="14.25" customHeight="1" x14ac:dyDescent="0.3">
      <c r="A284" s="2">
        <v>283</v>
      </c>
      <c r="B284" s="2" t="s">
        <v>735</v>
      </c>
      <c r="C284" s="2" t="s">
        <v>727</v>
      </c>
      <c r="D284" s="2" t="s">
        <v>167</v>
      </c>
      <c r="E284" s="10">
        <v>44743</v>
      </c>
      <c r="F284" s="2" t="s">
        <v>31</v>
      </c>
      <c r="G284" s="2" t="s">
        <v>135</v>
      </c>
      <c r="H284" s="2" t="s">
        <v>736</v>
      </c>
      <c r="I284" s="2" t="s">
        <v>24</v>
      </c>
      <c r="J284" s="2">
        <v>2</v>
      </c>
    </row>
    <row r="285" spans="1:10" ht="14.25" customHeight="1" x14ac:dyDescent="0.3">
      <c r="A285" s="2">
        <v>284</v>
      </c>
      <c r="B285" s="2" t="s">
        <v>737</v>
      </c>
      <c r="C285" s="2" t="s">
        <v>729</v>
      </c>
      <c r="D285" s="2" t="s">
        <v>191</v>
      </c>
      <c r="E285" s="10">
        <v>44742</v>
      </c>
      <c r="F285" s="2" t="s">
        <v>30</v>
      </c>
      <c r="G285" s="2" t="s">
        <v>128</v>
      </c>
      <c r="H285" s="2" t="s">
        <v>738</v>
      </c>
      <c r="I285" s="2" t="s">
        <v>25</v>
      </c>
      <c r="J285" s="2">
        <v>9</v>
      </c>
    </row>
    <row r="286" spans="1:10" ht="14.25" customHeight="1" x14ac:dyDescent="0.3">
      <c r="A286" s="2">
        <v>285</v>
      </c>
      <c r="B286" s="2" t="s">
        <v>739</v>
      </c>
      <c r="C286" s="2" t="s">
        <v>731</v>
      </c>
      <c r="D286" s="2" t="s">
        <v>207</v>
      </c>
      <c r="E286" s="10">
        <v>44747</v>
      </c>
      <c r="F286" s="2" t="s">
        <v>31</v>
      </c>
      <c r="G286" s="2" t="s">
        <v>128</v>
      </c>
      <c r="H286" s="2" t="s">
        <v>740</v>
      </c>
      <c r="I286" s="2" t="s">
        <v>23</v>
      </c>
      <c r="J286" s="2">
        <v>10</v>
      </c>
    </row>
    <row r="287" spans="1:10" ht="14.25" customHeight="1" x14ac:dyDescent="0.3">
      <c r="A287" s="2">
        <v>286</v>
      </c>
      <c r="B287" s="2" t="s">
        <v>741</v>
      </c>
      <c r="C287" s="2" t="s">
        <v>733</v>
      </c>
      <c r="D287" s="2" t="s">
        <v>141</v>
      </c>
      <c r="E287" s="10">
        <v>44764</v>
      </c>
      <c r="F287" s="2" t="s">
        <v>29</v>
      </c>
      <c r="G287" s="2" t="s">
        <v>128</v>
      </c>
      <c r="H287" s="2" t="s">
        <v>742</v>
      </c>
      <c r="I287" s="2" t="s">
        <v>24</v>
      </c>
      <c r="J287" s="2">
        <v>1</v>
      </c>
    </row>
    <row r="288" spans="1:10" ht="14.25" customHeight="1" x14ac:dyDescent="0.3">
      <c r="A288" s="2">
        <v>287</v>
      </c>
      <c r="B288" s="2" t="s">
        <v>743</v>
      </c>
      <c r="C288" s="2" t="s">
        <v>735</v>
      </c>
      <c r="D288" s="2" t="s">
        <v>172</v>
      </c>
      <c r="E288" s="10">
        <v>44735</v>
      </c>
      <c r="F288" s="2" t="s">
        <v>30</v>
      </c>
      <c r="G288" s="2" t="s">
        <v>128</v>
      </c>
      <c r="H288" s="2" t="s">
        <v>744</v>
      </c>
      <c r="I288" s="2" t="s">
        <v>25</v>
      </c>
      <c r="J288" s="2">
        <v>1</v>
      </c>
    </row>
    <row r="289" spans="1:10" ht="14.25" customHeight="1" x14ac:dyDescent="0.3">
      <c r="A289" s="2">
        <v>288</v>
      </c>
      <c r="B289" s="2" t="s">
        <v>745</v>
      </c>
      <c r="C289" s="2" t="s">
        <v>737</v>
      </c>
      <c r="D289" s="2" t="s">
        <v>213</v>
      </c>
      <c r="E289" s="10">
        <v>44737</v>
      </c>
      <c r="F289" s="2" t="s">
        <v>31</v>
      </c>
      <c r="G289" s="2" t="s">
        <v>128</v>
      </c>
      <c r="H289" s="2" t="s">
        <v>746</v>
      </c>
      <c r="I289" s="2" t="s">
        <v>23</v>
      </c>
      <c r="J289" s="2">
        <v>10</v>
      </c>
    </row>
    <row r="290" spans="1:10" ht="14.25" customHeight="1" x14ac:dyDescent="0.3">
      <c r="A290" s="2">
        <v>289</v>
      </c>
      <c r="B290" s="2" t="s">
        <v>747</v>
      </c>
      <c r="C290" s="2" t="s">
        <v>739</v>
      </c>
      <c r="D290" s="2" t="s">
        <v>216</v>
      </c>
      <c r="E290" s="10">
        <v>44749</v>
      </c>
      <c r="F290" s="2" t="s">
        <v>31</v>
      </c>
      <c r="G290" s="2" t="s">
        <v>135</v>
      </c>
      <c r="H290" s="2" t="s">
        <v>748</v>
      </c>
      <c r="I290" s="2" t="s">
        <v>24</v>
      </c>
      <c r="J290" s="2">
        <v>4</v>
      </c>
    </row>
    <row r="291" spans="1:10" ht="14.25" customHeight="1" x14ac:dyDescent="0.3">
      <c r="A291" s="2">
        <v>290</v>
      </c>
      <c r="B291" s="2" t="s">
        <v>749</v>
      </c>
      <c r="C291" s="2" t="s">
        <v>741</v>
      </c>
      <c r="D291" s="2" t="s">
        <v>238</v>
      </c>
      <c r="E291" s="10">
        <v>44729</v>
      </c>
      <c r="F291" s="2" t="s">
        <v>30</v>
      </c>
      <c r="G291" s="2" t="s">
        <v>128</v>
      </c>
      <c r="H291" s="2" t="s">
        <v>750</v>
      </c>
      <c r="I291" s="2" t="s">
        <v>25</v>
      </c>
      <c r="J291" s="2">
        <v>7</v>
      </c>
    </row>
    <row r="292" spans="1:10" ht="14.25" customHeight="1" x14ac:dyDescent="0.3">
      <c r="A292" s="2">
        <v>291</v>
      </c>
      <c r="B292" s="2" t="s">
        <v>751</v>
      </c>
      <c r="C292" s="2" t="s">
        <v>743</v>
      </c>
      <c r="D292" s="2" t="s">
        <v>158</v>
      </c>
      <c r="E292" s="10">
        <v>44738</v>
      </c>
      <c r="F292" s="2" t="s">
        <v>31</v>
      </c>
      <c r="G292" s="2" t="s">
        <v>128</v>
      </c>
      <c r="H292" s="2" t="s">
        <v>752</v>
      </c>
      <c r="I292" s="2" t="s">
        <v>23</v>
      </c>
      <c r="J292" s="2">
        <v>3</v>
      </c>
    </row>
    <row r="293" spans="1:10" ht="14.25" customHeight="1" x14ac:dyDescent="0.3">
      <c r="A293" s="2">
        <v>292</v>
      </c>
      <c r="B293" s="2" t="s">
        <v>753</v>
      </c>
      <c r="C293" s="2" t="s">
        <v>745</v>
      </c>
      <c r="D293" s="2" t="s">
        <v>243</v>
      </c>
      <c r="E293" s="10">
        <v>44740</v>
      </c>
      <c r="F293" s="2" t="s">
        <v>29</v>
      </c>
      <c r="G293" s="2" t="s">
        <v>128</v>
      </c>
      <c r="H293" s="2" t="s">
        <v>754</v>
      </c>
      <c r="I293" s="2" t="s">
        <v>24</v>
      </c>
      <c r="J293" s="2">
        <v>6</v>
      </c>
    </row>
    <row r="294" spans="1:10" ht="14.25" customHeight="1" x14ac:dyDescent="0.3">
      <c r="A294" s="2">
        <v>293</v>
      </c>
      <c r="B294" s="2" t="s">
        <v>755</v>
      </c>
      <c r="C294" s="2" t="s">
        <v>747</v>
      </c>
      <c r="D294" s="2" t="s">
        <v>246</v>
      </c>
      <c r="E294" s="10">
        <v>44755</v>
      </c>
      <c r="F294" s="2" t="s">
        <v>30</v>
      </c>
      <c r="G294" s="2" t="s">
        <v>128</v>
      </c>
      <c r="H294" s="2" t="s">
        <v>756</v>
      </c>
      <c r="I294" s="2" t="s">
        <v>25</v>
      </c>
      <c r="J294" s="2">
        <v>6</v>
      </c>
    </row>
    <row r="295" spans="1:10" ht="14.25" customHeight="1" x14ac:dyDescent="0.3">
      <c r="A295" s="2">
        <v>294</v>
      </c>
      <c r="B295" s="2" t="s">
        <v>757</v>
      </c>
      <c r="C295" s="2" t="s">
        <v>749</v>
      </c>
      <c r="D295" s="2" t="s">
        <v>249</v>
      </c>
      <c r="E295" s="10">
        <v>44755</v>
      </c>
      <c r="F295" s="2" t="s">
        <v>31</v>
      </c>
      <c r="G295" s="2" t="s">
        <v>128</v>
      </c>
      <c r="H295" s="2" t="s">
        <v>758</v>
      </c>
      <c r="I295" s="2" t="s">
        <v>23</v>
      </c>
      <c r="J295" s="2">
        <v>5</v>
      </c>
    </row>
    <row r="296" spans="1:10" ht="14.25" customHeight="1" x14ac:dyDescent="0.3">
      <c r="A296" s="2">
        <v>295</v>
      </c>
      <c r="B296" s="2" t="s">
        <v>759</v>
      </c>
      <c r="C296" s="2" t="s">
        <v>751</v>
      </c>
      <c r="D296" s="2" t="s">
        <v>252</v>
      </c>
      <c r="E296" s="10">
        <v>44764</v>
      </c>
      <c r="F296" s="2" t="s">
        <v>29</v>
      </c>
      <c r="G296" s="2" t="s">
        <v>135</v>
      </c>
      <c r="H296" s="2" t="s">
        <v>760</v>
      </c>
      <c r="I296" s="2" t="s">
        <v>24</v>
      </c>
      <c r="J296" s="2">
        <v>1</v>
      </c>
    </row>
    <row r="297" spans="1:10" ht="14.25" customHeight="1" x14ac:dyDescent="0.3">
      <c r="A297" s="2">
        <v>296</v>
      </c>
      <c r="B297" s="2" t="s">
        <v>761</v>
      </c>
      <c r="C297" s="2" t="s">
        <v>753</v>
      </c>
      <c r="D297" s="2" t="s">
        <v>255</v>
      </c>
      <c r="E297" s="10">
        <v>44735</v>
      </c>
      <c r="F297" s="2" t="s">
        <v>30</v>
      </c>
      <c r="G297" s="2" t="s">
        <v>128</v>
      </c>
      <c r="H297" s="2" t="s">
        <v>762</v>
      </c>
      <c r="I297" s="2" t="s">
        <v>25</v>
      </c>
      <c r="J297" s="2">
        <v>9</v>
      </c>
    </row>
    <row r="298" spans="1:10" ht="14.25" customHeight="1" x14ac:dyDescent="0.3">
      <c r="A298" s="2">
        <v>297</v>
      </c>
      <c r="B298" s="2" t="s">
        <v>763</v>
      </c>
      <c r="C298" s="2" t="s">
        <v>755</v>
      </c>
      <c r="D298" s="2" t="s">
        <v>258</v>
      </c>
      <c r="E298" s="10">
        <v>44734</v>
      </c>
      <c r="F298" s="2" t="s">
        <v>31</v>
      </c>
      <c r="G298" s="2" t="s">
        <v>128</v>
      </c>
      <c r="H298" s="2" t="s">
        <v>764</v>
      </c>
      <c r="I298" s="2" t="s">
        <v>23</v>
      </c>
      <c r="J298" s="2">
        <v>3</v>
      </c>
    </row>
    <row r="299" spans="1:10" ht="14.25" customHeight="1" x14ac:dyDescent="0.3">
      <c r="A299" s="2">
        <v>298</v>
      </c>
      <c r="B299" s="2" t="s">
        <v>765</v>
      </c>
      <c r="C299" s="2" t="s">
        <v>757</v>
      </c>
      <c r="D299" s="2" t="s">
        <v>261</v>
      </c>
      <c r="E299" s="10">
        <v>44728</v>
      </c>
      <c r="F299" s="2" t="s">
        <v>31</v>
      </c>
      <c r="G299" s="2" t="s">
        <v>128</v>
      </c>
      <c r="H299" s="2" t="s">
        <v>766</v>
      </c>
      <c r="I299" s="2" t="s">
        <v>24</v>
      </c>
      <c r="J299" s="2">
        <v>4</v>
      </c>
    </row>
    <row r="300" spans="1:10" ht="14.25" customHeight="1" x14ac:dyDescent="0.3">
      <c r="A300" s="2">
        <v>299</v>
      </c>
      <c r="B300" s="2" t="s">
        <v>767</v>
      </c>
      <c r="C300" s="2" t="s">
        <v>759</v>
      </c>
      <c r="D300" s="2" t="s">
        <v>264</v>
      </c>
      <c r="E300" s="10">
        <v>44739</v>
      </c>
      <c r="F300" s="2" t="s">
        <v>30</v>
      </c>
      <c r="G300" s="2" t="s">
        <v>128</v>
      </c>
      <c r="H300" s="2" t="s">
        <v>768</v>
      </c>
      <c r="I300" s="2" t="s">
        <v>25</v>
      </c>
      <c r="J300" s="2">
        <v>8</v>
      </c>
    </row>
    <row r="301" spans="1:10" ht="14.25" customHeight="1" x14ac:dyDescent="0.3">
      <c r="A301" s="2">
        <v>300</v>
      </c>
      <c r="B301" s="2" t="s">
        <v>769</v>
      </c>
      <c r="C301" s="2" t="s">
        <v>761</v>
      </c>
      <c r="D301" s="2" t="s">
        <v>267</v>
      </c>
      <c r="E301" s="10">
        <v>44765</v>
      </c>
      <c r="F301" s="2" t="s">
        <v>31</v>
      </c>
      <c r="G301" s="2" t="s">
        <v>128</v>
      </c>
      <c r="H301" s="2" t="s">
        <v>770</v>
      </c>
      <c r="I301" s="2" t="s">
        <v>25</v>
      </c>
      <c r="J301" s="2">
        <v>6</v>
      </c>
    </row>
    <row r="302" spans="1:10" ht="14.25" customHeight="1" x14ac:dyDescent="0.3">
      <c r="A302" s="2">
        <v>301</v>
      </c>
      <c r="B302" s="2" t="s">
        <v>771</v>
      </c>
      <c r="C302" s="2" t="s">
        <v>763</v>
      </c>
      <c r="D302" s="2" t="s">
        <v>127</v>
      </c>
      <c r="E302" s="10">
        <v>44740</v>
      </c>
      <c r="F302" s="2" t="s">
        <v>30</v>
      </c>
      <c r="G302" s="2" t="s">
        <v>128</v>
      </c>
      <c r="H302" s="2" t="s">
        <v>772</v>
      </c>
      <c r="I302" s="2" t="s">
        <v>25</v>
      </c>
      <c r="J302" s="2">
        <v>9</v>
      </c>
    </row>
    <row r="303" spans="1:10" ht="14.25" customHeight="1" x14ac:dyDescent="0.3">
      <c r="A303" s="2">
        <v>302</v>
      </c>
      <c r="B303" s="2" t="s">
        <v>773</v>
      </c>
      <c r="C303" s="2" t="s">
        <v>765</v>
      </c>
      <c r="D303" s="2" t="s">
        <v>131</v>
      </c>
      <c r="E303" s="10">
        <v>44734</v>
      </c>
      <c r="F303" s="2" t="s">
        <v>31</v>
      </c>
      <c r="G303" s="2" t="s">
        <v>128</v>
      </c>
      <c r="H303" s="2" t="s">
        <v>774</v>
      </c>
      <c r="I303" s="2" t="s">
        <v>23</v>
      </c>
      <c r="J303" s="2">
        <v>7</v>
      </c>
    </row>
    <row r="304" spans="1:10" ht="14.25" customHeight="1" x14ac:dyDescent="0.3">
      <c r="A304" s="2">
        <v>303</v>
      </c>
      <c r="B304" s="2" t="s">
        <v>775</v>
      </c>
      <c r="C304" s="2" t="s">
        <v>767</v>
      </c>
      <c r="D304" s="2" t="s">
        <v>134</v>
      </c>
      <c r="E304" s="10">
        <v>44727</v>
      </c>
      <c r="F304" s="2" t="s">
        <v>29</v>
      </c>
      <c r="G304" s="2" t="s">
        <v>135</v>
      </c>
      <c r="H304" s="2" t="s">
        <v>776</v>
      </c>
      <c r="I304" s="2" t="s">
        <v>24</v>
      </c>
      <c r="J304" s="2">
        <v>8</v>
      </c>
    </row>
    <row r="305" spans="1:10" ht="14.25" customHeight="1" x14ac:dyDescent="0.3">
      <c r="A305" s="2">
        <v>304</v>
      </c>
      <c r="B305" s="2" t="s">
        <v>777</v>
      </c>
      <c r="C305" s="2" t="s">
        <v>769</v>
      </c>
      <c r="D305" s="2" t="s">
        <v>138</v>
      </c>
      <c r="E305" s="10">
        <v>44737</v>
      </c>
      <c r="F305" s="2" t="s">
        <v>30</v>
      </c>
      <c r="G305" s="2" t="s">
        <v>128</v>
      </c>
      <c r="H305" s="2" t="s">
        <v>778</v>
      </c>
      <c r="I305" s="2" t="s">
        <v>25</v>
      </c>
      <c r="J305" s="2">
        <v>6</v>
      </c>
    </row>
    <row r="306" spans="1:10" ht="14.25" customHeight="1" x14ac:dyDescent="0.3">
      <c r="A306" s="2">
        <v>305</v>
      </c>
      <c r="B306" s="2" t="s">
        <v>779</v>
      </c>
      <c r="C306" s="2" t="s">
        <v>771</v>
      </c>
      <c r="D306" s="2" t="s">
        <v>141</v>
      </c>
      <c r="E306" s="10">
        <v>44747</v>
      </c>
      <c r="F306" s="2" t="s">
        <v>31</v>
      </c>
      <c r="G306" s="2" t="s">
        <v>128</v>
      </c>
      <c r="H306" s="2" t="s">
        <v>780</v>
      </c>
      <c r="I306" s="2" t="s">
        <v>23</v>
      </c>
      <c r="J306" s="2">
        <v>2</v>
      </c>
    </row>
    <row r="307" spans="1:10" ht="14.25" customHeight="1" x14ac:dyDescent="0.3">
      <c r="A307" s="2">
        <v>306</v>
      </c>
      <c r="B307" s="2" t="s">
        <v>781</v>
      </c>
      <c r="C307" s="2" t="s">
        <v>773</v>
      </c>
      <c r="D307" s="2" t="s">
        <v>144</v>
      </c>
      <c r="E307" s="10">
        <v>44754</v>
      </c>
      <c r="F307" s="2" t="s">
        <v>31</v>
      </c>
      <c r="G307" s="2" t="s">
        <v>128</v>
      </c>
      <c r="H307" s="2" t="s">
        <v>782</v>
      </c>
      <c r="I307" s="2" t="s">
        <v>24</v>
      </c>
      <c r="J307" s="2">
        <v>4</v>
      </c>
    </row>
    <row r="308" spans="1:10" ht="14.25" customHeight="1" x14ac:dyDescent="0.3">
      <c r="A308" s="2">
        <v>307</v>
      </c>
      <c r="B308" s="2" t="s">
        <v>783</v>
      </c>
      <c r="C308" s="2" t="s">
        <v>775</v>
      </c>
      <c r="D308" s="2" t="s">
        <v>147</v>
      </c>
      <c r="E308" s="10">
        <v>44760</v>
      </c>
      <c r="F308" s="2" t="s">
        <v>30</v>
      </c>
      <c r="G308" s="2" t="s">
        <v>128</v>
      </c>
      <c r="H308" s="2" t="s">
        <v>784</v>
      </c>
      <c r="I308" s="2" t="s">
        <v>25</v>
      </c>
      <c r="J308" s="2">
        <v>1</v>
      </c>
    </row>
    <row r="309" spans="1:10" ht="14.25" customHeight="1" x14ac:dyDescent="0.3">
      <c r="A309" s="2">
        <v>308</v>
      </c>
      <c r="B309" s="2" t="s">
        <v>785</v>
      </c>
      <c r="C309" s="2" t="s">
        <v>777</v>
      </c>
      <c r="D309" s="2" t="s">
        <v>147</v>
      </c>
      <c r="E309" s="10">
        <v>44759</v>
      </c>
      <c r="F309" s="2" t="s">
        <v>31</v>
      </c>
      <c r="G309" s="2" t="s">
        <v>128</v>
      </c>
      <c r="H309" s="2" t="s">
        <v>786</v>
      </c>
      <c r="I309" s="2" t="s">
        <v>23</v>
      </c>
      <c r="J309" s="2">
        <v>9</v>
      </c>
    </row>
    <row r="310" spans="1:10" ht="14.25" customHeight="1" x14ac:dyDescent="0.3">
      <c r="A310" s="2">
        <v>309</v>
      </c>
      <c r="B310" s="2" t="s">
        <v>787</v>
      </c>
      <c r="C310" s="2" t="s">
        <v>779</v>
      </c>
      <c r="D310" s="2" t="s">
        <v>153</v>
      </c>
      <c r="E310" s="10">
        <v>44735</v>
      </c>
      <c r="F310" s="2" t="s">
        <v>30</v>
      </c>
      <c r="G310" s="2" t="s">
        <v>135</v>
      </c>
      <c r="H310" s="2" t="s">
        <v>788</v>
      </c>
      <c r="I310" s="2" t="s">
        <v>24</v>
      </c>
      <c r="J310" s="2">
        <v>6</v>
      </c>
    </row>
    <row r="311" spans="1:10" ht="14.25" customHeight="1" x14ac:dyDescent="0.3">
      <c r="A311" s="2">
        <v>310</v>
      </c>
      <c r="B311" s="2" t="s">
        <v>789</v>
      </c>
      <c r="C311" s="2" t="s">
        <v>781</v>
      </c>
      <c r="D311" s="2" t="s">
        <v>288</v>
      </c>
      <c r="E311" s="10">
        <v>44734</v>
      </c>
      <c r="F311" s="2" t="s">
        <v>31</v>
      </c>
      <c r="G311" s="2" t="s">
        <v>128</v>
      </c>
      <c r="H311" s="2" t="s">
        <v>790</v>
      </c>
      <c r="I311" s="2" t="s">
        <v>25</v>
      </c>
      <c r="J311" s="2">
        <v>9</v>
      </c>
    </row>
    <row r="312" spans="1:10" ht="14.25" customHeight="1" x14ac:dyDescent="0.3">
      <c r="A312" s="2">
        <v>311</v>
      </c>
      <c r="B312" s="2" t="s">
        <v>791</v>
      </c>
      <c r="C312" s="2" t="s">
        <v>783</v>
      </c>
      <c r="D312" s="2" t="s">
        <v>158</v>
      </c>
      <c r="E312" s="10">
        <v>44753</v>
      </c>
      <c r="F312" s="2" t="s">
        <v>31</v>
      </c>
      <c r="G312" s="2" t="s">
        <v>128</v>
      </c>
      <c r="H312" s="2" t="s">
        <v>792</v>
      </c>
      <c r="I312" s="2" t="s">
        <v>23</v>
      </c>
      <c r="J312" s="2">
        <v>9</v>
      </c>
    </row>
    <row r="313" spans="1:10" ht="14.25" customHeight="1" x14ac:dyDescent="0.3">
      <c r="A313" s="2">
        <v>312</v>
      </c>
      <c r="B313" s="2" t="s">
        <v>793</v>
      </c>
      <c r="C313" s="2" t="s">
        <v>785</v>
      </c>
      <c r="D313" s="2" t="s">
        <v>161</v>
      </c>
      <c r="E313" s="10">
        <v>44739</v>
      </c>
      <c r="F313" s="2" t="s">
        <v>30</v>
      </c>
      <c r="G313" s="2" t="s">
        <v>128</v>
      </c>
      <c r="H313" s="2" t="s">
        <v>794</v>
      </c>
      <c r="I313" s="2" t="s">
        <v>24</v>
      </c>
      <c r="J313" s="2">
        <v>3</v>
      </c>
    </row>
    <row r="314" spans="1:10" ht="14.25" customHeight="1" x14ac:dyDescent="0.3">
      <c r="A314" s="2">
        <v>313</v>
      </c>
      <c r="B314" s="2" t="s">
        <v>795</v>
      </c>
      <c r="C314" s="2" t="s">
        <v>787</v>
      </c>
      <c r="D314" s="2" t="s">
        <v>164</v>
      </c>
      <c r="E314" s="10">
        <v>44740</v>
      </c>
      <c r="F314" s="2" t="s">
        <v>31</v>
      </c>
      <c r="G314" s="2" t="s">
        <v>128</v>
      </c>
      <c r="H314" s="2" t="s">
        <v>796</v>
      </c>
      <c r="I314" s="2" t="s">
        <v>25</v>
      </c>
      <c r="J314" s="2">
        <v>2</v>
      </c>
    </row>
    <row r="315" spans="1:10" ht="14.25" customHeight="1" x14ac:dyDescent="0.3">
      <c r="A315" s="2">
        <v>314</v>
      </c>
      <c r="B315" s="2" t="s">
        <v>797</v>
      </c>
      <c r="C315" s="2" t="s">
        <v>789</v>
      </c>
      <c r="D315" s="2" t="s">
        <v>167</v>
      </c>
      <c r="E315" s="10">
        <v>44748</v>
      </c>
      <c r="F315" s="2" t="s">
        <v>31</v>
      </c>
      <c r="G315" s="2" t="s">
        <v>128</v>
      </c>
      <c r="H315" s="2" t="s">
        <v>798</v>
      </c>
      <c r="I315" s="2" t="s">
        <v>23</v>
      </c>
      <c r="J315" s="2">
        <v>3</v>
      </c>
    </row>
    <row r="316" spans="1:10" ht="14.25" customHeight="1" x14ac:dyDescent="0.3">
      <c r="A316" s="2">
        <v>315</v>
      </c>
      <c r="B316" s="2" t="s">
        <v>799</v>
      </c>
      <c r="C316" s="2" t="s">
        <v>791</v>
      </c>
      <c r="D316" s="2" t="s">
        <v>267</v>
      </c>
      <c r="E316" s="10">
        <v>44731</v>
      </c>
      <c r="F316" s="2" t="s">
        <v>30</v>
      </c>
      <c r="G316" s="2" t="s">
        <v>135</v>
      </c>
      <c r="H316" s="2" t="s">
        <v>800</v>
      </c>
      <c r="I316" s="2" t="s">
        <v>24</v>
      </c>
      <c r="J316" s="2">
        <v>10</v>
      </c>
    </row>
    <row r="317" spans="1:10" ht="14.25" customHeight="1" x14ac:dyDescent="0.3">
      <c r="A317" s="2">
        <v>316</v>
      </c>
      <c r="B317" s="2" t="s">
        <v>801</v>
      </c>
      <c r="C317" s="2" t="s">
        <v>793</v>
      </c>
      <c r="D317" s="2" t="s">
        <v>127</v>
      </c>
      <c r="E317" s="10">
        <v>44763</v>
      </c>
      <c r="F317" s="2" t="s">
        <v>31</v>
      </c>
      <c r="G317" s="2" t="s">
        <v>128</v>
      </c>
      <c r="H317" s="2" t="s">
        <v>802</v>
      </c>
      <c r="I317" s="2" t="s">
        <v>25</v>
      </c>
      <c r="J317" s="2">
        <v>3</v>
      </c>
    </row>
    <row r="318" spans="1:10" ht="14.25" customHeight="1" x14ac:dyDescent="0.3">
      <c r="A318" s="2">
        <v>317</v>
      </c>
      <c r="B318" s="2" t="s">
        <v>803</v>
      </c>
      <c r="C318" s="2" t="s">
        <v>795</v>
      </c>
      <c r="D318" s="2" t="s">
        <v>131</v>
      </c>
      <c r="E318" s="10">
        <v>44733</v>
      </c>
      <c r="F318" s="2" t="s">
        <v>30</v>
      </c>
      <c r="G318" s="2" t="s">
        <v>128</v>
      </c>
      <c r="H318" s="2" t="s">
        <v>804</v>
      </c>
      <c r="I318" s="2" t="s">
        <v>23</v>
      </c>
      <c r="J318" s="2">
        <v>1</v>
      </c>
    </row>
    <row r="319" spans="1:10" ht="14.25" customHeight="1" x14ac:dyDescent="0.3">
      <c r="A319" s="2">
        <v>318</v>
      </c>
      <c r="B319" s="2" t="s">
        <v>805</v>
      </c>
      <c r="C319" s="2" t="s">
        <v>797</v>
      </c>
      <c r="D319" s="2" t="s">
        <v>134</v>
      </c>
      <c r="E319" s="10">
        <v>44746</v>
      </c>
      <c r="F319" s="2" t="s">
        <v>31</v>
      </c>
      <c r="G319" s="2" t="s">
        <v>128</v>
      </c>
      <c r="H319" s="2" t="s">
        <v>806</v>
      </c>
      <c r="I319" s="2" t="s">
        <v>24</v>
      </c>
      <c r="J319" s="2">
        <v>5</v>
      </c>
    </row>
    <row r="320" spans="1:10" ht="14.25" customHeight="1" x14ac:dyDescent="0.3">
      <c r="A320" s="2">
        <v>319</v>
      </c>
      <c r="B320" s="2" t="s">
        <v>807</v>
      </c>
      <c r="C320" s="2" t="s">
        <v>799</v>
      </c>
      <c r="D320" s="2" t="s">
        <v>138</v>
      </c>
      <c r="E320" s="10">
        <v>44755</v>
      </c>
      <c r="F320" s="2" t="s">
        <v>30</v>
      </c>
      <c r="G320" s="2" t="s">
        <v>128</v>
      </c>
      <c r="H320" s="2" t="s">
        <v>808</v>
      </c>
      <c r="I320" s="2" t="s">
        <v>25</v>
      </c>
      <c r="J320" s="2">
        <v>1</v>
      </c>
    </row>
    <row r="321" spans="1:10" ht="14.25" customHeight="1" x14ac:dyDescent="0.3">
      <c r="A321" s="2">
        <v>320</v>
      </c>
      <c r="B321" s="2" t="s">
        <v>809</v>
      </c>
      <c r="C321" s="2" t="s">
        <v>801</v>
      </c>
      <c r="D321" s="2" t="s">
        <v>141</v>
      </c>
      <c r="E321" s="10">
        <v>44755</v>
      </c>
      <c r="F321" s="2" t="s">
        <v>31</v>
      </c>
      <c r="G321" s="2" t="s">
        <v>128</v>
      </c>
      <c r="H321" s="2" t="s">
        <v>810</v>
      </c>
      <c r="I321" s="2" t="s">
        <v>23</v>
      </c>
      <c r="J321" s="2">
        <v>5</v>
      </c>
    </row>
    <row r="322" spans="1:10" ht="14.25" customHeight="1" x14ac:dyDescent="0.3">
      <c r="A322" s="2">
        <v>321</v>
      </c>
      <c r="B322" s="2" t="s">
        <v>811</v>
      </c>
      <c r="C322" s="2" t="s">
        <v>803</v>
      </c>
      <c r="D322" s="2" t="s">
        <v>144</v>
      </c>
      <c r="E322" s="10">
        <v>44727</v>
      </c>
      <c r="F322" s="2" t="s">
        <v>29</v>
      </c>
      <c r="G322" s="2" t="s">
        <v>135</v>
      </c>
      <c r="H322" s="2" t="s">
        <v>812</v>
      </c>
      <c r="I322" s="2" t="s">
        <v>24</v>
      </c>
      <c r="J322" s="2">
        <v>5</v>
      </c>
    </row>
    <row r="323" spans="1:10" ht="14.25" customHeight="1" x14ac:dyDescent="0.3">
      <c r="A323" s="2">
        <v>322</v>
      </c>
      <c r="B323" s="2" t="s">
        <v>813</v>
      </c>
      <c r="C323" s="2" t="s">
        <v>805</v>
      </c>
      <c r="D323" s="2" t="s">
        <v>147</v>
      </c>
      <c r="E323" s="10">
        <v>44746</v>
      </c>
      <c r="F323" s="2" t="s">
        <v>30</v>
      </c>
      <c r="G323" s="2" t="s">
        <v>128</v>
      </c>
      <c r="H323" s="2" t="s">
        <v>814</v>
      </c>
      <c r="I323" s="2" t="s">
        <v>25</v>
      </c>
      <c r="J323" s="2">
        <v>3</v>
      </c>
    </row>
    <row r="324" spans="1:10" ht="14.25" customHeight="1" x14ac:dyDescent="0.3">
      <c r="A324" s="2">
        <v>323</v>
      </c>
      <c r="B324" s="2" t="s">
        <v>815</v>
      </c>
      <c r="C324" s="2" t="s">
        <v>807</v>
      </c>
      <c r="D324" s="2" t="s">
        <v>147</v>
      </c>
      <c r="E324" s="10">
        <v>44740</v>
      </c>
      <c r="F324" s="2" t="s">
        <v>31</v>
      </c>
      <c r="G324" s="2" t="s">
        <v>128</v>
      </c>
      <c r="H324" s="2" t="s">
        <v>816</v>
      </c>
      <c r="I324" s="2" t="s">
        <v>23</v>
      </c>
      <c r="J324" s="2">
        <v>3</v>
      </c>
    </row>
    <row r="325" spans="1:10" ht="14.25" customHeight="1" x14ac:dyDescent="0.3">
      <c r="A325" s="2">
        <v>324</v>
      </c>
      <c r="B325" s="2" t="s">
        <v>817</v>
      </c>
      <c r="C325" s="2" t="s">
        <v>809</v>
      </c>
      <c r="D325" s="2" t="s">
        <v>153</v>
      </c>
      <c r="E325" s="10">
        <v>44743</v>
      </c>
      <c r="F325" s="2" t="s">
        <v>31</v>
      </c>
      <c r="G325" s="2" t="s">
        <v>128</v>
      </c>
      <c r="H325" s="2" t="s">
        <v>818</v>
      </c>
      <c r="I325" s="2" t="s">
        <v>24</v>
      </c>
      <c r="J325" s="2">
        <v>7</v>
      </c>
    </row>
    <row r="326" spans="1:10" ht="14.25" customHeight="1" x14ac:dyDescent="0.3">
      <c r="A326" s="2">
        <v>325</v>
      </c>
      <c r="B326" s="2" t="s">
        <v>819</v>
      </c>
      <c r="C326" s="2" t="s">
        <v>811</v>
      </c>
      <c r="D326" s="2" t="s">
        <v>144</v>
      </c>
      <c r="E326" s="10">
        <v>44737</v>
      </c>
      <c r="F326" s="2" t="s">
        <v>30</v>
      </c>
      <c r="G326" s="2" t="s">
        <v>128</v>
      </c>
      <c r="H326" s="2" t="s">
        <v>820</v>
      </c>
      <c r="I326" s="2" t="s">
        <v>25</v>
      </c>
      <c r="J326" s="2">
        <v>4</v>
      </c>
    </row>
    <row r="327" spans="1:10" ht="14.25" customHeight="1" x14ac:dyDescent="0.3">
      <c r="A327" s="2">
        <v>326</v>
      </c>
      <c r="B327" s="2" t="s">
        <v>821</v>
      </c>
      <c r="C327" s="2" t="s">
        <v>813</v>
      </c>
      <c r="D327" s="2" t="s">
        <v>158</v>
      </c>
      <c r="E327" s="10">
        <v>44757</v>
      </c>
      <c r="F327" s="2" t="s">
        <v>31</v>
      </c>
      <c r="G327" s="2" t="s">
        <v>128</v>
      </c>
      <c r="H327" s="2" t="s">
        <v>822</v>
      </c>
      <c r="I327" s="2" t="s">
        <v>23</v>
      </c>
      <c r="J327" s="2">
        <v>3</v>
      </c>
    </row>
    <row r="328" spans="1:10" ht="14.25" customHeight="1" x14ac:dyDescent="0.3">
      <c r="A328" s="2">
        <v>327</v>
      </c>
      <c r="B328" s="2" t="s">
        <v>823</v>
      </c>
      <c r="C328" s="2" t="s">
        <v>815</v>
      </c>
      <c r="D328" s="2" t="s">
        <v>161</v>
      </c>
      <c r="E328" s="10">
        <v>44745</v>
      </c>
      <c r="F328" s="2" t="s">
        <v>30</v>
      </c>
      <c r="G328" s="2" t="s">
        <v>135</v>
      </c>
      <c r="H328" s="2" t="s">
        <v>824</v>
      </c>
      <c r="I328" s="2" t="s">
        <v>24</v>
      </c>
      <c r="J328" s="2">
        <v>8</v>
      </c>
    </row>
    <row r="329" spans="1:10" ht="14.25" customHeight="1" x14ac:dyDescent="0.3">
      <c r="A329" s="2">
        <v>328</v>
      </c>
      <c r="B329" s="2" t="s">
        <v>825</v>
      </c>
      <c r="C329" s="2" t="s">
        <v>817</v>
      </c>
      <c r="D329" s="2" t="s">
        <v>164</v>
      </c>
      <c r="E329" s="10">
        <v>44760</v>
      </c>
      <c r="F329" s="2" t="s">
        <v>31</v>
      </c>
      <c r="G329" s="2" t="s">
        <v>128</v>
      </c>
      <c r="H329" s="2" t="s">
        <v>826</v>
      </c>
      <c r="I329" s="2" t="s">
        <v>25</v>
      </c>
      <c r="J329" s="2">
        <v>2</v>
      </c>
    </row>
    <row r="330" spans="1:10" ht="14.25" customHeight="1" x14ac:dyDescent="0.3">
      <c r="A330" s="2">
        <v>329</v>
      </c>
      <c r="B330" s="2" t="s">
        <v>827</v>
      </c>
      <c r="C330" s="2" t="s">
        <v>819</v>
      </c>
      <c r="D330" s="2" t="s">
        <v>167</v>
      </c>
      <c r="E330" s="10">
        <v>44750</v>
      </c>
      <c r="F330" s="2" t="s">
        <v>31</v>
      </c>
      <c r="G330" s="2" t="s">
        <v>128</v>
      </c>
      <c r="H330" s="2" t="s">
        <v>828</v>
      </c>
      <c r="I330" s="2" t="s">
        <v>23</v>
      </c>
      <c r="J330" s="2">
        <v>9</v>
      </c>
    </row>
    <row r="331" spans="1:10" ht="14.25" customHeight="1" x14ac:dyDescent="0.3">
      <c r="A331" s="2">
        <v>330</v>
      </c>
      <c r="B331" s="2" t="s">
        <v>829</v>
      </c>
      <c r="C331" s="2" t="s">
        <v>821</v>
      </c>
      <c r="D331" s="2" t="s">
        <v>144</v>
      </c>
      <c r="E331" s="10">
        <v>44742</v>
      </c>
      <c r="F331" s="2" t="s">
        <v>30</v>
      </c>
      <c r="G331" s="2" t="s">
        <v>128</v>
      </c>
      <c r="H331" s="2" t="s">
        <v>830</v>
      </c>
      <c r="I331" s="2" t="s">
        <v>24</v>
      </c>
      <c r="J331" s="2">
        <v>6</v>
      </c>
    </row>
    <row r="332" spans="1:10" ht="14.25" customHeight="1" x14ac:dyDescent="0.3">
      <c r="A332" s="2">
        <v>331</v>
      </c>
      <c r="B332" s="2" t="s">
        <v>831</v>
      </c>
      <c r="C332" s="2" t="s">
        <v>823</v>
      </c>
      <c r="D332" s="2" t="s">
        <v>172</v>
      </c>
      <c r="E332" s="10">
        <v>44754</v>
      </c>
      <c r="F332" s="2" t="s">
        <v>31</v>
      </c>
      <c r="G332" s="2" t="s">
        <v>128</v>
      </c>
      <c r="H332" s="2" t="s">
        <v>832</v>
      </c>
      <c r="I332" s="2" t="s">
        <v>25</v>
      </c>
      <c r="J332" s="2">
        <v>7</v>
      </c>
    </row>
    <row r="333" spans="1:10" ht="14.25" customHeight="1" x14ac:dyDescent="0.3">
      <c r="A333" s="2">
        <v>332</v>
      </c>
      <c r="B333" s="2" t="s">
        <v>833</v>
      </c>
      <c r="C333" s="2" t="s">
        <v>825</v>
      </c>
      <c r="D333" s="2" t="s">
        <v>161</v>
      </c>
      <c r="E333" s="10">
        <v>44746</v>
      </c>
      <c r="F333" s="2" t="s">
        <v>31</v>
      </c>
      <c r="G333" s="2" t="s">
        <v>128</v>
      </c>
      <c r="H333" s="2" t="s">
        <v>834</v>
      </c>
      <c r="I333" s="2" t="s">
        <v>23</v>
      </c>
      <c r="J333" s="2">
        <v>9</v>
      </c>
    </row>
    <row r="334" spans="1:10" ht="14.25" customHeight="1" x14ac:dyDescent="0.3">
      <c r="A334" s="2">
        <v>333</v>
      </c>
      <c r="B334" s="2" t="s">
        <v>835</v>
      </c>
      <c r="C334" s="2" t="s">
        <v>827</v>
      </c>
      <c r="D334" s="2" t="s">
        <v>141</v>
      </c>
      <c r="E334" s="10">
        <v>44752</v>
      </c>
      <c r="F334" s="2" t="s">
        <v>30</v>
      </c>
      <c r="G334" s="2" t="s">
        <v>135</v>
      </c>
      <c r="H334" s="2" t="s">
        <v>836</v>
      </c>
      <c r="I334" s="2" t="s">
        <v>24</v>
      </c>
      <c r="J334" s="2">
        <v>2</v>
      </c>
    </row>
    <row r="335" spans="1:10" ht="14.25" customHeight="1" x14ac:dyDescent="0.3">
      <c r="A335" s="2">
        <v>334</v>
      </c>
      <c r="B335" s="2" t="s">
        <v>837</v>
      </c>
      <c r="C335" s="2" t="s">
        <v>829</v>
      </c>
      <c r="D335" s="2" t="s">
        <v>158</v>
      </c>
      <c r="E335" s="10">
        <v>44725</v>
      </c>
      <c r="F335" s="2" t="s">
        <v>31</v>
      </c>
      <c r="G335" s="2" t="s">
        <v>128</v>
      </c>
      <c r="H335" s="2" t="s">
        <v>838</v>
      </c>
      <c r="I335" s="2" t="s">
        <v>25</v>
      </c>
      <c r="J335" s="2">
        <v>9</v>
      </c>
    </row>
    <row r="336" spans="1:10" ht="14.25" customHeight="1" x14ac:dyDescent="0.3">
      <c r="A336" s="2">
        <v>335</v>
      </c>
      <c r="B336" s="2" t="s">
        <v>839</v>
      </c>
      <c r="C336" s="2" t="s">
        <v>831</v>
      </c>
      <c r="D336" s="2" t="s">
        <v>182</v>
      </c>
      <c r="E336" s="10">
        <v>44734</v>
      </c>
      <c r="F336" s="2" t="s">
        <v>30</v>
      </c>
      <c r="G336" s="2" t="s">
        <v>128</v>
      </c>
      <c r="H336" s="2" t="s">
        <v>840</v>
      </c>
      <c r="I336" s="2" t="s">
        <v>23</v>
      </c>
      <c r="J336" s="2">
        <v>10</v>
      </c>
    </row>
    <row r="337" spans="1:10" ht="14.25" customHeight="1" x14ac:dyDescent="0.3">
      <c r="A337" s="2">
        <v>336</v>
      </c>
      <c r="B337" s="2" t="s">
        <v>841</v>
      </c>
      <c r="C337" s="2" t="s">
        <v>833</v>
      </c>
      <c r="D337" s="2" t="s">
        <v>185</v>
      </c>
      <c r="E337" s="10">
        <v>44761</v>
      </c>
      <c r="F337" s="2" t="s">
        <v>31</v>
      </c>
      <c r="G337" s="2" t="s">
        <v>128</v>
      </c>
      <c r="H337" s="2" t="s">
        <v>842</v>
      </c>
      <c r="I337" s="2" t="s">
        <v>24</v>
      </c>
      <c r="J337" s="2">
        <v>1</v>
      </c>
    </row>
    <row r="338" spans="1:10" ht="14.25" customHeight="1" x14ac:dyDescent="0.3">
      <c r="A338" s="2">
        <v>337</v>
      </c>
      <c r="B338" s="2" t="s">
        <v>843</v>
      </c>
      <c r="C338" s="2" t="s">
        <v>835</v>
      </c>
      <c r="D338" s="2" t="s">
        <v>188</v>
      </c>
      <c r="E338" s="10">
        <v>44735</v>
      </c>
      <c r="F338" s="2" t="s">
        <v>30</v>
      </c>
      <c r="G338" s="2" t="s">
        <v>128</v>
      </c>
      <c r="H338" s="2" t="s">
        <v>844</v>
      </c>
      <c r="I338" s="2" t="s">
        <v>25</v>
      </c>
      <c r="J338" s="2">
        <v>1</v>
      </c>
    </row>
    <row r="339" spans="1:10" ht="14.25" customHeight="1" x14ac:dyDescent="0.3">
      <c r="A339" s="2">
        <v>338</v>
      </c>
      <c r="B339" s="2" t="s">
        <v>845</v>
      </c>
      <c r="C339" s="2" t="s">
        <v>837</v>
      </c>
      <c r="D339" s="2" t="s">
        <v>191</v>
      </c>
      <c r="E339" s="10">
        <v>44753</v>
      </c>
      <c r="F339" s="2" t="s">
        <v>31</v>
      </c>
      <c r="G339" s="2" t="s">
        <v>128</v>
      </c>
      <c r="H339" s="2" t="s">
        <v>846</v>
      </c>
      <c r="I339" s="2" t="s">
        <v>23</v>
      </c>
      <c r="J339" s="2">
        <v>10</v>
      </c>
    </row>
    <row r="340" spans="1:10" ht="14.25" customHeight="1" x14ac:dyDescent="0.3">
      <c r="A340" s="2">
        <v>339</v>
      </c>
      <c r="B340" s="2" t="s">
        <v>847</v>
      </c>
      <c r="C340" s="2" t="s">
        <v>839</v>
      </c>
      <c r="D340" s="2" t="s">
        <v>194</v>
      </c>
      <c r="E340" s="10">
        <v>44732</v>
      </c>
      <c r="F340" s="2" t="s">
        <v>29</v>
      </c>
      <c r="G340" s="2" t="s">
        <v>135</v>
      </c>
      <c r="H340" s="2" t="s">
        <v>848</v>
      </c>
      <c r="I340" s="2" t="s">
        <v>24</v>
      </c>
      <c r="J340" s="2">
        <v>4</v>
      </c>
    </row>
    <row r="341" spans="1:10" ht="14.25" customHeight="1" x14ac:dyDescent="0.3">
      <c r="A341" s="2">
        <v>340</v>
      </c>
      <c r="B341" s="2" t="s">
        <v>849</v>
      </c>
      <c r="C341" s="2" t="s">
        <v>841</v>
      </c>
      <c r="D341" s="2" t="s">
        <v>197</v>
      </c>
      <c r="E341" s="10">
        <v>44748</v>
      </c>
      <c r="F341" s="2" t="s">
        <v>30</v>
      </c>
      <c r="G341" s="2" t="s">
        <v>128</v>
      </c>
      <c r="H341" s="2" t="s">
        <v>850</v>
      </c>
      <c r="I341" s="2" t="s">
        <v>25</v>
      </c>
      <c r="J341" s="2">
        <v>7</v>
      </c>
    </row>
    <row r="342" spans="1:10" ht="14.25" customHeight="1" x14ac:dyDescent="0.3">
      <c r="A342" s="2">
        <v>341</v>
      </c>
      <c r="B342" s="2" t="s">
        <v>851</v>
      </c>
      <c r="C342" s="2" t="s">
        <v>843</v>
      </c>
      <c r="D342" s="2" t="s">
        <v>200</v>
      </c>
      <c r="E342" s="10">
        <v>44731</v>
      </c>
      <c r="F342" s="2" t="s">
        <v>31</v>
      </c>
      <c r="G342" s="2" t="s">
        <v>128</v>
      </c>
      <c r="H342" s="2" t="s">
        <v>852</v>
      </c>
      <c r="I342" s="2" t="s">
        <v>23</v>
      </c>
      <c r="J342" s="2">
        <v>3</v>
      </c>
    </row>
    <row r="343" spans="1:10" ht="14.25" customHeight="1" x14ac:dyDescent="0.3">
      <c r="A343" s="2">
        <v>342</v>
      </c>
      <c r="B343" s="2" t="s">
        <v>853</v>
      </c>
      <c r="C343" s="2" t="s">
        <v>845</v>
      </c>
      <c r="D343" s="2" t="s">
        <v>203</v>
      </c>
      <c r="E343" s="10">
        <v>44725</v>
      </c>
      <c r="F343" s="2" t="s">
        <v>31</v>
      </c>
      <c r="G343" s="2" t="s">
        <v>128</v>
      </c>
      <c r="H343" s="2" t="s">
        <v>854</v>
      </c>
      <c r="I343" s="2" t="s">
        <v>24</v>
      </c>
      <c r="J343" s="2">
        <v>6</v>
      </c>
    </row>
    <row r="344" spans="1:10" ht="14.25" customHeight="1" x14ac:dyDescent="0.3">
      <c r="A344" s="2">
        <v>343</v>
      </c>
      <c r="B344" s="2" t="s">
        <v>855</v>
      </c>
      <c r="C344" s="2" t="s">
        <v>847</v>
      </c>
      <c r="D344" s="2" t="s">
        <v>207</v>
      </c>
      <c r="E344" s="10">
        <v>44753</v>
      </c>
      <c r="F344" s="2" t="s">
        <v>30</v>
      </c>
      <c r="G344" s="2" t="s">
        <v>128</v>
      </c>
      <c r="H344" s="2" t="s">
        <v>856</v>
      </c>
      <c r="I344" s="2" t="s">
        <v>25</v>
      </c>
      <c r="J344" s="2">
        <v>6</v>
      </c>
    </row>
    <row r="345" spans="1:10" ht="14.25" customHeight="1" x14ac:dyDescent="0.3">
      <c r="A345" s="2">
        <v>344</v>
      </c>
      <c r="B345" s="2" t="s">
        <v>857</v>
      </c>
      <c r="C345" s="2" t="s">
        <v>849</v>
      </c>
      <c r="D345" s="2" t="s">
        <v>210</v>
      </c>
      <c r="E345" s="10">
        <v>44738</v>
      </c>
      <c r="F345" s="2" t="s">
        <v>31</v>
      </c>
      <c r="G345" s="2" t="s">
        <v>128</v>
      </c>
      <c r="H345" s="2" t="s">
        <v>858</v>
      </c>
      <c r="I345" s="2" t="s">
        <v>23</v>
      </c>
      <c r="J345" s="2">
        <v>5</v>
      </c>
    </row>
    <row r="346" spans="1:10" ht="14.25" customHeight="1" x14ac:dyDescent="0.3">
      <c r="A346" s="2">
        <v>345</v>
      </c>
      <c r="B346" s="2" t="s">
        <v>859</v>
      </c>
      <c r="C346" s="2" t="s">
        <v>851</v>
      </c>
      <c r="D346" s="2" t="s">
        <v>213</v>
      </c>
      <c r="E346" s="10">
        <v>44762</v>
      </c>
      <c r="F346" s="2" t="s">
        <v>30</v>
      </c>
      <c r="G346" s="2" t="s">
        <v>135</v>
      </c>
      <c r="H346" s="2" t="s">
        <v>860</v>
      </c>
      <c r="I346" s="2" t="s">
        <v>24</v>
      </c>
      <c r="J346" s="2">
        <v>1</v>
      </c>
    </row>
    <row r="347" spans="1:10" ht="14.25" customHeight="1" x14ac:dyDescent="0.3">
      <c r="A347" s="2">
        <v>346</v>
      </c>
      <c r="B347" s="2" t="s">
        <v>861</v>
      </c>
      <c r="C347" s="2" t="s">
        <v>853</v>
      </c>
      <c r="D347" s="2" t="s">
        <v>216</v>
      </c>
      <c r="E347" s="10">
        <v>44756</v>
      </c>
      <c r="F347" s="2" t="s">
        <v>31</v>
      </c>
      <c r="G347" s="2" t="s">
        <v>128</v>
      </c>
      <c r="H347" s="2" t="s">
        <v>862</v>
      </c>
      <c r="I347" s="2" t="s">
        <v>25</v>
      </c>
      <c r="J347" s="2">
        <v>9</v>
      </c>
    </row>
    <row r="348" spans="1:10" ht="14.25" customHeight="1" x14ac:dyDescent="0.3">
      <c r="A348" s="2">
        <v>347</v>
      </c>
      <c r="B348" s="2" t="s">
        <v>863</v>
      </c>
      <c r="C348" s="2" t="s">
        <v>855</v>
      </c>
      <c r="D348" s="2" t="s">
        <v>219</v>
      </c>
      <c r="E348" s="10">
        <v>44744</v>
      </c>
      <c r="F348" s="2" t="s">
        <v>31</v>
      </c>
      <c r="G348" s="2" t="s">
        <v>128</v>
      </c>
      <c r="H348" s="2" t="s">
        <v>864</v>
      </c>
      <c r="I348" s="2" t="s">
        <v>23</v>
      </c>
      <c r="J348" s="2">
        <v>3</v>
      </c>
    </row>
    <row r="349" spans="1:10" ht="14.25" customHeight="1" x14ac:dyDescent="0.3">
      <c r="A349" s="2">
        <v>348</v>
      </c>
      <c r="B349" s="2" t="s">
        <v>865</v>
      </c>
      <c r="C349" s="2" t="s">
        <v>857</v>
      </c>
      <c r="D349" s="2" t="s">
        <v>167</v>
      </c>
      <c r="E349" s="10">
        <v>44753</v>
      </c>
      <c r="F349" s="2" t="s">
        <v>30</v>
      </c>
      <c r="G349" s="2" t="s">
        <v>128</v>
      </c>
      <c r="H349" s="2" t="s">
        <v>866</v>
      </c>
      <c r="I349" s="2" t="s">
        <v>24</v>
      </c>
      <c r="J349" s="2">
        <v>4</v>
      </c>
    </row>
    <row r="350" spans="1:10" ht="14.25" customHeight="1" x14ac:dyDescent="0.3">
      <c r="A350" s="2">
        <v>349</v>
      </c>
      <c r="B350" s="2" t="s">
        <v>867</v>
      </c>
      <c r="C350" s="2" t="s">
        <v>859</v>
      </c>
      <c r="D350" s="2" t="s">
        <v>191</v>
      </c>
      <c r="E350" s="10">
        <v>44762</v>
      </c>
      <c r="F350" s="2" t="s">
        <v>31</v>
      </c>
      <c r="G350" s="2" t="s">
        <v>128</v>
      </c>
      <c r="H350" s="2" t="s">
        <v>868</v>
      </c>
      <c r="I350" s="2" t="s">
        <v>25</v>
      </c>
      <c r="J350" s="2">
        <v>8</v>
      </c>
    </row>
    <row r="351" spans="1:10" ht="14.25" customHeight="1" x14ac:dyDescent="0.3">
      <c r="A351" s="2">
        <v>350</v>
      </c>
      <c r="B351" s="2" t="s">
        <v>869</v>
      </c>
      <c r="C351" s="2" t="s">
        <v>861</v>
      </c>
      <c r="D351" s="2" t="s">
        <v>207</v>
      </c>
      <c r="E351" s="10">
        <v>44740</v>
      </c>
      <c r="F351" s="2" t="s">
        <v>31</v>
      </c>
      <c r="G351" s="2" t="s">
        <v>128</v>
      </c>
      <c r="H351" s="2" t="s">
        <v>870</v>
      </c>
      <c r="I351" s="2" t="s">
        <v>25</v>
      </c>
      <c r="J351" s="2">
        <v>6</v>
      </c>
    </row>
    <row r="352" spans="1:10" ht="14.25" customHeight="1" x14ac:dyDescent="0.3">
      <c r="A352" s="2">
        <v>351</v>
      </c>
      <c r="B352" s="2" t="s">
        <v>871</v>
      </c>
      <c r="C352" s="2" t="s">
        <v>863</v>
      </c>
      <c r="D352" s="2" t="s">
        <v>141</v>
      </c>
      <c r="E352" s="10">
        <v>44729</v>
      </c>
      <c r="F352" s="2" t="s">
        <v>30</v>
      </c>
      <c r="G352" s="2" t="s">
        <v>128</v>
      </c>
      <c r="H352" s="2" t="s">
        <v>872</v>
      </c>
      <c r="I352" s="2" t="s">
        <v>25</v>
      </c>
      <c r="J352" s="2">
        <v>10</v>
      </c>
    </row>
    <row r="353" spans="1:10" ht="14.25" customHeight="1" x14ac:dyDescent="0.3">
      <c r="A353" s="2">
        <v>352</v>
      </c>
      <c r="B353" s="2" t="s">
        <v>873</v>
      </c>
      <c r="C353" s="2" t="s">
        <v>865</v>
      </c>
      <c r="D353" s="2" t="s">
        <v>172</v>
      </c>
      <c r="E353" s="10">
        <v>44727</v>
      </c>
      <c r="F353" s="2" t="s">
        <v>31</v>
      </c>
      <c r="G353" s="2" t="s">
        <v>128</v>
      </c>
      <c r="H353" s="2" t="s">
        <v>874</v>
      </c>
      <c r="I353" s="2" t="s">
        <v>23</v>
      </c>
      <c r="J353" s="2">
        <v>9</v>
      </c>
    </row>
    <row r="354" spans="1:10" ht="14.25" customHeight="1" x14ac:dyDescent="0.3">
      <c r="A354" s="2">
        <v>353</v>
      </c>
      <c r="B354" s="2" t="s">
        <v>875</v>
      </c>
      <c r="C354" s="2" t="s">
        <v>867</v>
      </c>
      <c r="D354" s="2" t="s">
        <v>213</v>
      </c>
      <c r="E354" s="10">
        <v>44734</v>
      </c>
      <c r="F354" s="2" t="s">
        <v>30</v>
      </c>
      <c r="G354" s="2" t="s">
        <v>128</v>
      </c>
      <c r="H354" s="2" t="s">
        <v>876</v>
      </c>
      <c r="I354" s="2" t="s">
        <v>24</v>
      </c>
      <c r="J354" s="2">
        <v>7</v>
      </c>
    </row>
    <row r="355" spans="1:10" ht="14.25" customHeight="1" x14ac:dyDescent="0.3">
      <c r="A355" s="2">
        <v>354</v>
      </c>
      <c r="B355" s="2" t="s">
        <v>877</v>
      </c>
      <c r="C355" s="2" t="s">
        <v>869</v>
      </c>
      <c r="D355" s="2" t="s">
        <v>216</v>
      </c>
      <c r="E355" s="10">
        <v>44744</v>
      </c>
      <c r="F355" s="2" t="s">
        <v>31</v>
      </c>
      <c r="G355" s="2" t="s">
        <v>128</v>
      </c>
      <c r="H355" s="2" t="s">
        <v>878</v>
      </c>
      <c r="I355" s="2" t="s">
        <v>25</v>
      </c>
      <c r="J355" s="2">
        <v>7</v>
      </c>
    </row>
    <row r="356" spans="1:10" ht="14.25" customHeight="1" x14ac:dyDescent="0.3">
      <c r="A356" s="2">
        <v>355</v>
      </c>
      <c r="B356" s="2" t="s">
        <v>879</v>
      </c>
      <c r="C356" s="2" t="s">
        <v>871</v>
      </c>
      <c r="D356" s="2" t="s">
        <v>238</v>
      </c>
      <c r="E356" s="10">
        <v>44737</v>
      </c>
      <c r="F356" s="2" t="s">
        <v>30</v>
      </c>
      <c r="G356" s="2" t="s">
        <v>128</v>
      </c>
      <c r="H356" s="2" t="s">
        <v>880</v>
      </c>
      <c r="I356" s="2" t="s">
        <v>23</v>
      </c>
      <c r="J356" s="2">
        <v>7</v>
      </c>
    </row>
    <row r="357" spans="1:10" ht="14.25" customHeight="1" x14ac:dyDescent="0.3">
      <c r="A357" s="2">
        <v>356</v>
      </c>
      <c r="B357" s="2" t="s">
        <v>881</v>
      </c>
      <c r="C357" s="2" t="s">
        <v>873</v>
      </c>
      <c r="D357" s="2" t="s">
        <v>381</v>
      </c>
      <c r="E357" s="10">
        <v>44752</v>
      </c>
      <c r="F357" s="2" t="s">
        <v>31</v>
      </c>
      <c r="G357" s="2" t="s">
        <v>128</v>
      </c>
      <c r="H357" s="2" t="s">
        <v>882</v>
      </c>
      <c r="I357" s="2" t="s">
        <v>24</v>
      </c>
      <c r="J357" s="2">
        <v>7</v>
      </c>
    </row>
    <row r="358" spans="1:10" ht="14.25" customHeight="1" x14ac:dyDescent="0.3">
      <c r="A358" s="2">
        <v>357</v>
      </c>
      <c r="B358" s="2" t="s">
        <v>883</v>
      </c>
      <c r="C358" s="2" t="s">
        <v>875</v>
      </c>
      <c r="D358" s="2" t="s">
        <v>243</v>
      </c>
      <c r="E358" s="10">
        <v>44736</v>
      </c>
      <c r="F358" s="2" t="s">
        <v>29</v>
      </c>
      <c r="G358" s="2" t="s">
        <v>128</v>
      </c>
      <c r="H358" s="2" t="s">
        <v>884</v>
      </c>
      <c r="I358" s="2" t="s">
        <v>25</v>
      </c>
      <c r="J358" s="2">
        <v>8</v>
      </c>
    </row>
    <row r="359" spans="1:10" ht="14.25" customHeight="1" x14ac:dyDescent="0.3">
      <c r="A359" s="2">
        <v>358</v>
      </c>
      <c r="B359" s="2" t="s">
        <v>885</v>
      </c>
      <c r="C359" s="2" t="s">
        <v>877</v>
      </c>
      <c r="D359" s="2" t="s">
        <v>246</v>
      </c>
      <c r="E359" s="10">
        <v>44752</v>
      </c>
      <c r="F359" s="2" t="s">
        <v>30</v>
      </c>
      <c r="G359" s="2" t="s">
        <v>128</v>
      </c>
      <c r="H359" s="2" t="s">
        <v>886</v>
      </c>
      <c r="I359" s="2" t="s">
        <v>23</v>
      </c>
      <c r="J359" s="2">
        <v>10</v>
      </c>
    </row>
    <row r="360" spans="1:10" ht="14.25" customHeight="1" x14ac:dyDescent="0.3">
      <c r="A360" s="2">
        <v>359</v>
      </c>
      <c r="B360" s="2" t="s">
        <v>887</v>
      </c>
      <c r="C360" s="2" t="s">
        <v>879</v>
      </c>
      <c r="D360" s="2" t="s">
        <v>249</v>
      </c>
      <c r="E360" s="10">
        <v>44759</v>
      </c>
      <c r="F360" s="2" t="s">
        <v>31</v>
      </c>
      <c r="G360" s="2" t="s">
        <v>128</v>
      </c>
      <c r="H360" s="2" t="s">
        <v>888</v>
      </c>
      <c r="I360" s="2" t="s">
        <v>24</v>
      </c>
      <c r="J360" s="2">
        <v>10</v>
      </c>
    </row>
    <row r="361" spans="1:10" ht="14.25" customHeight="1" x14ac:dyDescent="0.3">
      <c r="A361" s="2">
        <v>360</v>
      </c>
      <c r="B361" s="2" t="s">
        <v>889</v>
      </c>
      <c r="C361" s="2" t="s">
        <v>881</v>
      </c>
      <c r="D361" s="2" t="s">
        <v>252</v>
      </c>
      <c r="E361" s="10">
        <v>44763</v>
      </c>
      <c r="F361" s="2" t="s">
        <v>31</v>
      </c>
      <c r="G361" s="2" t="s">
        <v>128</v>
      </c>
      <c r="H361" s="2" t="s">
        <v>890</v>
      </c>
      <c r="I361" s="2" t="s">
        <v>25</v>
      </c>
      <c r="J361" s="2">
        <v>10</v>
      </c>
    </row>
    <row r="362" spans="1:10" ht="14.25" customHeight="1" x14ac:dyDescent="0.3">
      <c r="A362" s="2">
        <v>361</v>
      </c>
      <c r="B362" s="2" t="s">
        <v>891</v>
      </c>
      <c r="C362" s="2" t="s">
        <v>883</v>
      </c>
      <c r="D362" s="2" t="s">
        <v>255</v>
      </c>
      <c r="E362" s="10">
        <v>44763</v>
      </c>
      <c r="F362" s="2" t="s">
        <v>30</v>
      </c>
      <c r="G362" s="2" t="s">
        <v>128</v>
      </c>
      <c r="H362" s="2" t="s">
        <v>892</v>
      </c>
      <c r="I362" s="2" t="s">
        <v>23</v>
      </c>
      <c r="J362" s="2">
        <v>10</v>
      </c>
    </row>
    <row r="363" spans="1:10" ht="14.25" customHeight="1" x14ac:dyDescent="0.3">
      <c r="A363" s="2">
        <v>362</v>
      </c>
      <c r="B363" s="2" t="s">
        <v>893</v>
      </c>
      <c r="C363" s="2" t="s">
        <v>885</v>
      </c>
      <c r="D363" s="2" t="s">
        <v>258</v>
      </c>
      <c r="E363" s="10">
        <v>44750</v>
      </c>
      <c r="F363" s="2" t="s">
        <v>31</v>
      </c>
      <c r="G363" s="2" t="s">
        <v>128</v>
      </c>
      <c r="H363" s="2" t="s">
        <v>894</v>
      </c>
      <c r="I363" s="2" t="s">
        <v>24</v>
      </c>
      <c r="J363" s="2">
        <v>8</v>
      </c>
    </row>
    <row r="364" spans="1:10" ht="14.25" customHeight="1" x14ac:dyDescent="0.3">
      <c r="A364" s="2">
        <v>363</v>
      </c>
      <c r="B364" s="2" t="s">
        <v>895</v>
      </c>
      <c r="C364" s="2" t="s">
        <v>887</v>
      </c>
      <c r="D364" s="2" t="s">
        <v>188</v>
      </c>
      <c r="E364" s="10">
        <v>44751</v>
      </c>
      <c r="F364" s="2" t="s">
        <v>30</v>
      </c>
      <c r="G364" s="2" t="s">
        <v>128</v>
      </c>
      <c r="H364" s="2" t="s">
        <v>896</v>
      </c>
      <c r="I364" s="2" t="s">
        <v>25</v>
      </c>
      <c r="J364" s="2">
        <v>7</v>
      </c>
    </row>
    <row r="365" spans="1:10" ht="14.25" customHeight="1" x14ac:dyDescent="0.3">
      <c r="A365" s="2">
        <v>364</v>
      </c>
      <c r="B365" s="2" t="s">
        <v>897</v>
      </c>
      <c r="C365" s="2" t="s">
        <v>889</v>
      </c>
      <c r="D365" s="2" t="s">
        <v>191</v>
      </c>
      <c r="E365" s="10">
        <v>44736</v>
      </c>
      <c r="F365" s="2" t="s">
        <v>31</v>
      </c>
      <c r="G365" s="2" t="s">
        <v>128</v>
      </c>
      <c r="H365" s="2" t="s">
        <v>898</v>
      </c>
      <c r="I365" s="2" t="s">
        <v>23</v>
      </c>
      <c r="J365" s="2">
        <v>7</v>
      </c>
    </row>
    <row r="366" spans="1:10" ht="14.25" customHeight="1" x14ac:dyDescent="0.3">
      <c r="A366" s="2">
        <v>365</v>
      </c>
      <c r="B366" s="2" t="s">
        <v>899</v>
      </c>
      <c r="C366" s="2" t="s">
        <v>891</v>
      </c>
      <c r="D366" s="2" t="s">
        <v>194</v>
      </c>
      <c r="E366" s="10">
        <v>44737</v>
      </c>
      <c r="F366" s="2" t="s">
        <v>31</v>
      </c>
      <c r="G366" s="2" t="s">
        <v>128</v>
      </c>
      <c r="H366" s="2" t="s">
        <v>900</v>
      </c>
      <c r="I366" s="2" t="s">
        <v>24</v>
      </c>
      <c r="J366" s="2">
        <v>9</v>
      </c>
    </row>
    <row r="367" spans="1:10" ht="14.25" customHeight="1" x14ac:dyDescent="0.3">
      <c r="A367" s="2">
        <v>366</v>
      </c>
      <c r="B367" s="2" t="s">
        <v>901</v>
      </c>
      <c r="C367" s="2" t="s">
        <v>893</v>
      </c>
      <c r="D367" s="2" t="s">
        <v>158</v>
      </c>
      <c r="E367" s="10">
        <v>44744</v>
      </c>
      <c r="F367" s="2" t="s">
        <v>30</v>
      </c>
      <c r="G367" s="2" t="s">
        <v>128</v>
      </c>
      <c r="H367" s="2" t="s">
        <v>902</v>
      </c>
      <c r="I367" s="2" t="s">
        <v>25</v>
      </c>
      <c r="J367" s="2">
        <v>8</v>
      </c>
    </row>
    <row r="368" spans="1:10" ht="14.25" customHeight="1" x14ac:dyDescent="0.3">
      <c r="A368" s="2">
        <v>367</v>
      </c>
      <c r="B368" s="2" t="s">
        <v>903</v>
      </c>
      <c r="C368" s="2" t="s">
        <v>895</v>
      </c>
      <c r="D368" s="2" t="s">
        <v>200</v>
      </c>
      <c r="E368" s="10">
        <v>44735</v>
      </c>
      <c r="F368" s="2" t="s">
        <v>31</v>
      </c>
      <c r="G368" s="2" t="s">
        <v>135</v>
      </c>
      <c r="H368" s="2" t="s">
        <v>904</v>
      </c>
      <c r="I368" s="2" t="s">
        <v>23</v>
      </c>
      <c r="J368" s="2">
        <v>8</v>
      </c>
    </row>
    <row r="369" spans="1:10" ht="14.25" customHeight="1" x14ac:dyDescent="0.3">
      <c r="A369" s="2">
        <v>368</v>
      </c>
      <c r="B369" s="2" t="s">
        <v>905</v>
      </c>
      <c r="C369" s="2" t="s">
        <v>897</v>
      </c>
      <c r="D369" s="2" t="s">
        <v>203</v>
      </c>
      <c r="E369" s="10">
        <v>44751</v>
      </c>
      <c r="F369" s="2" t="s">
        <v>31</v>
      </c>
      <c r="G369" s="2" t="s">
        <v>128</v>
      </c>
      <c r="H369" s="2" t="s">
        <v>906</v>
      </c>
      <c r="I369" s="2" t="s">
        <v>24</v>
      </c>
      <c r="J369" s="2">
        <v>7</v>
      </c>
    </row>
    <row r="370" spans="1:10" ht="14.25" customHeight="1" x14ac:dyDescent="0.3">
      <c r="A370" s="2">
        <v>369</v>
      </c>
      <c r="B370" s="2" t="s">
        <v>907</v>
      </c>
      <c r="C370" s="2" t="s">
        <v>899</v>
      </c>
      <c r="D370" s="2" t="s">
        <v>207</v>
      </c>
      <c r="E370" s="10">
        <v>44726</v>
      </c>
      <c r="F370" s="2" t="s">
        <v>30</v>
      </c>
      <c r="G370" s="2" t="s">
        <v>128</v>
      </c>
      <c r="H370" s="2" t="s">
        <v>908</v>
      </c>
      <c r="I370" s="2" t="s">
        <v>25</v>
      </c>
      <c r="J370" s="2">
        <v>8</v>
      </c>
    </row>
    <row r="371" spans="1:10" ht="14.25" customHeight="1" x14ac:dyDescent="0.3">
      <c r="A371" s="2">
        <v>370</v>
      </c>
      <c r="B371" s="2" t="s">
        <v>909</v>
      </c>
      <c r="C371" s="2" t="s">
        <v>901</v>
      </c>
      <c r="D371" s="2" t="s">
        <v>210</v>
      </c>
      <c r="E371" s="10">
        <v>44749</v>
      </c>
      <c r="F371" s="2" t="s">
        <v>31</v>
      </c>
      <c r="G371" s="2" t="s">
        <v>128</v>
      </c>
      <c r="H371" s="2" t="s">
        <v>910</v>
      </c>
      <c r="I371" s="2" t="s">
        <v>23</v>
      </c>
      <c r="J371" s="2">
        <v>8</v>
      </c>
    </row>
    <row r="372" spans="1:10" ht="14.25" customHeight="1" x14ac:dyDescent="0.3">
      <c r="A372" s="2">
        <v>371</v>
      </c>
      <c r="B372" s="2" t="s">
        <v>911</v>
      </c>
      <c r="C372" s="2" t="s">
        <v>903</v>
      </c>
      <c r="D372" s="2" t="s">
        <v>213</v>
      </c>
      <c r="E372" s="10">
        <v>44734</v>
      </c>
      <c r="F372" s="2" t="s">
        <v>30</v>
      </c>
      <c r="G372" s="2" t="s">
        <v>128</v>
      </c>
      <c r="H372" s="2" t="s">
        <v>912</v>
      </c>
      <c r="I372" s="2" t="s">
        <v>24</v>
      </c>
      <c r="J372" s="2">
        <v>9</v>
      </c>
    </row>
    <row r="373" spans="1:10" ht="14.25" customHeight="1" x14ac:dyDescent="0.3">
      <c r="A373" s="2">
        <v>372</v>
      </c>
      <c r="B373" s="2" t="s">
        <v>913</v>
      </c>
      <c r="C373" s="2" t="s">
        <v>905</v>
      </c>
      <c r="D373" s="2" t="s">
        <v>216</v>
      </c>
      <c r="E373" s="10">
        <v>44726</v>
      </c>
      <c r="F373" s="2" t="s">
        <v>31</v>
      </c>
      <c r="G373" s="2" t="s">
        <v>128</v>
      </c>
      <c r="H373" s="2" t="s">
        <v>914</v>
      </c>
      <c r="I373" s="2" t="s">
        <v>25</v>
      </c>
      <c r="J373" s="2">
        <v>9</v>
      </c>
    </row>
    <row r="374" spans="1:10" ht="14.25" customHeight="1" x14ac:dyDescent="0.3">
      <c r="A374" s="2">
        <v>373</v>
      </c>
      <c r="B374" s="2" t="s">
        <v>915</v>
      </c>
      <c r="C374" s="2" t="s">
        <v>907</v>
      </c>
      <c r="D374" s="2" t="s">
        <v>127</v>
      </c>
      <c r="E374" s="10">
        <v>44743</v>
      </c>
      <c r="F374" s="2" t="s">
        <v>30</v>
      </c>
      <c r="G374" s="2" t="s">
        <v>135</v>
      </c>
      <c r="H374" s="2" t="s">
        <v>916</v>
      </c>
      <c r="I374" s="2" t="s">
        <v>23</v>
      </c>
      <c r="J374" s="2">
        <v>8</v>
      </c>
    </row>
    <row r="375" spans="1:10" ht="14.25" customHeight="1" x14ac:dyDescent="0.3">
      <c r="A375" s="2">
        <v>374</v>
      </c>
      <c r="B375" s="2" t="s">
        <v>917</v>
      </c>
      <c r="C375" s="2" t="s">
        <v>909</v>
      </c>
      <c r="D375" s="2" t="s">
        <v>131</v>
      </c>
      <c r="E375" s="10">
        <v>44742</v>
      </c>
      <c r="F375" s="2" t="s">
        <v>31</v>
      </c>
      <c r="G375" s="2" t="s">
        <v>128</v>
      </c>
      <c r="H375" s="2" t="s">
        <v>918</v>
      </c>
      <c r="I375" s="2" t="s">
        <v>24</v>
      </c>
      <c r="J375" s="2">
        <v>8</v>
      </c>
    </row>
    <row r="376" spans="1:10" ht="14.25" customHeight="1" x14ac:dyDescent="0.3">
      <c r="A376" s="2">
        <v>375</v>
      </c>
      <c r="B376" s="2" t="s">
        <v>919</v>
      </c>
      <c r="C376" s="2" t="s">
        <v>911</v>
      </c>
      <c r="D376" s="2" t="s">
        <v>134</v>
      </c>
      <c r="E376" s="10">
        <v>44747</v>
      </c>
      <c r="F376" s="2" t="s">
        <v>29</v>
      </c>
      <c r="G376" s="2" t="s">
        <v>128</v>
      </c>
      <c r="H376" s="2" t="s">
        <v>920</v>
      </c>
      <c r="I376" s="2" t="s">
        <v>25</v>
      </c>
      <c r="J376" s="2">
        <v>7</v>
      </c>
    </row>
    <row r="377" spans="1:10" ht="14.25" customHeight="1" x14ac:dyDescent="0.3">
      <c r="A377" s="2">
        <v>376</v>
      </c>
      <c r="B377" s="2" t="s">
        <v>921</v>
      </c>
      <c r="C377" s="2" t="s">
        <v>913</v>
      </c>
      <c r="D377" s="2" t="s">
        <v>138</v>
      </c>
      <c r="E377" s="10">
        <v>44764</v>
      </c>
      <c r="F377" s="2" t="s">
        <v>30</v>
      </c>
      <c r="G377" s="2" t="s">
        <v>128</v>
      </c>
      <c r="H377" s="2" t="s">
        <v>922</v>
      </c>
      <c r="I377" s="2" t="s">
        <v>23</v>
      </c>
      <c r="J377" s="2">
        <v>8</v>
      </c>
    </row>
    <row r="378" spans="1:10" ht="14.25" customHeight="1" x14ac:dyDescent="0.3">
      <c r="A378" s="2">
        <v>377</v>
      </c>
      <c r="B378" s="2" t="s">
        <v>923</v>
      </c>
      <c r="C378" s="2" t="s">
        <v>915</v>
      </c>
      <c r="D378" s="2" t="s">
        <v>141</v>
      </c>
      <c r="E378" s="10">
        <v>44735</v>
      </c>
      <c r="F378" s="2" t="s">
        <v>31</v>
      </c>
      <c r="G378" s="2" t="s">
        <v>128</v>
      </c>
      <c r="H378" s="2" t="s">
        <v>924</v>
      </c>
      <c r="I378" s="2" t="s">
        <v>24</v>
      </c>
      <c r="J378" s="2">
        <v>9</v>
      </c>
    </row>
    <row r="379" spans="1:10" ht="14.25" customHeight="1" x14ac:dyDescent="0.3">
      <c r="A379" s="2">
        <v>378</v>
      </c>
      <c r="B379" s="2" t="s">
        <v>925</v>
      </c>
      <c r="C379" s="2" t="s">
        <v>917</v>
      </c>
      <c r="D379" s="2" t="s">
        <v>144</v>
      </c>
      <c r="E379" s="10">
        <v>44737</v>
      </c>
      <c r="F379" s="2" t="s">
        <v>31</v>
      </c>
      <c r="G379" s="2" t="s">
        <v>128</v>
      </c>
      <c r="H379" s="2" t="s">
        <v>926</v>
      </c>
      <c r="I379" s="2" t="s">
        <v>25</v>
      </c>
      <c r="J379" s="2">
        <v>7</v>
      </c>
    </row>
    <row r="380" spans="1:10" ht="14.25" customHeight="1" x14ac:dyDescent="0.3">
      <c r="A380" s="2">
        <v>379</v>
      </c>
      <c r="B380" s="2" t="s">
        <v>927</v>
      </c>
      <c r="C380" s="2" t="s">
        <v>919</v>
      </c>
      <c r="D380" s="2" t="s">
        <v>147</v>
      </c>
      <c r="E380" s="10">
        <v>44749</v>
      </c>
      <c r="F380" s="2" t="s">
        <v>30</v>
      </c>
      <c r="G380" s="2" t="s">
        <v>128</v>
      </c>
      <c r="H380" s="2" t="s">
        <v>928</v>
      </c>
      <c r="I380" s="2" t="s">
        <v>23</v>
      </c>
      <c r="J380" s="2">
        <v>8</v>
      </c>
    </row>
    <row r="381" spans="1:10" ht="14.25" customHeight="1" x14ac:dyDescent="0.3">
      <c r="A381" s="2">
        <v>380</v>
      </c>
      <c r="B381" s="2" t="s">
        <v>929</v>
      </c>
      <c r="C381" s="2" t="s">
        <v>921</v>
      </c>
      <c r="D381" s="2" t="s">
        <v>147</v>
      </c>
      <c r="E381" s="10">
        <v>44729</v>
      </c>
      <c r="F381" s="2" t="s">
        <v>31</v>
      </c>
      <c r="G381" s="2" t="s">
        <v>128</v>
      </c>
      <c r="H381" s="2" t="s">
        <v>930</v>
      </c>
      <c r="I381" s="2" t="s">
        <v>24</v>
      </c>
      <c r="J381" s="2">
        <v>9</v>
      </c>
    </row>
    <row r="382" spans="1:10" ht="14.25" customHeight="1" x14ac:dyDescent="0.3">
      <c r="A382" s="2">
        <v>381</v>
      </c>
      <c r="B382" s="2" t="s">
        <v>931</v>
      </c>
      <c r="C382" s="2" t="s">
        <v>923</v>
      </c>
      <c r="D382" s="2" t="s">
        <v>153</v>
      </c>
      <c r="E382" s="10">
        <v>44738</v>
      </c>
      <c r="F382" s="2" t="s">
        <v>30</v>
      </c>
      <c r="G382" s="2" t="s">
        <v>128</v>
      </c>
      <c r="H382" s="2" t="s">
        <v>932</v>
      </c>
      <c r="I382" s="2" t="s">
        <v>25</v>
      </c>
      <c r="J382" s="2">
        <v>8</v>
      </c>
    </row>
    <row r="383" spans="1:10" ht="14.25" customHeight="1" x14ac:dyDescent="0.3">
      <c r="A383" s="2">
        <v>382</v>
      </c>
      <c r="B383" s="2" t="s">
        <v>933</v>
      </c>
      <c r="C383" s="2" t="s">
        <v>925</v>
      </c>
      <c r="D383" s="2" t="s">
        <v>144</v>
      </c>
      <c r="E383" s="10">
        <v>44740</v>
      </c>
      <c r="F383" s="2" t="s">
        <v>31</v>
      </c>
      <c r="G383" s="2" t="s">
        <v>128</v>
      </c>
      <c r="H383" s="2" t="s">
        <v>934</v>
      </c>
      <c r="I383" s="2" t="s">
        <v>23</v>
      </c>
      <c r="J383" s="2">
        <v>7</v>
      </c>
    </row>
    <row r="384" spans="1:10" ht="14.25" customHeight="1" x14ac:dyDescent="0.3">
      <c r="A384" s="2">
        <v>383</v>
      </c>
      <c r="B384" s="2" t="s">
        <v>935</v>
      </c>
      <c r="C384" s="2" t="s">
        <v>927</v>
      </c>
      <c r="D384" s="2" t="s">
        <v>158</v>
      </c>
      <c r="E384" s="10">
        <v>44755</v>
      </c>
      <c r="F384" s="2" t="s">
        <v>31</v>
      </c>
      <c r="G384" s="2" t="s">
        <v>128</v>
      </c>
      <c r="H384" s="2" t="s">
        <v>936</v>
      </c>
      <c r="I384" s="2" t="s">
        <v>24</v>
      </c>
      <c r="J384" s="2">
        <v>10</v>
      </c>
    </row>
    <row r="385" spans="1:10" ht="14.25" customHeight="1" x14ac:dyDescent="0.3">
      <c r="A385" s="2">
        <v>384</v>
      </c>
      <c r="B385" s="2" t="s">
        <v>937</v>
      </c>
      <c r="C385" s="2" t="s">
        <v>929</v>
      </c>
      <c r="D385" s="2" t="s">
        <v>161</v>
      </c>
      <c r="E385" s="10">
        <v>44755</v>
      </c>
      <c r="F385" s="2" t="s">
        <v>30</v>
      </c>
      <c r="G385" s="2" t="s">
        <v>128</v>
      </c>
      <c r="H385" s="2" t="s">
        <v>938</v>
      </c>
      <c r="I385" s="2" t="s">
        <v>25</v>
      </c>
      <c r="J385" s="2">
        <v>7</v>
      </c>
    </row>
    <row r="386" spans="1:10" ht="14.25" customHeight="1" x14ac:dyDescent="0.3">
      <c r="A386" s="2">
        <v>385</v>
      </c>
      <c r="B386" s="2" t="s">
        <v>939</v>
      </c>
      <c r="C386" s="2" t="s">
        <v>931</v>
      </c>
      <c r="D386" s="2" t="s">
        <v>164</v>
      </c>
      <c r="E386" s="10">
        <v>44764</v>
      </c>
      <c r="F386" s="2" t="s">
        <v>31</v>
      </c>
      <c r="G386" s="2" t="s">
        <v>128</v>
      </c>
      <c r="H386" s="2" t="s">
        <v>940</v>
      </c>
      <c r="I386" s="2" t="s">
        <v>23</v>
      </c>
      <c r="J386" s="2">
        <v>8</v>
      </c>
    </row>
    <row r="387" spans="1:10" ht="14.25" customHeight="1" x14ac:dyDescent="0.3">
      <c r="A387" s="2">
        <v>386</v>
      </c>
      <c r="B387" s="2" t="s">
        <v>941</v>
      </c>
      <c r="C387" s="2" t="s">
        <v>933</v>
      </c>
      <c r="D387" s="2" t="s">
        <v>167</v>
      </c>
      <c r="E387" s="10">
        <v>44735</v>
      </c>
      <c r="F387" s="2" t="s">
        <v>31</v>
      </c>
      <c r="G387" s="2" t="s">
        <v>128</v>
      </c>
      <c r="H387" s="2" t="s">
        <v>942</v>
      </c>
      <c r="I387" s="2" t="s">
        <v>24</v>
      </c>
      <c r="J387" s="2">
        <v>7</v>
      </c>
    </row>
    <row r="388" spans="1:10" ht="14.25" customHeight="1" x14ac:dyDescent="0.3">
      <c r="A388" s="2">
        <v>387</v>
      </c>
      <c r="B388" s="2" t="s">
        <v>943</v>
      </c>
      <c r="C388" s="2" t="s">
        <v>935</v>
      </c>
      <c r="D388" s="2" t="s">
        <v>144</v>
      </c>
      <c r="E388" s="10">
        <v>44734</v>
      </c>
      <c r="F388" s="2" t="s">
        <v>30</v>
      </c>
      <c r="G388" s="2" t="s">
        <v>128</v>
      </c>
      <c r="H388" s="2" t="s">
        <v>944</v>
      </c>
      <c r="I388" s="2" t="s">
        <v>25</v>
      </c>
      <c r="J388" s="2">
        <v>9</v>
      </c>
    </row>
    <row r="389" spans="1:10" ht="14.25" customHeight="1" x14ac:dyDescent="0.3">
      <c r="A389" s="2">
        <v>388</v>
      </c>
      <c r="B389" s="2" t="s">
        <v>945</v>
      </c>
      <c r="C389" s="2" t="s">
        <v>937</v>
      </c>
      <c r="D389" s="2" t="s">
        <v>172</v>
      </c>
      <c r="E389" s="10">
        <v>44728</v>
      </c>
      <c r="F389" s="2" t="s">
        <v>31</v>
      </c>
      <c r="G389" s="2" t="s">
        <v>128</v>
      </c>
      <c r="H389" s="2" t="s">
        <v>946</v>
      </c>
      <c r="I389" s="2" t="s">
        <v>23</v>
      </c>
      <c r="J389" s="2">
        <v>8</v>
      </c>
    </row>
    <row r="390" spans="1:10" ht="14.25" customHeight="1" x14ac:dyDescent="0.3">
      <c r="A390" s="2">
        <v>389</v>
      </c>
      <c r="B390" s="2" t="s">
        <v>947</v>
      </c>
      <c r="C390" s="2" t="s">
        <v>939</v>
      </c>
      <c r="D390" s="2" t="s">
        <v>161</v>
      </c>
      <c r="E390" s="10">
        <v>44739</v>
      </c>
      <c r="F390" s="2" t="s">
        <v>30</v>
      </c>
      <c r="G390" s="2" t="s">
        <v>128</v>
      </c>
      <c r="H390" s="2" t="s">
        <v>948</v>
      </c>
      <c r="I390" s="2" t="s">
        <v>24</v>
      </c>
      <c r="J390" s="2">
        <v>9</v>
      </c>
    </row>
    <row r="391" spans="1:10" ht="14.25" customHeight="1" x14ac:dyDescent="0.3">
      <c r="A391" s="2">
        <v>390</v>
      </c>
      <c r="B391" s="2" t="s">
        <v>949</v>
      </c>
      <c r="C391" s="2" t="s">
        <v>941</v>
      </c>
      <c r="D391" s="2" t="s">
        <v>141</v>
      </c>
      <c r="E391" s="10">
        <v>44765</v>
      </c>
      <c r="F391" s="2" t="s">
        <v>31</v>
      </c>
      <c r="G391" s="2" t="s">
        <v>128</v>
      </c>
      <c r="H391" s="2" t="s">
        <v>950</v>
      </c>
      <c r="I391" s="2" t="s">
        <v>25</v>
      </c>
      <c r="J391" s="2">
        <v>9</v>
      </c>
    </row>
    <row r="392" spans="1:10" ht="14.25" customHeight="1" x14ac:dyDescent="0.3">
      <c r="A392" s="2">
        <v>391</v>
      </c>
      <c r="B392" s="2" t="s">
        <v>951</v>
      </c>
      <c r="C392" s="2" t="s">
        <v>943</v>
      </c>
      <c r="D392" s="2" t="s">
        <v>179</v>
      </c>
      <c r="E392" s="10">
        <v>44740</v>
      </c>
      <c r="F392" s="2" t="s">
        <v>30</v>
      </c>
      <c r="G392" s="2" t="s">
        <v>128</v>
      </c>
      <c r="H392" s="2" t="s">
        <v>952</v>
      </c>
      <c r="I392" s="2" t="s">
        <v>23</v>
      </c>
      <c r="J392" s="2">
        <v>9</v>
      </c>
    </row>
    <row r="393" spans="1:10" ht="14.25" customHeight="1" x14ac:dyDescent="0.3">
      <c r="A393" s="2">
        <v>392</v>
      </c>
      <c r="B393" s="2" t="s">
        <v>953</v>
      </c>
      <c r="C393" s="2" t="s">
        <v>945</v>
      </c>
      <c r="D393" s="2" t="s">
        <v>182</v>
      </c>
      <c r="E393" s="10">
        <v>44734</v>
      </c>
      <c r="F393" s="2" t="s">
        <v>31</v>
      </c>
      <c r="G393" s="2" t="s">
        <v>128</v>
      </c>
      <c r="H393" s="2" t="s">
        <v>954</v>
      </c>
      <c r="I393" s="2" t="s">
        <v>24</v>
      </c>
      <c r="J393" s="2">
        <v>9</v>
      </c>
    </row>
    <row r="394" spans="1:10" ht="14.25" customHeight="1" x14ac:dyDescent="0.3">
      <c r="A394" s="2">
        <v>393</v>
      </c>
      <c r="B394" s="2" t="s">
        <v>955</v>
      </c>
      <c r="C394" s="2" t="s">
        <v>947</v>
      </c>
      <c r="D394" s="2" t="s">
        <v>185</v>
      </c>
      <c r="E394" s="10">
        <v>44727</v>
      </c>
      <c r="F394" s="2" t="s">
        <v>29</v>
      </c>
      <c r="G394" s="2" t="s">
        <v>128</v>
      </c>
      <c r="H394" s="2" t="s">
        <v>956</v>
      </c>
      <c r="I394" s="2" t="s">
        <v>25</v>
      </c>
      <c r="J394" s="2">
        <v>9</v>
      </c>
    </row>
    <row r="395" spans="1:10" ht="14.25" customHeight="1" x14ac:dyDescent="0.3">
      <c r="A395" s="2">
        <v>394</v>
      </c>
      <c r="B395" s="2" t="s">
        <v>957</v>
      </c>
      <c r="C395" s="2" t="s">
        <v>949</v>
      </c>
      <c r="D395" s="2" t="s">
        <v>158</v>
      </c>
      <c r="E395" s="10">
        <v>44737</v>
      </c>
      <c r="F395" s="2" t="s">
        <v>30</v>
      </c>
      <c r="G395" s="2" t="s">
        <v>128</v>
      </c>
      <c r="H395" s="2" t="s">
        <v>958</v>
      </c>
      <c r="I395" s="2" t="s">
        <v>23</v>
      </c>
      <c r="J395" s="2">
        <v>8</v>
      </c>
    </row>
    <row r="396" spans="1:10" ht="14.25" customHeight="1" x14ac:dyDescent="0.3">
      <c r="A396" s="2">
        <v>395</v>
      </c>
      <c r="B396" s="2" t="s">
        <v>959</v>
      </c>
      <c r="C396" s="2" t="s">
        <v>951</v>
      </c>
      <c r="D396" s="2" t="s">
        <v>191</v>
      </c>
      <c r="E396" s="10">
        <v>44747</v>
      </c>
      <c r="F396" s="2" t="s">
        <v>31</v>
      </c>
      <c r="G396" s="2" t="s">
        <v>135</v>
      </c>
      <c r="H396" s="2" t="s">
        <v>960</v>
      </c>
      <c r="I396" s="2" t="s">
        <v>24</v>
      </c>
      <c r="J396" s="2">
        <v>8</v>
      </c>
    </row>
    <row r="397" spans="1:10" ht="14.25" customHeight="1" x14ac:dyDescent="0.3">
      <c r="A397" s="2">
        <v>396</v>
      </c>
      <c r="B397" s="2" t="s">
        <v>961</v>
      </c>
      <c r="C397" s="2" t="s">
        <v>953</v>
      </c>
      <c r="D397" s="2" t="s">
        <v>194</v>
      </c>
      <c r="E397" s="10">
        <v>44754</v>
      </c>
      <c r="F397" s="2" t="s">
        <v>31</v>
      </c>
      <c r="G397" s="2" t="s">
        <v>128</v>
      </c>
      <c r="H397" s="2" t="s">
        <v>962</v>
      </c>
      <c r="I397" s="2" t="s">
        <v>25</v>
      </c>
      <c r="J397" s="2">
        <v>7</v>
      </c>
    </row>
    <row r="398" spans="1:10" ht="14.25" customHeight="1" x14ac:dyDescent="0.3">
      <c r="A398" s="2">
        <v>397</v>
      </c>
      <c r="B398" s="2" t="s">
        <v>963</v>
      </c>
      <c r="C398" s="2" t="s">
        <v>955</v>
      </c>
      <c r="D398" s="2" t="s">
        <v>197</v>
      </c>
      <c r="E398" s="10">
        <v>44760</v>
      </c>
      <c r="F398" s="2" t="s">
        <v>30</v>
      </c>
      <c r="G398" s="2" t="s">
        <v>128</v>
      </c>
      <c r="H398" s="2" t="s">
        <v>964</v>
      </c>
      <c r="I398" s="2" t="s">
        <v>23</v>
      </c>
      <c r="J398" s="2">
        <v>7</v>
      </c>
    </row>
    <row r="399" spans="1:10" ht="14.25" customHeight="1" x14ac:dyDescent="0.3">
      <c r="A399" s="2">
        <v>398</v>
      </c>
      <c r="B399" s="2" t="s">
        <v>965</v>
      </c>
      <c r="C399" s="2" t="s">
        <v>957</v>
      </c>
      <c r="D399" s="2" t="s">
        <v>200</v>
      </c>
      <c r="E399" s="10">
        <v>44759</v>
      </c>
      <c r="F399" s="2" t="s">
        <v>31</v>
      </c>
      <c r="G399" s="2" t="s">
        <v>128</v>
      </c>
      <c r="H399" s="2" t="s">
        <v>966</v>
      </c>
      <c r="I399" s="2" t="s">
        <v>24</v>
      </c>
      <c r="J399" s="2">
        <v>9</v>
      </c>
    </row>
    <row r="400" spans="1:10" ht="14.25" customHeight="1" x14ac:dyDescent="0.3">
      <c r="A400" s="2">
        <v>399</v>
      </c>
      <c r="B400" s="2" t="s">
        <v>967</v>
      </c>
      <c r="C400" s="2" t="s">
        <v>959</v>
      </c>
      <c r="D400" s="2" t="s">
        <v>203</v>
      </c>
      <c r="E400" s="10">
        <v>44735</v>
      </c>
      <c r="F400" s="2" t="s">
        <v>30</v>
      </c>
      <c r="G400" s="2" t="s">
        <v>128</v>
      </c>
      <c r="H400" s="2" t="s">
        <v>968</v>
      </c>
      <c r="I400" s="2" t="s">
        <v>25</v>
      </c>
      <c r="J400" s="2">
        <v>8</v>
      </c>
    </row>
    <row r="401" spans="1:10" ht="14.25" customHeight="1" x14ac:dyDescent="0.3">
      <c r="A401" s="2">
        <v>400</v>
      </c>
      <c r="B401" s="2" t="s">
        <v>969</v>
      </c>
      <c r="C401" s="2" t="s">
        <v>961</v>
      </c>
      <c r="D401" s="2" t="s">
        <v>207</v>
      </c>
      <c r="E401" s="10">
        <v>44734</v>
      </c>
      <c r="F401" s="2" t="s">
        <v>31</v>
      </c>
      <c r="G401" s="2" t="s">
        <v>128</v>
      </c>
      <c r="H401" s="2" t="s">
        <v>970</v>
      </c>
      <c r="I401" s="2" t="s">
        <v>25</v>
      </c>
      <c r="J401" s="2">
        <v>8</v>
      </c>
    </row>
    <row r="402" spans="1:10" ht="14.25" customHeight="1" x14ac:dyDescent="0.3">
      <c r="A402" s="2">
        <v>401</v>
      </c>
      <c r="B402" s="2" t="s">
        <v>971</v>
      </c>
      <c r="C402" s="2" t="s">
        <v>963</v>
      </c>
      <c r="D402" s="2" t="s">
        <v>210</v>
      </c>
      <c r="E402" s="10">
        <v>44753</v>
      </c>
      <c r="F402" s="2" t="s">
        <v>31</v>
      </c>
      <c r="G402" s="2" t="s">
        <v>135</v>
      </c>
      <c r="H402" s="2" t="s">
        <v>972</v>
      </c>
      <c r="I402" s="2" t="s">
        <v>25</v>
      </c>
      <c r="J402" s="2">
        <v>10</v>
      </c>
    </row>
    <row r="403" spans="1:10" ht="14.25" customHeight="1" x14ac:dyDescent="0.3">
      <c r="A403" s="2">
        <v>402</v>
      </c>
      <c r="B403" s="2" t="s">
        <v>973</v>
      </c>
      <c r="C403" s="2" t="s">
        <v>965</v>
      </c>
      <c r="D403" s="2" t="s">
        <v>213</v>
      </c>
      <c r="E403" s="10">
        <v>44739</v>
      </c>
      <c r="F403" s="2" t="s">
        <v>30</v>
      </c>
      <c r="G403" s="2" t="s">
        <v>128</v>
      </c>
      <c r="H403" s="2" t="s">
        <v>974</v>
      </c>
      <c r="I403" s="2" t="s">
        <v>23</v>
      </c>
      <c r="J403" s="2">
        <v>8</v>
      </c>
    </row>
    <row r="404" spans="1:10" ht="14.25" customHeight="1" x14ac:dyDescent="0.3">
      <c r="A404" s="2">
        <v>403</v>
      </c>
      <c r="B404" s="2" t="s">
        <v>975</v>
      </c>
      <c r="C404" s="2" t="s">
        <v>967</v>
      </c>
      <c r="D404" s="2" t="s">
        <v>216</v>
      </c>
      <c r="E404" s="10">
        <v>44740</v>
      </c>
      <c r="F404" s="2" t="s">
        <v>31</v>
      </c>
      <c r="G404" s="2" t="s">
        <v>128</v>
      </c>
      <c r="H404" s="2" t="s">
        <v>976</v>
      </c>
      <c r="I404" s="2" t="s">
        <v>24</v>
      </c>
      <c r="J404" s="2">
        <v>8</v>
      </c>
    </row>
    <row r="405" spans="1:10" ht="14.25" customHeight="1" x14ac:dyDescent="0.3">
      <c r="A405" s="2">
        <v>404</v>
      </c>
      <c r="B405" s="2" t="s">
        <v>977</v>
      </c>
      <c r="C405" s="2" t="s">
        <v>969</v>
      </c>
      <c r="D405" s="2" t="s">
        <v>219</v>
      </c>
      <c r="E405" s="10">
        <v>44748</v>
      </c>
      <c r="F405" s="2" t="s">
        <v>31</v>
      </c>
      <c r="G405" s="2" t="s">
        <v>128</v>
      </c>
      <c r="H405" s="2" t="s">
        <v>978</v>
      </c>
      <c r="I405" s="2" t="s">
        <v>25</v>
      </c>
      <c r="J405" s="2">
        <v>8</v>
      </c>
    </row>
    <row r="406" spans="1:10" ht="14.25" customHeight="1" x14ac:dyDescent="0.3">
      <c r="A406" s="2">
        <v>405</v>
      </c>
      <c r="B406" s="2" t="s">
        <v>979</v>
      </c>
      <c r="C406" s="2" t="s">
        <v>971</v>
      </c>
      <c r="D406" s="2" t="s">
        <v>167</v>
      </c>
      <c r="E406" s="10">
        <v>44731</v>
      </c>
      <c r="F406" s="2" t="s">
        <v>30</v>
      </c>
      <c r="G406" s="2" t="s">
        <v>128</v>
      </c>
      <c r="H406" s="2" t="s">
        <v>980</v>
      </c>
      <c r="I406" s="2" t="s">
        <v>23</v>
      </c>
      <c r="J406" s="2">
        <v>8</v>
      </c>
    </row>
    <row r="407" spans="1:10" ht="14.25" customHeight="1" x14ac:dyDescent="0.3">
      <c r="A407" s="2">
        <v>406</v>
      </c>
      <c r="B407" s="2" t="s">
        <v>981</v>
      </c>
      <c r="C407" s="2" t="s">
        <v>973</v>
      </c>
      <c r="D407" s="2" t="s">
        <v>191</v>
      </c>
      <c r="E407" s="10">
        <v>44763</v>
      </c>
      <c r="F407" s="2" t="s">
        <v>31</v>
      </c>
      <c r="G407" s="2" t="s">
        <v>128</v>
      </c>
      <c r="H407" s="2" t="s">
        <v>982</v>
      </c>
      <c r="I407" s="2" t="s">
        <v>24</v>
      </c>
      <c r="J407" s="2">
        <v>7</v>
      </c>
    </row>
    <row r="408" spans="1:10" ht="14.25" customHeight="1" x14ac:dyDescent="0.3">
      <c r="A408" s="2">
        <v>407</v>
      </c>
      <c r="B408" s="2" t="s">
        <v>983</v>
      </c>
      <c r="C408" s="2" t="s">
        <v>975</v>
      </c>
      <c r="D408" s="2" t="s">
        <v>207</v>
      </c>
      <c r="E408" s="10">
        <v>44733</v>
      </c>
      <c r="F408" s="2" t="s">
        <v>30</v>
      </c>
      <c r="G408" s="2" t="s">
        <v>128</v>
      </c>
      <c r="H408" s="2" t="s">
        <v>984</v>
      </c>
      <c r="I408" s="2" t="s">
        <v>25</v>
      </c>
      <c r="J408" s="2">
        <v>7</v>
      </c>
    </row>
    <row r="409" spans="1:10" ht="14.25" customHeight="1" x14ac:dyDescent="0.3">
      <c r="A409" s="2">
        <v>408</v>
      </c>
      <c r="B409" s="2" t="s">
        <v>985</v>
      </c>
      <c r="C409" s="2" t="s">
        <v>977</v>
      </c>
      <c r="D409" s="2" t="s">
        <v>141</v>
      </c>
      <c r="E409" s="10">
        <v>44746</v>
      </c>
      <c r="F409" s="2" t="s">
        <v>31</v>
      </c>
      <c r="G409" s="2" t="s">
        <v>128</v>
      </c>
      <c r="H409" s="2" t="s">
        <v>986</v>
      </c>
      <c r="I409" s="2" t="s">
        <v>23</v>
      </c>
      <c r="J409" s="2">
        <v>9</v>
      </c>
    </row>
    <row r="410" spans="1:10" ht="14.25" customHeight="1" x14ac:dyDescent="0.3">
      <c r="A410" s="2">
        <v>409</v>
      </c>
      <c r="B410" s="2" t="s">
        <v>987</v>
      </c>
      <c r="C410" s="2" t="s">
        <v>979</v>
      </c>
      <c r="D410" s="2" t="s">
        <v>172</v>
      </c>
      <c r="E410" s="10">
        <v>44755</v>
      </c>
      <c r="F410" s="2" t="s">
        <v>30</v>
      </c>
      <c r="G410" s="2" t="s">
        <v>128</v>
      </c>
      <c r="H410" s="2" t="s">
        <v>988</v>
      </c>
      <c r="I410" s="2" t="s">
        <v>24</v>
      </c>
      <c r="J410" s="2">
        <v>7</v>
      </c>
    </row>
    <row r="411" spans="1:10" ht="14.25" customHeight="1" x14ac:dyDescent="0.3">
      <c r="A411" s="2">
        <v>410</v>
      </c>
      <c r="B411" s="2" t="s">
        <v>989</v>
      </c>
      <c r="C411" s="2" t="s">
        <v>981</v>
      </c>
      <c r="D411" s="2" t="s">
        <v>213</v>
      </c>
      <c r="E411" s="10">
        <v>44755</v>
      </c>
      <c r="F411" s="2" t="s">
        <v>31</v>
      </c>
      <c r="G411" s="2" t="s">
        <v>128</v>
      </c>
      <c r="H411" s="2" t="s">
        <v>990</v>
      </c>
      <c r="I411" s="2" t="s">
        <v>25</v>
      </c>
      <c r="J411" s="2">
        <v>9</v>
      </c>
    </row>
    <row r="412" spans="1:10" ht="14.25" customHeight="1" x14ac:dyDescent="0.3">
      <c r="A412" s="2">
        <v>411</v>
      </c>
      <c r="B412" s="2" t="s">
        <v>991</v>
      </c>
      <c r="C412" s="2" t="s">
        <v>983</v>
      </c>
      <c r="D412" s="2" t="s">
        <v>216</v>
      </c>
      <c r="E412" s="10">
        <v>44727</v>
      </c>
      <c r="F412" s="2" t="s">
        <v>29</v>
      </c>
      <c r="G412" s="2" t="s">
        <v>128</v>
      </c>
      <c r="H412" s="2" t="s">
        <v>992</v>
      </c>
      <c r="I412" s="2" t="s">
        <v>23</v>
      </c>
      <c r="J412" s="2">
        <v>10</v>
      </c>
    </row>
    <row r="413" spans="1:10" ht="14.25" customHeight="1" x14ac:dyDescent="0.3">
      <c r="A413" s="2">
        <v>412</v>
      </c>
      <c r="B413" s="2" t="s">
        <v>993</v>
      </c>
      <c r="C413" s="2" t="s">
        <v>985</v>
      </c>
      <c r="D413" s="2" t="s">
        <v>238</v>
      </c>
      <c r="E413" s="10">
        <v>44746</v>
      </c>
      <c r="F413" s="2" t="s">
        <v>30</v>
      </c>
      <c r="G413" s="2" t="s">
        <v>128</v>
      </c>
      <c r="H413" s="2" t="s">
        <v>994</v>
      </c>
      <c r="I413" s="2" t="s">
        <v>24</v>
      </c>
      <c r="J413" s="2">
        <v>7</v>
      </c>
    </row>
    <row r="414" spans="1:10" ht="14.25" customHeight="1" x14ac:dyDescent="0.3">
      <c r="A414" s="2">
        <v>413</v>
      </c>
      <c r="B414" s="2" t="s">
        <v>995</v>
      </c>
      <c r="C414" s="2" t="s">
        <v>987</v>
      </c>
      <c r="D414" s="2" t="s">
        <v>381</v>
      </c>
      <c r="E414" s="10">
        <v>44740</v>
      </c>
      <c r="F414" s="2" t="s">
        <v>31</v>
      </c>
      <c r="G414" s="2" t="s">
        <v>128</v>
      </c>
      <c r="H414" s="2" t="s">
        <v>996</v>
      </c>
      <c r="I414" s="2" t="s">
        <v>25</v>
      </c>
      <c r="J414" s="2">
        <v>10</v>
      </c>
    </row>
    <row r="415" spans="1:10" ht="14.25" customHeight="1" x14ac:dyDescent="0.3">
      <c r="A415" s="2">
        <v>414</v>
      </c>
      <c r="B415" s="2" t="s">
        <v>997</v>
      </c>
      <c r="C415" s="2" t="s">
        <v>989</v>
      </c>
      <c r="D415" s="2" t="s">
        <v>243</v>
      </c>
      <c r="E415" s="10">
        <v>44743</v>
      </c>
      <c r="F415" s="2" t="s">
        <v>31</v>
      </c>
      <c r="G415" s="2" t="s">
        <v>128</v>
      </c>
      <c r="H415" s="2" t="s">
        <v>998</v>
      </c>
      <c r="I415" s="2" t="s">
        <v>23</v>
      </c>
      <c r="J415" s="2">
        <v>9</v>
      </c>
    </row>
    <row r="416" spans="1:10" ht="14.25" customHeight="1" x14ac:dyDescent="0.3">
      <c r="A416" s="2">
        <v>415</v>
      </c>
      <c r="B416" s="2" t="s">
        <v>999</v>
      </c>
      <c r="C416" s="2" t="s">
        <v>991</v>
      </c>
      <c r="D416" s="2" t="s">
        <v>246</v>
      </c>
      <c r="E416" s="10">
        <v>44737</v>
      </c>
      <c r="F416" s="2" t="s">
        <v>30</v>
      </c>
      <c r="G416" s="2" t="s">
        <v>128</v>
      </c>
      <c r="H416" s="2" t="s">
        <v>1000</v>
      </c>
      <c r="I416" s="2" t="s">
        <v>24</v>
      </c>
      <c r="J416" s="2">
        <v>8</v>
      </c>
    </row>
    <row r="417" spans="1:10" ht="14.25" customHeight="1" x14ac:dyDescent="0.3">
      <c r="A417" s="2">
        <v>416</v>
      </c>
      <c r="B417" s="2" t="s">
        <v>1001</v>
      </c>
      <c r="C417" s="2" t="s">
        <v>993</v>
      </c>
      <c r="D417" s="2" t="s">
        <v>249</v>
      </c>
      <c r="E417" s="10">
        <v>44757</v>
      </c>
      <c r="F417" s="2" t="s">
        <v>31</v>
      </c>
      <c r="G417" s="2" t="s">
        <v>128</v>
      </c>
      <c r="H417" s="2" t="s">
        <v>1002</v>
      </c>
      <c r="I417" s="2" t="s">
        <v>25</v>
      </c>
      <c r="J417" s="2">
        <v>7</v>
      </c>
    </row>
    <row r="418" spans="1:10" ht="14.25" customHeight="1" x14ac:dyDescent="0.3">
      <c r="A418" s="2">
        <v>417</v>
      </c>
      <c r="B418" s="2" t="s">
        <v>1003</v>
      </c>
      <c r="C418" s="2" t="s">
        <v>995</v>
      </c>
      <c r="D418" s="2" t="s">
        <v>158</v>
      </c>
      <c r="E418" s="10">
        <v>44745</v>
      </c>
      <c r="F418" s="2" t="s">
        <v>30</v>
      </c>
      <c r="G418" s="2" t="s">
        <v>128</v>
      </c>
      <c r="H418" s="2" t="s">
        <v>1004</v>
      </c>
      <c r="I418" s="2" t="s">
        <v>23</v>
      </c>
      <c r="J418" s="2">
        <v>7</v>
      </c>
    </row>
    <row r="419" spans="1:10" ht="14.25" customHeight="1" x14ac:dyDescent="0.3">
      <c r="A419" s="2">
        <v>418</v>
      </c>
      <c r="B419" s="2" t="s">
        <v>1005</v>
      </c>
      <c r="C419" s="2" t="s">
        <v>997</v>
      </c>
      <c r="D419" s="2" t="s">
        <v>255</v>
      </c>
      <c r="E419" s="10">
        <v>44760</v>
      </c>
      <c r="F419" s="2" t="s">
        <v>31</v>
      </c>
      <c r="G419" s="2" t="s">
        <v>128</v>
      </c>
      <c r="H419" s="2" t="s">
        <v>1006</v>
      </c>
      <c r="I419" s="2" t="s">
        <v>24</v>
      </c>
      <c r="J419" s="2">
        <v>7</v>
      </c>
    </row>
    <row r="420" spans="1:10" ht="14.25" customHeight="1" x14ac:dyDescent="0.3">
      <c r="A420" s="2">
        <v>419</v>
      </c>
      <c r="B420" s="2" t="s">
        <v>1007</v>
      </c>
      <c r="C420" s="2" t="s">
        <v>999</v>
      </c>
      <c r="D420" s="2" t="s">
        <v>258</v>
      </c>
      <c r="E420" s="10">
        <v>44750</v>
      </c>
      <c r="F420" s="2" t="s">
        <v>31</v>
      </c>
      <c r="G420" s="2" t="s">
        <v>128</v>
      </c>
      <c r="H420" s="2" t="s">
        <v>1008</v>
      </c>
      <c r="I420" s="2" t="s">
        <v>25</v>
      </c>
      <c r="J420" s="2">
        <v>10</v>
      </c>
    </row>
    <row r="421" spans="1:10" ht="14.25" customHeight="1" x14ac:dyDescent="0.3">
      <c r="A421" s="2">
        <v>420</v>
      </c>
      <c r="B421" s="2" t="s">
        <v>1009</v>
      </c>
      <c r="C421" s="2" t="s">
        <v>1001</v>
      </c>
      <c r="D421" s="2" t="s">
        <v>261</v>
      </c>
      <c r="E421" s="10">
        <v>44742</v>
      </c>
      <c r="F421" s="2" t="s">
        <v>30</v>
      </c>
      <c r="G421" s="2" t="s">
        <v>128</v>
      </c>
      <c r="H421" s="2" t="s">
        <v>1010</v>
      </c>
      <c r="I421" s="2" t="s">
        <v>23</v>
      </c>
      <c r="J421" s="2">
        <v>7</v>
      </c>
    </row>
    <row r="422" spans="1:10" ht="14.25" customHeight="1" x14ac:dyDescent="0.3">
      <c r="A422" s="2">
        <v>421</v>
      </c>
      <c r="B422" s="2" t="s">
        <v>1011</v>
      </c>
      <c r="C422" s="2" t="s">
        <v>1003</v>
      </c>
      <c r="D422" s="2" t="s">
        <v>264</v>
      </c>
      <c r="E422" s="10">
        <v>44754</v>
      </c>
      <c r="F422" s="2" t="s">
        <v>31</v>
      </c>
      <c r="G422" s="2" t="s">
        <v>128</v>
      </c>
      <c r="H422" s="2" t="s">
        <v>1012</v>
      </c>
      <c r="I422" s="2" t="s">
        <v>24</v>
      </c>
      <c r="J422" s="2">
        <v>10</v>
      </c>
    </row>
    <row r="423" spans="1:10" ht="14.25" customHeight="1" x14ac:dyDescent="0.3">
      <c r="A423" s="2">
        <v>422</v>
      </c>
      <c r="B423" s="2" t="s">
        <v>1013</v>
      </c>
      <c r="C423" s="2" t="s">
        <v>1005</v>
      </c>
      <c r="D423" s="2" t="s">
        <v>267</v>
      </c>
      <c r="E423" s="10">
        <v>44746</v>
      </c>
      <c r="F423" s="2" t="s">
        <v>31</v>
      </c>
      <c r="G423" s="2" t="s">
        <v>128</v>
      </c>
      <c r="H423" s="2" t="s">
        <v>1014</v>
      </c>
      <c r="I423" s="2" t="s">
        <v>25</v>
      </c>
      <c r="J423" s="2">
        <v>9</v>
      </c>
    </row>
    <row r="424" spans="1:10" ht="14.25" customHeight="1" x14ac:dyDescent="0.3">
      <c r="A424" s="2">
        <v>423</v>
      </c>
      <c r="B424" s="2" t="s">
        <v>1015</v>
      </c>
      <c r="C424" s="2" t="s">
        <v>1007</v>
      </c>
      <c r="D424" s="2" t="s">
        <v>127</v>
      </c>
      <c r="E424" s="10">
        <v>44752</v>
      </c>
      <c r="F424" s="2" t="s">
        <v>30</v>
      </c>
      <c r="G424" s="2" t="s">
        <v>135</v>
      </c>
      <c r="H424" s="2" t="s">
        <v>1016</v>
      </c>
      <c r="I424" s="2" t="s">
        <v>23</v>
      </c>
      <c r="J424" s="2">
        <v>10</v>
      </c>
    </row>
    <row r="425" spans="1:10" ht="14.25" customHeight="1" x14ac:dyDescent="0.3">
      <c r="A425" s="2">
        <v>424</v>
      </c>
      <c r="B425" s="2" t="s">
        <v>1017</v>
      </c>
      <c r="C425" s="2" t="s">
        <v>1009</v>
      </c>
      <c r="D425" s="2" t="s">
        <v>131</v>
      </c>
      <c r="E425" s="10">
        <v>44725</v>
      </c>
      <c r="F425" s="2" t="s">
        <v>31</v>
      </c>
      <c r="G425" s="2" t="s">
        <v>128</v>
      </c>
      <c r="H425" s="2" t="s">
        <v>1018</v>
      </c>
      <c r="I425" s="2" t="s">
        <v>24</v>
      </c>
      <c r="J425" s="2">
        <v>8</v>
      </c>
    </row>
    <row r="426" spans="1:10" ht="14.25" customHeight="1" x14ac:dyDescent="0.3">
      <c r="A426" s="2">
        <v>425</v>
      </c>
      <c r="B426" s="2" t="s">
        <v>1019</v>
      </c>
      <c r="C426" s="2" t="s">
        <v>1011</v>
      </c>
      <c r="D426" s="2" t="s">
        <v>134</v>
      </c>
      <c r="E426" s="10">
        <v>44734</v>
      </c>
      <c r="F426" s="2" t="s">
        <v>30</v>
      </c>
      <c r="G426" s="2" t="s">
        <v>128</v>
      </c>
      <c r="H426" s="2" t="s">
        <v>1020</v>
      </c>
      <c r="I426" s="2" t="s">
        <v>25</v>
      </c>
      <c r="J426" s="2">
        <v>9</v>
      </c>
    </row>
    <row r="427" spans="1:10" ht="14.25" customHeight="1" x14ac:dyDescent="0.3">
      <c r="A427" s="2">
        <v>426</v>
      </c>
      <c r="B427" s="2" t="s">
        <v>1021</v>
      </c>
      <c r="C427" s="2" t="s">
        <v>1013</v>
      </c>
      <c r="D427" s="2" t="s">
        <v>138</v>
      </c>
      <c r="E427" s="10">
        <v>44761</v>
      </c>
      <c r="F427" s="2" t="s">
        <v>31</v>
      </c>
      <c r="G427" s="2" t="s">
        <v>128</v>
      </c>
      <c r="H427" s="2" t="s">
        <v>1022</v>
      </c>
      <c r="I427" s="2" t="s">
        <v>23</v>
      </c>
      <c r="J427" s="2">
        <v>9</v>
      </c>
    </row>
    <row r="428" spans="1:10" ht="14.25" customHeight="1" x14ac:dyDescent="0.3">
      <c r="A428" s="2">
        <v>427</v>
      </c>
      <c r="B428" s="2" t="s">
        <v>1023</v>
      </c>
      <c r="C428" s="2" t="s">
        <v>1015</v>
      </c>
      <c r="D428" s="2" t="s">
        <v>141</v>
      </c>
      <c r="E428" s="10">
        <v>44735</v>
      </c>
      <c r="F428" s="2" t="s">
        <v>30</v>
      </c>
      <c r="G428" s="2" t="s">
        <v>128</v>
      </c>
      <c r="H428" s="2" t="s">
        <v>1024</v>
      </c>
      <c r="I428" s="2" t="s">
        <v>24</v>
      </c>
      <c r="J428" s="2">
        <v>8</v>
      </c>
    </row>
    <row r="429" spans="1:10" ht="14.25" customHeight="1" x14ac:dyDescent="0.3">
      <c r="A429" s="2">
        <v>428</v>
      </c>
      <c r="B429" s="2" t="s">
        <v>1025</v>
      </c>
      <c r="C429" s="2" t="s">
        <v>1017</v>
      </c>
      <c r="D429" s="2" t="s">
        <v>144</v>
      </c>
      <c r="E429" s="10">
        <v>44753</v>
      </c>
      <c r="F429" s="2" t="s">
        <v>31</v>
      </c>
      <c r="G429" s="2" t="s">
        <v>128</v>
      </c>
      <c r="H429" s="2" t="s">
        <v>1026</v>
      </c>
      <c r="I429" s="2" t="s">
        <v>25</v>
      </c>
      <c r="J429" s="2">
        <v>7</v>
      </c>
    </row>
    <row r="430" spans="1:10" ht="14.25" customHeight="1" x14ac:dyDescent="0.3">
      <c r="A430" s="2">
        <v>429</v>
      </c>
      <c r="B430" s="2" t="s">
        <v>1027</v>
      </c>
      <c r="C430" s="2" t="s">
        <v>1019</v>
      </c>
      <c r="D430" s="2" t="s">
        <v>147</v>
      </c>
      <c r="E430" s="10">
        <v>44732</v>
      </c>
      <c r="F430" s="2" t="s">
        <v>29</v>
      </c>
      <c r="G430" s="2" t="s">
        <v>135</v>
      </c>
      <c r="H430" s="2" t="s">
        <v>1028</v>
      </c>
      <c r="I430" s="2" t="s">
        <v>23</v>
      </c>
      <c r="J430" s="2">
        <v>10</v>
      </c>
    </row>
    <row r="431" spans="1:10" ht="14.25" customHeight="1" x14ac:dyDescent="0.3">
      <c r="A431" s="2">
        <v>430</v>
      </c>
      <c r="B431" s="2" t="s">
        <v>1029</v>
      </c>
      <c r="C431" s="2" t="s">
        <v>1021</v>
      </c>
      <c r="D431" s="2" t="s">
        <v>147</v>
      </c>
      <c r="E431" s="10">
        <v>44748</v>
      </c>
      <c r="F431" s="2" t="s">
        <v>30</v>
      </c>
      <c r="G431" s="2" t="s">
        <v>128</v>
      </c>
      <c r="H431" s="2" t="s">
        <v>1030</v>
      </c>
      <c r="I431" s="2" t="s">
        <v>24</v>
      </c>
      <c r="J431" s="2">
        <v>8</v>
      </c>
    </row>
    <row r="432" spans="1:10" ht="14.25" customHeight="1" x14ac:dyDescent="0.3">
      <c r="A432" s="2">
        <v>431</v>
      </c>
      <c r="B432" s="2" t="s">
        <v>1031</v>
      </c>
      <c r="C432" s="2" t="s">
        <v>1023</v>
      </c>
      <c r="D432" s="2" t="s">
        <v>153</v>
      </c>
      <c r="E432" s="10">
        <v>44731</v>
      </c>
      <c r="F432" s="2" t="s">
        <v>31</v>
      </c>
      <c r="G432" s="2" t="s">
        <v>128</v>
      </c>
      <c r="H432" s="2" t="s">
        <v>1032</v>
      </c>
      <c r="I432" s="2" t="s">
        <v>25</v>
      </c>
      <c r="J432" s="2">
        <v>10</v>
      </c>
    </row>
    <row r="433" spans="1:10" ht="14.25" customHeight="1" x14ac:dyDescent="0.3">
      <c r="A433" s="2">
        <v>432</v>
      </c>
      <c r="B433" s="2" t="s">
        <v>1033</v>
      </c>
      <c r="C433" s="2" t="s">
        <v>1025</v>
      </c>
      <c r="D433" s="2" t="s">
        <v>288</v>
      </c>
      <c r="E433" s="10">
        <v>44725</v>
      </c>
      <c r="F433" s="2" t="s">
        <v>31</v>
      </c>
      <c r="G433" s="2" t="s">
        <v>128</v>
      </c>
      <c r="H433" s="2" t="s">
        <v>1034</v>
      </c>
      <c r="I433" s="2" t="s">
        <v>23</v>
      </c>
      <c r="J433" s="2">
        <v>7</v>
      </c>
    </row>
    <row r="434" spans="1:10" ht="14.25" customHeight="1" x14ac:dyDescent="0.3">
      <c r="A434" s="2">
        <v>433</v>
      </c>
      <c r="B434" s="2" t="s">
        <v>1035</v>
      </c>
      <c r="C434" s="2" t="s">
        <v>1027</v>
      </c>
      <c r="D434" s="2" t="s">
        <v>158</v>
      </c>
      <c r="E434" s="10">
        <v>44753</v>
      </c>
      <c r="F434" s="2" t="s">
        <v>30</v>
      </c>
      <c r="G434" s="2" t="s">
        <v>128</v>
      </c>
      <c r="H434" s="2" t="s">
        <v>1036</v>
      </c>
      <c r="I434" s="2" t="s">
        <v>24</v>
      </c>
      <c r="J434" s="2">
        <v>7</v>
      </c>
    </row>
    <row r="435" spans="1:10" ht="14.25" customHeight="1" x14ac:dyDescent="0.3">
      <c r="A435" s="2">
        <v>434</v>
      </c>
      <c r="B435" s="2" t="s">
        <v>1037</v>
      </c>
      <c r="C435" s="2" t="s">
        <v>1029</v>
      </c>
      <c r="D435" s="2" t="s">
        <v>161</v>
      </c>
      <c r="E435" s="10">
        <v>44738</v>
      </c>
      <c r="F435" s="2" t="s">
        <v>31</v>
      </c>
      <c r="G435" s="2" t="s">
        <v>128</v>
      </c>
      <c r="H435" s="2" t="s">
        <v>1038</v>
      </c>
      <c r="I435" s="2" t="s">
        <v>25</v>
      </c>
      <c r="J435" s="2">
        <v>10</v>
      </c>
    </row>
    <row r="436" spans="1:10" ht="14.25" customHeight="1" x14ac:dyDescent="0.3">
      <c r="A436" s="2">
        <v>435</v>
      </c>
      <c r="B436" s="2" t="s">
        <v>1039</v>
      </c>
      <c r="C436" s="2" t="s">
        <v>1031</v>
      </c>
      <c r="D436" s="2" t="s">
        <v>164</v>
      </c>
      <c r="E436" s="10">
        <v>44762</v>
      </c>
      <c r="F436" s="2" t="s">
        <v>30</v>
      </c>
      <c r="G436" s="2" t="s">
        <v>128</v>
      </c>
      <c r="H436" s="2" t="s">
        <v>1040</v>
      </c>
      <c r="I436" s="2" t="s">
        <v>23</v>
      </c>
      <c r="J436" s="2">
        <v>9</v>
      </c>
    </row>
    <row r="437" spans="1:10" ht="14.25" customHeight="1" x14ac:dyDescent="0.3">
      <c r="A437" s="2">
        <v>436</v>
      </c>
      <c r="B437" s="2" t="s">
        <v>1041</v>
      </c>
      <c r="C437" s="2" t="s">
        <v>1033</v>
      </c>
      <c r="D437" s="2" t="s">
        <v>167</v>
      </c>
      <c r="E437" s="10">
        <v>44756</v>
      </c>
      <c r="F437" s="2" t="s">
        <v>31</v>
      </c>
      <c r="G437" s="2" t="s">
        <v>128</v>
      </c>
      <c r="H437" s="2" t="s">
        <v>1042</v>
      </c>
      <c r="I437" s="2" t="s">
        <v>24</v>
      </c>
      <c r="J437" s="2">
        <v>9</v>
      </c>
    </row>
    <row r="438" spans="1:10" ht="14.25" customHeight="1" x14ac:dyDescent="0.3">
      <c r="A438" s="2">
        <v>437</v>
      </c>
      <c r="B438" s="2" t="s">
        <v>1043</v>
      </c>
      <c r="C438" s="2" t="s">
        <v>1035</v>
      </c>
      <c r="D438" s="2" t="s">
        <v>267</v>
      </c>
      <c r="E438" s="10">
        <v>44744</v>
      </c>
      <c r="F438" s="2" t="s">
        <v>31</v>
      </c>
      <c r="G438" s="2" t="s">
        <v>128</v>
      </c>
      <c r="H438" s="2" t="s">
        <v>1044</v>
      </c>
      <c r="I438" s="2" t="s">
        <v>25</v>
      </c>
      <c r="J438" s="2">
        <v>7</v>
      </c>
    </row>
    <row r="439" spans="1:10" ht="14.25" customHeight="1" x14ac:dyDescent="0.3">
      <c r="A439" s="2">
        <v>438</v>
      </c>
      <c r="B439" s="2" t="s">
        <v>1045</v>
      </c>
      <c r="C439" s="2" t="s">
        <v>1037</v>
      </c>
      <c r="D439" s="2" t="s">
        <v>127</v>
      </c>
      <c r="E439" s="10">
        <v>44753</v>
      </c>
      <c r="F439" s="2" t="s">
        <v>30</v>
      </c>
      <c r="G439" s="2" t="s">
        <v>128</v>
      </c>
      <c r="H439" s="2" t="s">
        <v>1046</v>
      </c>
      <c r="I439" s="2" t="s">
        <v>23</v>
      </c>
      <c r="J439" s="2">
        <v>10</v>
      </c>
    </row>
    <row r="440" spans="1:10" ht="14.25" customHeight="1" x14ac:dyDescent="0.3">
      <c r="A440" s="2">
        <v>439</v>
      </c>
      <c r="B440" s="2" t="s">
        <v>1047</v>
      </c>
      <c r="C440" s="2" t="s">
        <v>1039</v>
      </c>
      <c r="D440" s="2" t="s">
        <v>131</v>
      </c>
      <c r="E440" s="10">
        <v>44762</v>
      </c>
      <c r="F440" s="2" t="s">
        <v>31</v>
      </c>
      <c r="G440" s="2" t="s">
        <v>128</v>
      </c>
      <c r="H440" s="2" t="s">
        <v>1048</v>
      </c>
      <c r="I440" s="2" t="s">
        <v>24</v>
      </c>
      <c r="J440" s="2">
        <v>7</v>
      </c>
    </row>
    <row r="441" spans="1:10" ht="14.25" customHeight="1" x14ac:dyDescent="0.3">
      <c r="A441" s="2">
        <v>440</v>
      </c>
      <c r="B441" s="2" t="s">
        <v>1049</v>
      </c>
      <c r="C441" s="2" t="s">
        <v>1041</v>
      </c>
      <c r="D441" s="2" t="s">
        <v>134</v>
      </c>
      <c r="E441" s="10">
        <v>44740</v>
      </c>
      <c r="F441" s="2" t="s">
        <v>31</v>
      </c>
      <c r="G441" s="2" t="s">
        <v>128</v>
      </c>
      <c r="H441" s="2" t="s">
        <v>1050</v>
      </c>
      <c r="I441" s="2" t="s">
        <v>25</v>
      </c>
      <c r="J441" s="2">
        <v>7</v>
      </c>
    </row>
    <row r="442" spans="1:10" ht="14.25" customHeight="1" x14ac:dyDescent="0.3">
      <c r="A442" s="2">
        <v>441</v>
      </c>
      <c r="B442" s="2" t="s">
        <v>1051</v>
      </c>
      <c r="C442" s="2" t="s">
        <v>1043</v>
      </c>
      <c r="D442" s="2" t="s">
        <v>138</v>
      </c>
      <c r="E442" s="10">
        <v>44729</v>
      </c>
      <c r="F442" s="2" t="s">
        <v>30</v>
      </c>
      <c r="G442" s="2" t="s">
        <v>128</v>
      </c>
      <c r="H442" s="2" t="s">
        <v>1052</v>
      </c>
      <c r="I442" s="2" t="s">
        <v>23</v>
      </c>
      <c r="J442" s="2">
        <v>8</v>
      </c>
    </row>
    <row r="443" spans="1:10" ht="14.25" customHeight="1" x14ac:dyDescent="0.3">
      <c r="A443" s="2">
        <v>442</v>
      </c>
      <c r="B443" s="2" t="s">
        <v>1053</v>
      </c>
      <c r="C443" s="2" t="s">
        <v>1045</v>
      </c>
      <c r="D443" s="2" t="s">
        <v>141</v>
      </c>
      <c r="E443" s="10">
        <v>44727</v>
      </c>
      <c r="F443" s="2" t="s">
        <v>31</v>
      </c>
      <c r="G443" s="2" t="s">
        <v>128</v>
      </c>
      <c r="H443" s="2" t="s">
        <v>1054</v>
      </c>
      <c r="I443" s="2" t="s">
        <v>24</v>
      </c>
      <c r="J443" s="2">
        <v>7</v>
      </c>
    </row>
    <row r="444" spans="1:10" ht="14.25" customHeight="1" x14ac:dyDescent="0.3">
      <c r="A444" s="2">
        <v>443</v>
      </c>
      <c r="B444" s="2" t="s">
        <v>1055</v>
      </c>
      <c r="C444" s="2" t="s">
        <v>1047</v>
      </c>
      <c r="D444" s="2" t="s">
        <v>144</v>
      </c>
      <c r="E444" s="10">
        <v>44734</v>
      </c>
      <c r="F444" s="2" t="s">
        <v>30</v>
      </c>
      <c r="G444" s="2" t="s">
        <v>128</v>
      </c>
      <c r="H444" s="2" t="s">
        <v>1056</v>
      </c>
      <c r="I444" s="2" t="s">
        <v>25</v>
      </c>
      <c r="J444" s="2">
        <v>10</v>
      </c>
    </row>
    <row r="445" spans="1:10" ht="14.25" customHeight="1" x14ac:dyDescent="0.3">
      <c r="A445" s="2">
        <v>444</v>
      </c>
      <c r="B445" s="2" t="s">
        <v>1057</v>
      </c>
      <c r="C445" s="2" t="s">
        <v>1049</v>
      </c>
      <c r="D445" s="2" t="s">
        <v>147</v>
      </c>
      <c r="E445" s="10">
        <v>44744</v>
      </c>
      <c r="F445" s="2" t="s">
        <v>31</v>
      </c>
      <c r="G445" s="2" t="s">
        <v>128</v>
      </c>
      <c r="H445" s="2" t="s">
        <v>1058</v>
      </c>
      <c r="I445" s="2" t="s">
        <v>23</v>
      </c>
      <c r="J445" s="2">
        <v>7</v>
      </c>
    </row>
    <row r="446" spans="1:10" ht="14.25" customHeight="1" x14ac:dyDescent="0.3">
      <c r="A446" s="2">
        <v>445</v>
      </c>
      <c r="B446" s="2" t="s">
        <v>1059</v>
      </c>
      <c r="C446" s="2" t="s">
        <v>1051</v>
      </c>
      <c r="D446" s="2" t="s">
        <v>147</v>
      </c>
      <c r="E446" s="10">
        <v>44737</v>
      </c>
      <c r="F446" s="2" t="s">
        <v>30</v>
      </c>
      <c r="G446" s="2" t="s">
        <v>128</v>
      </c>
      <c r="H446" s="2" t="s">
        <v>1060</v>
      </c>
      <c r="I446" s="2" t="s">
        <v>24</v>
      </c>
      <c r="J446" s="2">
        <v>10</v>
      </c>
    </row>
    <row r="447" spans="1:10" ht="14.25" customHeight="1" x14ac:dyDescent="0.3">
      <c r="A447" s="2">
        <v>446</v>
      </c>
      <c r="B447" s="2" t="s">
        <v>1061</v>
      </c>
      <c r="C447" s="2" t="s">
        <v>1053</v>
      </c>
      <c r="D447" s="2" t="s">
        <v>153</v>
      </c>
      <c r="E447" s="10">
        <v>44752</v>
      </c>
      <c r="F447" s="2" t="s">
        <v>31</v>
      </c>
      <c r="G447" s="2" t="s">
        <v>128</v>
      </c>
      <c r="H447" s="2" t="s">
        <v>1062</v>
      </c>
      <c r="I447" s="2" t="s">
        <v>25</v>
      </c>
      <c r="J447" s="2">
        <v>7</v>
      </c>
    </row>
    <row r="448" spans="1:10" ht="14.25" customHeight="1" x14ac:dyDescent="0.3">
      <c r="A448" s="2">
        <v>447</v>
      </c>
      <c r="B448" s="2" t="s">
        <v>1063</v>
      </c>
      <c r="C448" s="2" t="s">
        <v>1055</v>
      </c>
      <c r="D448" s="2" t="s">
        <v>144</v>
      </c>
      <c r="E448" s="10">
        <v>44736</v>
      </c>
      <c r="F448" s="2" t="s">
        <v>29</v>
      </c>
      <c r="G448" s="2" t="s">
        <v>128</v>
      </c>
      <c r="H448" s="2" t="s">
        <v>1064</v>
      </c>
      <c r="I448" s="2" t="s">
        <v>23</v>
      </c>
      <c r="J448" s="2">
        <v>9</v>
      </c>
    </row>
    <row r="449" spans="1:10" ht="14.25" customHeight="1" x14ac:dyDescent="0.3">
      <c r="A449" s="2">
        <v>448</v>
      </c>
      <c r="B449" s="2" t="s">
        <v>1065</v>
      </c>
      <c r="C449" s="2" t="s">
        <v>1057</v>
      </c>
      <c r="D449" s="2" t="s">
        <v>158</v>
      </c>
      <c r="E449" s="10">
        <v>44752</v>
      </c>
      <c r="F449" s="2" t="s">
        <v>30</v>
      </c>
      <c r="G449" s="2" t="s">
        <v>128</v>
      </c>
      <c r="H449" s="2" t="s">
        <v>1066</v>
      </c>
      <c r="I449" s="2" t="s">
        <v>24</v>
      </c>
      <c r="J449" s="2">
        <v>7</v>
      </c>
    </row>
    <row r="450" spans="1:10" ht="14.25" customHeight="1" x14ac:dyDescent="0.3">
      <c r="A450" s="2">
        <v>449</v>
      </c>
      <c r="B450" s="2" t="s">
        <v>1067</v>
      </c>
      <c r="C450" s="2" t="s">
        <v>1059</v>
      </c>
      <c r="D450" s="2" t="s">
        <v>161</v>
      </c>
      <c r="E450" s="10">
        <v>44759</v>
      </c>
      <c r="F450" s="2" t="s">
        <v>31</v>
      </c>
      <c r="G450" s="2" t="s">
        <v>128</v>
      </c>
      <c r="H450" s="2" t="s">
        <v>1068</v>
      </c>
      <c r="I450" s="2" t="s">
        <v>25</v>
      </c>
      <c r="J450" s="2">
        <v>8</v>
      </c>
    </row>
    <row r="451" spans="1:10" ht="14.25" customHeight="1" x14ac:dyDescent="0.3">
      <c r="A451" s="2">
        <v>450</v>
      </c>
      <c r="B451" s="2" t="s">
        <v>1069</v>
      </c>
      <c r="C451" s="2" t="s">
        <v>1061</v>
      </c>
      <c r="D451" s="2" t="s">
        <v>164</v>
      </c>
      <c r="E451" s="10">
        <v>44763</v>
      </c>
      <c r="F451" s="2" t="s">
        <v>31</v>
      </c>
      <c r="G451" s="2" t="s">
        <v>128</v>
      </c>
      <c r="H451" s="2" t="s">
        <v>1070</v>
      </c>
      <c r="I451" s="2" t="s">
        <v>25</v>
      </c>
      <c r="J451" s="2">
        <v>10</v>
      </c>
    </row>
    <row r="452" spans="1:10" ht="14.25" customHeight="1" x14ac:dyDescent="0.3">
      <c r="A452" s="2">
        <v>451</v>
      </c>
      <c r="B452" s="2" t="s">
        <v>1071</v>
      </c>
      <c r="C452" s="2" t="s">
        <v>1063</v>
      </c>
      <c r="D452" s="2" t="s">
        <v>167</v>
      </c>
      <c r="E452" s="10">
        <v>44763</v>
      </c>
      <c r="F452" s="2" t="s">
        <v>30</v>
      </c>
      <c r="G452" s="2" t="s">
        <v>135</v>
      </c>
      <c r="H452" s="2" t="s">
        <v>1072</v>
      </c>
      <c r="I452" s="2" t="s">
        <v>25</v>
      </c>
      <c r="J452" s="2">
        <v>9</v>
      </c>
    </row>
    <row r="453" spans="1:10" ht="14.25" customHeight="1" x14ac:dyDescent="0.3">
      <c r="A453" s="2">
        <v>452</v>
      </c>
      <c r="B453" s="2" t="s">
        <v>1073</v>
      </c>
      <c r="C453" s="2" t="s">
        <v>1065</v>
      </c>
      <c r="D453" s="2" t="s">
        <v>144</v>
      </c>
      <c r="E453" s="10">
        <v>44750</v>
      </c>
      <c r="F453" s="2" t="s">
        <v>31</v>
      </c>
      <c r="G453" s="2" t="s">
        <v>128</v>
      </c>
      <c r="H453" s="2" t="s">
        <v>1074</v>
      </c>
      <c r="I453" s="2" t="s">
        <v>23</v>
      </c>
      <c r="J453" s="2">
        <v>7</v>
      </c>
    </row>
    <row r="454" spans="1:10" ht="14.25" customHeight="1" x14ac:dyDescent="0.3">
      <c r="A454" s="2">
        <v>453</v>
      </c>
      <c r="B454" s="2" t="s">
        <v>1075</v>
      </c>
      <c r="C454" s="2" t="s">
        <v>1067</v>
      </c>
      <c r="D454" s="2" t="s">
        <v>172</v>
      </c>
      <c r="E454" s="10">
        <v>44751</v>
      </c>
      <c r="F454" s="2" t="s">
        <v>30</v>
      </c>
      <c r="G454" s="2" t="s">
        <v>128</v>
      </c>
      <c r="H454" s="2" t="s">
        <v>1076</v>
      </c>
      <c r="I454" s="2" t="s">
        <v>24</v>
      </c>
      <c r="J454" s="2">
        <v>8</v>
      </c>
    </row>
    <row r="455" spans="1:10" ht="14.25" customHeight="1" x14ac:dyDescent="0.3">
      <c r="A455" s="2">
        <v>454</v>
      </c>
      <c r="B455" s="2" t="s">
        <v>1077</v>
      </c>
      <c r="C455" s="2" t="s">
        <v>1069</v>
      </c>
      <c r="D455" s="2" t="s">
        <v>161</v>
      </c>
      <c r="E455" s="10">
        <v>44736</v>
      </c>
      <c r="F455" s="2" t="s">
        <v>31</v>
      </c>
      <c r="G455" s="2" t="s">
        <v>128</v>
      </c>
      <c r="H455" s="2" t="s">
        <v>1078</v>
      </c>
      <c r="I455" s="2" t="s">
        <v>25</v>
      </c>
      <c r="J455" s="2">
        <v>7</v>
      </c>
    </row>
    <row r="456" spans="1:10" ht="14.25" customHeight="1" x14ac:dyDescent="0.3">
      <c r="A456" s="2">
        <v>455</v>
      </c>
      <c r="B456" s="2" t="s">
        <v>1079</v>
      </c>
      <c r="C456" s="2" t="s">
        <v>1071</v>
      </c>
      <c r="D456" s="2" t="s">
        <v>141</v>
      </c>
      <c r="E456" s="10">
        <v>44737</v>
      </c>
      <c r="F456" s="2" t="s">
        <v>31</v>
      </c>
      <c r="G456" s="2" t="s">
        <v>128</v>
      </c>
      <c r="H456" s="2" t="s">
        <v>1080</v>
      </c>
      <c r="I456" s="2" t="s">
        <v>23</v>
      </c>
      <c r="J456" s="2">
        <v>9</v>
      </c>
    </row>
    <row r="457" spans="1:10" ht="14.25" customHeight="1" x14ac:dyDescent="0.3">
      <c r="A457" s="2">
        <v>456</v>
      </c>
      <c r="B457" s="2" t="s">
        <v>1081</v>
      </c>
      <c r="C457" s="2" t="s">
        <v>1073</v>
      </c>
      <c r="D457" s="2" t="s">
        <v>179</v>
      </c>
      <c r="E457" s="10">
        <v>44744</v>
      </c>
      <c r="F457" s="2" t="s">
        <v>30</v>
      </c>
      <c r="G457" s="2" t="s">
        <v>128</v>
      </c>
      <c r="H457" s="2" t="s">
        <v>1082</v>
      </c>
      <c r="I457" s="2" t="s">
        <v>24</v>
      </c>
      <c r="J457" s="2">
        <v>10</v>
      </c>
    </row>
    <row r="458" spans="1:10" ht="14.25" customHeight="1" x14ac:dyDescent="0.3">
      <c r="A458" s="2">
        <v>457</v>
      </c>
      <c r="B458" s="2" t="s">
        <v>1083</v>
      </c>
      <c r="C458" s="2" t="s">
        <v>1075</v>
      </c>
      <c r="D458" s="2" t="s">
        <v>182</v>
      </c>
      <c r="E458" s="10">
        <v>44735</v>
      </c>
      <c r="F458" s="2" t="s">
        <v>31</v>
      </c>
      <c r="G458" s="2" t="s">
        <v>135</v>
      </c>
      <c r="H458" s="2" t="s">
        <v>1084</v>
      </c>
      <c r="I458" s="2" t="s">
        <v>25</v>
      </c>
      <c r="J458" s="2">
        <v>7</v>
      </c>
    </row>
    <row r="459" spans="1:10" ht="14.25" customHeight="1" x14ac:dyDescent="0.3">
      <c r="A459" s="2">
        <v>458</v>
      </c>
      <c r="B459" s="2" t="s">
        <v>1085</v>
      </c>
      <c r="C459" s="2" t="s">
        <v>1077</v>
      </c>
      <c r="D459" s="2" t="s">
        <v>185</v>
      </c>
      <c r="E459" s="10">
        <v>44751</v>
      </c>
      <c r="F459" s="2" t="s">
        <v>31</v>
      </c>
      <c r="G459" s="2" t="s">
        <v>128</v>
      </c>
      <c r="H459" s="2" t="s">
        <v>1086</v>
      </c>
      <c r="I459" s="2" t="s">
        <v>23</v>
      </c>
      <c r="J459" s="2">
        <v>7</v>
      </c>
    </row>
    <row r="460" spans="1:10" ht="14.25" customHeight="1" x14ac:dyDescent="0.3">
      <c r="A460" s="2">
        <v>459</v>
      </c>
      <c r="B460" s="2" t="s">
        <v>1087</v>
      </c>
      <c r="C460" s="2" t="s">
        <v>1079</v>
      </c>
      <c r="D460" s="2" t="s">
        <v>188</v>
      </c>
      <c r="E460" s="10">
        <v>44726</v>
      </c>
      <c r="F460" s="2" t="s">
        <v>30</v>
      </c>
      <c r="G460" s="2" t="s">
        <v>128</v>
      </c>
      <c r="H460" s="2" t="s">
        <v>1088</v>
      </c>
      <c r="I460" s="2" t="s">
        <v>24</v>
      </c>
      <c r="J460" s="2">
        <v>7</v>
      </c>
    </row>
    <row r="461" spans="1:10" ht="14.25" customHeight="1" x14ac:dyDescent="0.3">
      <c r="A461" s="2">
        <v>460</v>
      </c>
      <c r="B461" s="2" t="s">
        <v>1089</v>
      </c>
      <c r="C461" s="2" t="s">
        <v>1081</v>
      </c>
      <c r="D461" s="2" t="s">
        <v>191</v>
      </c>
      <c r="E461" s="10">
        <v>44749</v>
      </c>
      <c r="F461" s="2" t="s">
        <v>31</v>
      </c>
      <c r="G461" s="2" t="s">
        <v>128</v>
      </c>
      <c r="H461" s="2" t="s">
        <v>1090</v>
      </c>
      <c r="I461" s="2" t="s">
        <v>25</v>
      </c>
      <c r="J461" s="2">
        <v>9</v>
      </c>
    </row>
    <row r="462" spans="1:10" ht="14.25" customHeight="1" x14ac:dyDescent="0.3">
      <c r="A462" s="2">
        <v>461</v>
      </c>
      <c r="B462" s="2" t="s">
        <v>1091</v>
      </c>
      <c r="C462" s="2" t="s">
        <v>1083</v>
      </c>
      <c r="D462" s="2" t="s">
        <v>194</v>
      </c>
      <c r="E462" s="10">
        <v>44734</v>
      </c>
      <c r="F462" s="2" t="s">
        <v>30</v>
      </c>
      <c r="G462" s="2" t="s">
        <v>128</v>
      </c>
      <c r="H462" s="2" t="s">
        <v>1092</v>
      </c>
      <c r="I462" s="2" t="s">
        <v>23</v>
      </c>
      <c r="J462" s="2">
        <v>10</v>
      </c>
    </row>
    <row r="463" spans="1:10" ht="14.25" customHeight="1" x14ac:dyDescent="0.3">
      <c r="A463" s="2">
        <v>462</v>
      </c>
      <c r="B463" s="2" t="s">
        <v>1093</v>
      </c>
      <c r="C463" s="2" t="s">
        <v>1085</v>
      </c>
      <c r="D463" s="2" t="s">
        <v>197</v>
      </c>
      <c r="E463" s="10">
        <v>44726</v>
      </c>
      <c r="F463" s="2" t="s">
        <v>31</v>
      </c>
      <c r="G463" s="2" t="s">
        <v>128</v>
      </c>
      <c r="H463" s="2" t="s">
        <v>1094</v>
      </c>
      <c r="I463" s="2" t="s">
        <v>24</v>
      </c>
      <c r="J463" s="2">
        <v>7</v>
      </c>
    </row>
    <row r="464" spans="1:10" ht="14.25" customHeight="1" x14ac:dyDescent="0.3">
      <c r="A464" s="2">
        <v>463</v>
      </c>
      <c r="B464" s="2" t="s">
        <v>1095</v>
      </c>
      <c r="C464" s="2" t="s">
        <v>1087</v>
      </c>
      <c r="D464" s="2" t="s">
        <v>200</v>
      </c>
      <c r="E464" s="10">
        <v>44743</v>
      </c>
      <c r="F464" s="2" t="s">
        <v>30</v>
      </c>
      <c r="G464" s="2" t="s">
        <v>128</v>
      </c>
      <c r="H464" s="2" t="s">
        <v>1096</v>
      </c>
      <c r="I464" s="2" t="s">
        <v>25</v>
      </c>
      <c r="J464" s="2">
        <v>7</v>
      </c>
    </row>
    <row r="465" spans="1:10" ht="14.25" customHeight="1" x14ac:dyDescent="0.3">
      <c r="A465" s="2">
        <v>464</v>
      </c>
      <c r="B465" s="2" t="s">
        <v>1097</v>
      </c>
      <c r="C465" s="2" t="s">
        <v>1089</v>
      </c>
      <c r="D465" s="2" t="s">
        <v>203</v>
      </c>
      <c r="E465" s="10">
        <v>44742</v>
      </c>
      <c r="F465" s="2" t="s">
        <v>31</v>
      </c>
      <c r="G465" s="2" t="s">
        <v>128</v>
      </c>
      <c r="H465" s="2" t="s">
        <v>1098</v>
      </c>
      <c r="I465" s="2" t="s">
        <v>23</v>
      </c>
      <c r="J465" s="2">
        <v>8</v>
      </c>
    </row>
    <row r="466" spans="1:10" ht="14.25" customHeight="1" x14ac:dyDescent="0.3">
      <c r="A466" s="2">
        <v>465</v>
      </c>
      <c r="B466" s="2" t="s">
        <v>1099</v>
      </c>
      <c r="C466" s="2" t="s">
        <v>1091</v>
      </c>
      <c r="D466" s="2" t="s">
        <v>207</v>
      </c>
      <c r="E466" s="10">
        <v>44747</v>
      </c>
      <c r="F466" s="2" t="s">
        <v>29</v>
      </c>
      <c r="G466" s="2" t="s">
        <v>128</v>
      </c>
      <c r="H466" s="2" t="s">
        <v>1100</v>
      </c>
      <c r="I466" s="2" t="s">
        <v>24</v>
      </c>
      <c r="J466" s="2">
        <v>8</v>
      </c>
    </row>
    <row r="467" spans="1:10" ht="14.25" customHeight="1" x14ac:dyDescent="0.3">
      <c r="A467" s="2">
        <v>466</v>
      </c>
      <c r="B467" s="2" t="s">
        <v>1101</v>
      </c>
      <c r="C467" s="2" t="s">
        <v>1093</v>
      </c>
      <c r="D467" s="2" t="s">
        <v>210</v>
      </c>
      <c r="E467" s="10">
        <v>44764</v>
      </c>
      <c r="F467" s="2" t="s">
        <v>30</v>
      </c>
      <c r="G467" s="2" t="s">
        <v>128</v>
      </c>
      <c r="H467" s="2" t="s">
        <v>1102</v>
      </c>
      <c r="I467" s="2" t="s">
        <v>25</v>
      </c>
      <c r="J467" s="2">
        <v>10</v>
      </c>
    </row>
    <row r="468" spans="1:10" ht="14.25" customHeight="1" x14ac:dyDescent="0.3">
      <c r="A468" s="2">
        <v>467</v>
      </c>
      <c r="B468" s="2" t="s">
        <v>1103</v>
      </c>
      <c r="C468" s="2" t="s">
        <v>1095</v>
      </c>
      <c r="D468" s="2" t="s">
        <v>213</v>
      </c>
      <c r="E468" s="10">
        <v>44735</v>
      </c>
      <c r="F468" s="2" t="s">
        <v>31</v>
      </c>
      <c r="G468" s="2" t="s">
        <v>128</v>
      </c>
      <c r="H468" s="2" t="s">
        <v>1104</v>
      </c>
      <c r="I468" s="2" t="s">
        <v>23</v>
      </c>
      <c r="J468" s="2">
        <v>9</v>
      </c>
    </row>
    <row r="469" spans="1:10" ht="14.25" customHeight="1" x14ac:dyDescent="0.3">
      <c r="A469" s="2">
        <v>468</v>
      </c>
      <c r="B469" s="2" t="s">
        <v>1105</v>
      </c>
      <c r="C469" s="2" t="s">
        <v>1097</v>
      </c>
      <c r="D469" s="2" t="s">
        <v>216</v>
      </c>
      <c r="E469" s="10">
        <v>44737</v>
      </c>
      <c r="F469" s="2" t="s">
        <v>31</v>
      </c>
      <c r="G469" s="2" t="s">
        <v>128</v>
      </c>
      <c r="H469" s="2" t="s">
        <v>1106</v>
      </c>
      <c r="I469" s="2" t="s">
        <v>24</v>
      </c>
      <c r="J469" s="2">
        <v>9</v>
      </c>
    </row>
    <row r="470" spans="1:10" ht="14.25" customHeight="1" x14ac:dyDescent="0.3">
      <c r="A470" s="2">
        <v>469</v>
      </c>
      <c r="B470" s="2" t="s">
        <v>1107</v>
      </c>
      <c r="C470" s="2" t="s">
        <v>1099</v>
      </c>
      <c r="D470" s="2" t="s">
        <v>219</v>
      </c>
      <c r="E470" s="10">
        <v>44749</v>
      </c>
      <c r="F470" s="2" t="s">
        <v>30</v>
      </c>
      <c r="G470" s="2" t="s">
        <v>128</v>
      </c>
      <c r="H470" s="2" t="s">
        <v>1108</v>
      </c>
      <c r="I470" s="2" t="s">
        <v>25</v>
      </c>
      <c r="J470" s="2">
        <v>7</v>
      </c>
    </row>
    <row r="471" spans="1:10" ht="14.25" customHeight="1" x14ac:dyDescent="0.3">
      <c r="A471" s="2">
        <v>470</v>
      </c>
      <c r="B471" s="2" t="s">
        <v>1109</v>
      </c>
      <c r="C471" s="2" t="s">
        <v>1101</v>
      </c>
      <c r="D471" s="2" t="s">
        <v>167</v>
      </c>
      <c r="E471" s="10">
        <v>44729</v>
      </c>
      <c r="F471" s="2" t="s">
        <v>31</v>
      </c>
      <c r="G471" s="2" t="s">
        <v>128</v>
      </c>
      <c r="H471" s="2" t="s">
        <v>1110</v>
      </c>
      <c r="I471" s="2" t="s">
        <v>23</v>
      </c>
      <c r="J471" s="2">
        <v>10</v>
      </c>
    </row>
    <row r="472" spans="1:10" ht="14.25" customHeight="1" x14ac:dyDescent="0.3">
      <c r="A472" s="2">
        <v>471</v>
      </c>
      <c r="B472" s="2" t="s">
        <v>1111</v>
      </c>
      <c r="C472" s="2" t="s">
        <v>1103</v>
      </c>
      <c r="D472" s="2" t="s">
        <v>191</v>
      </c>
      <c r="E472" s="10">
        <v>44738</v>
      </c>
      <c r="F472" s="2" t="s">
        <v>30</v>
      </c>
      <c r="G472" s="2" t="s">
        <v>128</v>
      </c>
      <c r="H472" s="2" t="s">
        <v>1112</v>
      </c>
      <c r="I472" s="2" t="s">
        <v>24</v>
      </c>
      <c r="J472" s="2">
        <v>7</v>
      </c>
    </row>
    <row r="473" spans="1:10" ht="14.25" customHeight="1" x14ac:dyDescent="0.3">
      <c r="A473" s="2">
        <v>472</v>
      </c>
      <c r="B473" s="2" t="s">
        <v>1113</v>
      </c>
      <c r="C473" s="2" t="s">
        <v>1105</v>
      </c>
      <c r="D473" s="2" t="s">
        <v>207</v>
      </c>
      <c r="E473" s="10">
        <v>44740</v>
      </c>
      <c r="F473" s="2" t="s">
        <v>31</v>
      </c>
      <c r="G473" s="2" t="s">
        <v>128</v>
      </c>
      <c r="H473" s="2" t="s">
        <v>1114</v>
      </c>
      <c r="I473" s="2" t="s">
        <v>25</v>
      </c>
      <c r="J473" s="2">
        <v>7</v>
      </c>
    </row>
    <row r="474" spans="1:10" ht="14.25" customHeight="1" x14ac:dyDescent="0.3">
      <c r="A474" s="2">
        <v>473</v>
      </c>
      <c r="B474" s="2" t="s">
        <v>1115</v>
      </c>
      <c r="C474" s="2" t="s">
        <v>1107</v>
      </c>
      <c r="D474" s="2" t="s">
        <v>141</v>
      </c>
      <c r="E474" s="10">
        <v>44755</v>
      </c>
      <c r="F474" s="2" t="s">
        <v>31</v>
      </c>
      <c r="G474" s="2" t="s">
        <v>128</v>
      </c>
      <c r="H474" s="2" t="s">
        <v>1116</v>
      </c>
      <c r="I474" s="2" t="s">
        <v>23</v>
      </c>
      <c r="J474" s="2">
        <v>10</v>
      </c>
    </row>
    <row r="475" spans="1:10" ht="14.25" customHeight="1" x14ac:dyDescent="0.3">
      <c r="A475" s="2">
        <v>474</v>
      </c>
      <c r="B475" s="2" t="s">
        <v>1117</v>
      </c>
      <c r="C475" s="2" t="s">
        <v>1109</v>
      </c>
      <c r="D475" s="2" t="s">
        <v>172</v>
      </c>
      <c r="E475" s="10">
        <v>44755</v>
      </c>
      <c r="F475" s="2" t="s">
        <v>30</v>
      </c>
      <c r="G475" s="2" t="s">
        <v>128</v>
      </c>
      <c r="H475" s="2" t="s">
        <v>1118</v>
      </c>
      <c r="I475" s="2" t="s">
        <v>24</v>
      </c>
      <c r="J475" s="2">
        <v>7</v>
      </c>
    </row>
    <row r="476" spans="1:10" ht="14.25" customHeight="1" x14ac:dyDescent="0.3">
      <c r="A476" s="2">
        <v>475</v>
      </c>
      <c r="B476" s="2" t="s">
        <v>1119</v>
      </c>
      <c r="C476" s="2" t="s">
        <v>1111</v>
      </c>
      <c r="D476" s="2" t="s">
        <v>213</v>
      </c>
      <c r="E476" s="10">
        <v>44764</v>
      </c>
      <c r="F476" s="2" t="s">
        <v>31</v>
      </c>
      <c r="G476" s="2" t="s">
        <v>128</v>
      </c>
      <c r="H476" s="2" t="s">
        <v>1120</v>
      </c>
      <c r="I476" s="2" t="s">
        <v>25</v>
      </c>
      <c r="J476" s="2">
        <v>10</v>
      </c>
    </row>
    <row r="477" spans="1:10" ht="14.25" customHeight="1" x14ac:dyDescent="0.3">
      <c r="A477" s="2">
        <v>476</v>
      </c>
      <c r="B477" s="2" t="s">
        <v>1121</v>
      </c>
      <c r="C477" s="2" t="s">
        <v>1113</v>
      </c>
      <c r="D477" s="2" t="s">
        <v>216</v>
      </c>
      <c r="E477" s="10">
        <v>44735</v>
      </c>
      <c r="F477" s="2" t="s">
        <v>31</v>
      </c>
      <c r="G477" s="2" t="s">
        <v>128</v>
      </c>
      <c r="H477" s="2" t="s">
        <v>1122</v>
      </c>
      <c r="I477" s="2" t="s">
        <v>23</v>
      </c>
      <c r="J477" s="2">
        <v>9</v>
      </c>
    </row>
    <row r="478" spans="1:10" ht="14.25" customHeight="1" x14ac:dyDescent="0.3">
      <c r="A478" s="2">
        <v>477</v>
      </c>
      <c r="B478" s="2" t="s">
        <v>1123</v>
      </c>
      <c r="C478" s="2" t="s">
        <v>1115</v>
      </c>
      <c r="D478" s="2" t="s">
        <v>238</v>
      </c>
      <c r="E478" s="10">
        <v>44734</v>
      </c>
      <c r="F478" s="2" t="s">
        <v>30</v>
      </c>
      <c r="G478" s="2" t="s">
        <v>128</v>
      </c>
      <c r="H478" s="2" t="s">
        <v>1124</v>
      </c>
      <c r="I478" s="2" t="s">
        <v>24</v>
      </c>
      <c r="J478" s="2">
        <v>10</v>
      </c>
    </row>
    <row r="479" spans="1:10" ht="14.25" customHeight="1" x14ac:dyDescent="0.3">
      <c r="A479" s="2">
        <v>478</v>
      </c>
      <c r="B479" s="2" t="s">
        <v>1125</v>
      </c>
      <c r="C479" s="2" t="s">
        <v>1117</v>
      </c>
      <c r="D479" s="2" t="s">
        <v>381</v>
      </c>
      <c r="E479" s="10">
        <v>44728</v>
      </c>
      <c r="F479" s="2" t="s">
        <v>31</v>
      </c>
      <c r="G479" s="2" t="s">
        <v>128</v>
      </c>
      <c r="H479" s="2" t="s">
        <v>1126</v>
      </c>
      <c r="I479" s="2" t="s">
        <v>25</v>
      </c>
      <c r="J479" s="2">
        <v>7</v>
      </c>
    </row>
    <row r="480" spans="1:10" ht="14.25" customHeight="1" x14ac:dyDescent="0.3">
      <c r="A480" s="2">
        <v>479</v>
      </c>
      <c r="B480" s="2" t="s">
        <v>1127</v>
      </c>
      <c r="C480" s="2" t="s">
        <v>1119</v>
      </c>
      <c r="D480" s="2" t="s">
        <v>243</v>
      </c>
      <c r="E480" s="10">
        <v>44739</v>
      </c>
      <c r="F480" s="2" t="s">
        <v>30</v>
      </c>
      <c r="G480" s="2" t="s">
        <v>135</v>
      </c>
      <c r="H480" s="2" t="s">
        <v>1128</v>
      </c>
      <c r="I480" s="2" t="s">
        <v>23</v>
      </c>
      <c r="J480" s="2">
        <v>10</v>
      </c>
    </row>
    <row r="481" spans="1:10" ht="14.25" customHeight="1" x14ac:dyDescent="0.3">
      <c r="A481" s="2">
        <v>480</v>
      </c>
      <c r="B481" s="2" t="s">
        <v>1129</v>
      </c>
      <c r="C481" s="2" t="s">
        <v>1121</v>
      </c>
      <c r="D481" s="2" t="s">
        <v>246</v>
      </c>
      <c r="E481" s="10">
        <v>44765</v>
      </c>
      <c r="F481" s="2" t="s">
        <v>31</v>
      </c>
      <c r="G481" s="2" t="s">
        <v>128</v>
      </c>
      <c r="H481" s="2" t="s">
        <v>1130</v>
      </c>
      <c r="I481" s="2" t="s">
        <v>24</v>
      </c>
      <c r="J481" s="2">
        <v>10</v>
      </c>
    </row>
    <row r="482" spans="1:10" ht="14.25" customHeight="1" x14ac:dyDescent="0.3">
      <c r="A482" s="2">
        <v>481</v>
      </c>
      <c r="B482" s="2" t="s">
        <v>1131</v>
      </c>
      <c r="C482" s="2" t="s">
        <v>1123</v>
      </c>
      <c r="D482" s="2" t="s">
        <v>249</v>
      </c>
      <c r="E482" s="10">
        <v>44740</v>
      </c>
      <c r="F482" s="2" t="s">
        <v>30</v>
      </c>
      <c r="G482" s="2" t="s">
        <v>128</v>
      </c>
      <c r="H482" s="2" t="s">
        <v>1132</v>
      </c>
      <c r="I482" s="2" t="s">
        <v>25</v>
      </c>
      <c r="J482" s="2">
        <v>8</v>
      </c>
    </row>
    <row r="483" spans="1:10" ht="14.25" customHeight="1" x14ac:dyDescent="0.3">
      <c r="A483" s="2">
        <v>482</v>
      </c>
      <c r="B483" s="2" t="s">
        <v>1133</v>
      </c>
      <c r="C483" s="2" t="s">
        <v>1125</v>
      </c>
      <c r="D483" s="2" t="s">
        <v>252</v>
      </c>
      <c r="E483" s="10">
        <v>44734</v>
      </c>
      <c r="F483" s="2" t="s">
        <v>31</v>
      </c>
      <c r="G483" s="2" t="s">
        <v>128</v>
      </c>
      <c r="H483" s="2" t="s">
        <v>1134</v>
      </c>
      <c r="I483" s="2" t="s">
        <v>23</v>
      </c>
      <c r="J483" s="2">
        <v>10</v>
      </c>
    </row>
    <row r="484" spans="1:10" ht="14.25" customHeight="1" x14ac:dyDescent="0.3">
      <c r="A484" s="2">
        <v>483</v>
      </c>
      <c r="B484" s="2" t="s">
        <v>1135</v>
      </c>
      <c r="C484" s="2" t="s">
        <v>1127</v>
      </c>
      <c r="D484" s="2" t="s">
        <v>255</v>
      </c>
      <c r="E484" s="10">
        <v>44727</v>
      </c>
      <c r="F484" s="2" t="s">
        <v>31</v>
      </c>
      <c r="G484" s="2" t="s">
        <v>128</v>
      </c>
      <c r="H484" s="2" t="s">
        <v>1136</v>
      </c>
      <c r="I484" s="2" t="s">
        <v>24</v>
      </c>
      <c r="J484" s="2">
        <v>9</v>
      </c>
    </row>
    <row r="485" spans="1:10" ht="14.25" customHeight="1" x14ac:dyDescent="0.3">
      <c r="A485" s="2">
        <v>484</v>
      </c>
      <c r="B485" s="2" t="s">
        <v>1137</v>
      </c>
      <c r="C485" s="2" t="s">
        <v>1129</v>
      </c>
      <c r="D485" s="2" t="s">
        <v>258</v>
      </c>
      <c r="E485" s="10">
        <v>44737</v>
      </c>
      <c r="F485" s="2" t="s">
        <v>30</v>
      </c>
      <c r="G485" s="2" t="s">
        <v>128</v>
      </c>
      <c r="H485" s="2" t="s">
        <v>1138</v>
      </c>
      <c r="I485" s="2" t="s">
        <v>25</v>
      </c>
      <c r="J485" s="2">
        <v>9</v>
      </c>
    </row>
    <row r="486" spans="1:10" ht="14.25" customHeight="1" x14ac:dyDescent="0.3">
      <c r="A486" s="2">
        <v>485</v>
      </c>
      <c r="B486" s="2" t="s">
        <v>1139</v>
      </c>
      <c r="C486" s="2" t="s">
        <v>1131</v>
      </c>
      <c r="D486" s="2" t="s">
        <v>188</v>
      </c>
      <c r="E486" s="10">
        <v>44747</v>
      </c>
      <c r="F486" s="2" t="s">
        <v>31</v>
      </c>
      <c r="G486" s="2" t="s">
        <v>135</v>
      </c>
      <c r="H486" s="2" t="s">
        <v>1140</v>
      </c>
      <c r="I486" s="2" t="s">
        <v>23</v>
      </c>
      <c r="J486" s="2">
        <v>9</v>
      </c>
    </row>
    <row r="487" spans="1:10" ht="14.25" customHeight="1" x14ac:dyDescent="0.3">
      <c r="A487" s="2">
        <v>486</v>
      </c>
      <c r="B487" s="2" t="s">
        <v>1141</v>
      </c>
      <c r="C487" s="2" t="s">
        <v>1133</v>
      </c>
      <c r="D487" s="2" t="s">
        <v>191</v>
      </c>
      <c r="E487" s="10">
        <v>44754</v>
      </c>
      <c r="F487" s="2" t="s">
        <v>30</v>
      </c>
      <c r="G487" s="2" t="s">
        <v>128</v>
      </c>
      <c r="H487" s="2" t="s">
        <v>1142</v>
      </c>
      <c r="I487" s="2" t="s">
        <v>24</v>
      </c>
      <c r="J487" s="2">
        <v>10</v>
      </c>
    </row>
    <row r="488" spans="1:10" ht="14.25" customHeight="1" x14ac:dyDescent="0.3">
      <c r="A488" s="2">
        <v>487</v>
      </c>
      <c r="B488" s="2" t="s">
        <v>1143</v>
      </c>
      <c r="C488" s="2" t="s">
        <v>1135</v>
      </c>
      <c r="D488" s="2" t="s">
        <v>194</v>
      </c>
      <c r="E488" s="10">
        <v>44760</v>
      </c>
      <c r="F488" s="2" t="s">
        <v>31</v>
      </c>
      <c r="G488" s="2" t="s">
        <v>128</v>
      </c>
      <c r="H488" s="2" t="s">
        <v>1144</v>
      </c>
      <c r="I488" s="2" t="s">
        <v>25</v>
      </c>
      <c r="J488" s="2">
        <v>9</v>
      </c>
    </row>
    <row r="489" spans="1:10" ht="14.25" customHeight="1" x14ac:dyDescent="0.3">
      <c r="A489" s="2">
        <v>488</v>
      </c>
      <c r="B489" s="2" t="s">
        <v>1145</v>
      </c>
      <c r="C489" s="2" t="s">
        <v>1137</v>
      </c>
      <c r="D489" s="2" t="s">
        <v>197</v>
      </c>
      <c r="E489" s="10">
        <v>44759</v>
      </c>
      <c r="F489" s="2" t="s">
        <v>30</v>
      </c>
      <c r="G489" s="2" t="s">
        <v>128</v>
      </c>
      <c r="H489" s="2" t="s">
        <v>1146</v>
      </c>
      <c r="I489" s="2" t="s">
        <v>23</v>
      </c>
      <c r="J489" s="2">
        <v>10</v>
      </c>
    </row>
    <row r="490" spans="1:10" ht="14.25" customHeight="1" x14ac:dyDescent="0.3">
      <c r="A490" s="2">
        <v>489</v>
      </c>
      <c r="B490" s="2" t="s">
        <v>1147</v>
      </c>
      <c r="C490" s="2" t="s">
        <v>1139</v>
      </c>
      <c r="D490" s="2" t="s">
        <v>200</v>
      </c>
      <c r="E490" s="10">
        <v>44735</v>
      </c>
      <c r="F490" s="2" t="s">
        <v>31</v>
      </c>
      <c r="G490" s="2" t="s">
        <v>128</v>
      </c>
      <c r="H490" s="2" t="s">
        <v>1148</v>
      </c>
      <c r="I490" s="2" t="s">
        <v>24</v>
      </c>
      <c r="J490" s="2">
        <v>9</v>
      </c>
    </row>
    <row r="491" spans="1:10" ht="14.25" customHeight="1" x14ac:dyDescent="0.3">
      <c r="A491" s="2">
        <v>490</v>
      </c>
      <c r="B491" s="2" t="s">
        <v>1149</v>
      </c>
      <c r="C491" s="2" t="s">
        <v>1141</v>
      </c>
      <c r="D491" s="2" t="s">
        <v>203</v>
      </c>
      <c r="E491" s="10">
        <v>44734</v>
      </c>
      <c r="F491" s="2" t="s">
        <v>29</v>
      </c>
      <c r="G491" s="2" t="s">
        <v>128</v>
      </c>
      <c r="H491" s="2" t="s">
        <v>1150</v>
      </c>
      <c r="I491" s="2" t="s">
        <v>25</v>
      </c>
      <c r="J491" s="2">
        <v>8</v>
      </c>
    </row>
    <row r="492" spans="1:10" ht="14.25" customHeight="1" x14ac:dyDescent="0.3">
      <c r="A492" s="2">
        <v>491</v>
      </c>
      <c r="B492" s="2" t="s">
        <v>1151</v>
      </c>
      <c r="C492" s="2" t="s">
        <v>1143</v>
      </c>
      <c r="D492" s="2" t="s">
        <v>207</v>
      </c>
      <c r="E492" s="10">
        <v>44753</v>
      </c>
      <c r="F492" s="2" t="s">
        <v>30</v>
      </c>
      <c r="G492" s="2" t="s">
        <v>128</v>
      </c>
      <c r="H492" s="2" t="s">
        <v>1152</v>
      </c>
      <c r="I492" s="2" t="s">
        <v>23</v>
      </c>
      <c r="J492" s="2">
        <v>7</v>
      </c>
    </row>
    <row r="493" spans="1:10" ht="14.25" customHeight="1" x14ac:dyDescent="0.3">
      <c r="A493" s="2">
        <v>492</v>
      </c>
      <c r="B493" s="2" t="s">
        <v>1153</v>
      </c>
      <c r="C493" s="2" t="s">
        <v>1145</v>
      </c>
      <c r="D493" s="2" t="s">
        <v>210</v>
      </c>
      <c r="E493" s="10">
        <v>44739</v>
      </c>
      <c r="F493" s="2" t="s">
        <v>31</v>
      </c>
      <c r="G493" s="2" t="s">
        <v>128</v>
      </c>
      <c r="H493" s="2" t="s">
        <v>1154</v>
      </c>
      <c r="I493" s="2" t="s">
        <v>24</v>
      </c>
      <c r="J493" s="2">
        <v>10</v>
      </c>
    </row>
    <row r="494" spans="1:10" ht="14.25" customHeight="1" x14ac:dyDescent="0.3">
      <c r="A494" s="2">
        <v>493</v>
      </c>
      <c r="B494" s="2" t="s">
        <v>1155</v>
      </c>
      <c r="C494" s="2" t="s">
        <v>1147</v>
      </c>
      <c r="D494" s="2" t="s">
        <v>213</v>
      </c>
      <c r="E494" s="10">
        <v>44740</v>
      </c>
      <c r="F494" s="2" t="s">
        <v>31</v>
      </c>
      <c r="G494" s="2" t="s">
        <v>128</v>
      </c>
      <c r="H494" s="2" t="s">
        <v>1156</v>
      </c>
      <c r="I494" s="2" t="s">
        <v>25</v>
      </c>
      <c r="J494" s="2">
        <v>7</v>
      </c>
    </row>
    <row r="495" spans="1:10" ht="14.25" customHeight="1" x14ac:dyDescent="0.3">
      <c r="A495" s="2">
        <v>494</v>
      </c>
      <c r="B495" s="2" t="s">
        <v>1157</v>
      </c>
      <c r="C495" s="2" t="s">
        <v>1149</v>
      </c>
      <c r="D495" s="2" t="s">
        <v>216</v>
      </c>
      <c r="E495" s="10">
        <v>44748</v>
      </c>
      <c r="F495" s="2" t="s">
        <v>30</v>
      </c>
      <c r="G495" s="2" t="s">
        <v>128</v>
      </c>
      <c r="H495" s="2" t="s">
        <v>1158</v>
      </c>
      <c r="I495" s="2" t="s">
        <v>23</v>
      </c>
      <c r="J495" s="2">
        <v>8</v>
      </c>
    </row>
    <row r="496" spans="1:10" ht="14.25" customHeight="1" x14ac:dyDescent="0.3">
      <c r="A496" s="2">
        <v>495</v>
      </c>
      <c r="B496" s="2" t="s">
        <v>1159</v>
      </c>
      <c r="C496" s="2" t="s">
        <v>1151</v>
      </c>
      <c r="D496" s="2" t="s">
        <v>127</v>
      </c>
      <c r="E496" s="10">
        <v>44731</v>
      </c>
      <c r="F496" s="2" t="s">
        <v>31</v>
      </c>
      <c r="G496" s="2" t="s">
        <v>128</v>
      </c>
      <c r="H496" s="2" t="s">
        <v>1160</v>
      </c>
      <c r="I496" s="2" t="s">
        <v>24</v>
      </c>
      <c r="J496" s="2">
        <v>9</v>
      </c>
    </row>
    <row r="497" spans="1:10" ht="14.25" customHeight="1" x14ac:dyDescent="0.3">
      <c r="A497" s="2">
        <v>496</v>
      </c>
      <c r="B497" s="2" t="s">
        <v>1161</v>
      </c>
      <c r="C497" s="2" t="s">
        <v>1153</v>
      </c>
      <c r="D497" s="2" t="s">
        <v>131</v>
      </c>
      <c r="E497" s="10">
        <v>44763</v>
      </c>
      <c r="F497" s="2" t="s">
        <v>30</v>
      </c>
      <c r="G497" s="2" t="s">
        <v>128</v>
      </c>
      <c r="H497" s="2" t="s">
        <v>1162</v>
      </c>
      <c r="I497" s="2" t="s">
        <v>25</v>
      </c>
      <c r="J497" s="2">
        <v>9</v>
      </c>
    </row>
    <row r="498" spans="1:10" ht="14.25" customHeight="1" x14ac:dyDescent="0.3">
      <c r="A498" s="2">
        <v>497</v>
      </c>
      <c r="B498" s="2" t="s">
        <v>1163</v>
      </c>
      <c r="C498" s="2" t="s">
        <v>1155</v>
      </c>
      <c r="D498" s="2" t="s">
        <v>134</v>
      </c>
      <c r="E498" s="10">
        <v>44733</v>
      </c>
      <c r="F498" s="2" t="s">
        <v>31</v>
      </c>
      <c r="G498" s="2" t="s">
        <v>128</v>
      </c>
      <c r="H498" s="2" t="s">
        <v>1164</v>
      </c>
      <c r="I498" s="2" t="s">
        <v>23</v>
      </c>
      <c r="J498" s="2">
        <v>9</v>
      </c>
    </row>
    <row r="499" spans="1:10" ht="14.25" customHeight="1" x14ac:dyDescent="0.3">
      <c r="A499" s="2">
        <v>498</v>
      </c>
      <c r="B499" s="2" t="s">
        <v>1165</v>
      </c>
      <c r="C499" s="2" t="s">
        <v>1157</v>
      </c>
      <c r="D499" s="2" t="s">
        <v>138</v>
      </c>
      <c r="E499" s="10">
        <v>44746</v>
      </c>
      <c r="F499" s="2" t="s">
        <v>31</v>
      </c>
      <c r="G499" s="2" t="s">
        <v>128</v>
      </c>
      <c r="H499" s="2" t="s">
        <v>1166</v>
      </c>
      <c r="I499" s="2" t="s">
        <v>24</v>
      </c>
      <c r="J499" s="2">
        <v>9</v>
      </c>
    </row>
    <row r="500" spans="1:10" ht="14.25" customHeight="1" x14ac:dyDescent="0.3">
      <c r="A500" s="2">
        <v>499</v>
      </c>
      <c r="B500" s="2" t="s">
        <v>1167</v>
      </c>
      <c r="C500" s="2" t="s">
        <v>1159</v>
      </c>
      <c r="D500" s="2" t="s">
        <v>141</v>
      </c>
      <c r="E500" s="10">
        <v>44755</v>
      </c>
      <c r="F500" s="2" t="s">
        <v>30</v>
      </c>
      <c r="G500" s="2" t="s">
        <v>128</v>
      </c>
      <c r="H500" s="2" t="s">
        <v>1168</v>
      </c>
      <c r="I500" s="2" t="s">
        <v>25</v>
      </c>
      <c r="J500" s="2">
        <v>9</v>
      </c>
    </row>
    <row r="501" spans="1:10" ht="14.25" customHeight="1" x14ac:dyDescent="0.3">
      <c r="A501" s="2">
        <v>500</v>
      </c>
      <c r="B501" s="2" t="s">
        <v>1169</v>
      </c>
      <c r="C501" s="2" t="s">
        <v>1161</v>
      </c>
      <c r="D501" s="2" t="s">
        <v>144</v>
      </c>
      <c r="E501" s="10">
        <v>44787</v>
      </c>
      <c r="F501" s="2" t="s">
        <v>31</v>
      </c>
      <c r="G501" s="2" t="s">
        <v>128</v>
      </c>
      <c r="H501" s="2" t="s">
        <v>1170</v>
      </c>
      <c r="I501" s="2" t="s">
        <v>25</v>
      </c>
      <c r="J501" s="2">
        <v>7</v>
      </c>
    </row>
    <row r="502" spans="1:10" ht="14.25" customHeight="1" x14ac:dyDescent="0.3">
      <c r="A502" s="2">
        <v>501</v>
      </c>
      <c r="B502" s="2" t="s">
        <v>1171</v>
      </c>
      <c r="C502" s="2" t="s">
        <v>1163</v>
      </c>
      <c r="D502" s="2" t="s">
        <v>127</v>
      </c>
      <c r="E502" s="10">
        <v>44799</v>
      </c>
      <c r="F502" s="2" t="s">
        <v>30</v>
      </c>
      <c r="G502" s="2" t="s">
        <v>128</v>
      </c>
      <c r="H502" s="2" t="s">
        <v>1172</v>
      </c>
      <c r="I502" s="2" t="s">
        <v>25</v>
      </c>
      <c r="J502" s="2">
        <v>9</v>
      </c>
    </row>
    <row r="503" spans="1:10" ht="14.25" customHeight="1" x14ac:dyDescent="0.3">
      <c r="A503" s="2">
        <v>502</v>
      </c>
      <c r="B503" s="2" t="s">
        <v>1173</v>
      </c>
      <c r="C503" s="2" t="s">
        <v>1165</v>
      </c>
      <c r="D503" s="2" t="s">
        <v>131</v>
      </c>
      <c r="E503" s="10">
        <v>44802</v>
      </c>
      <c r="F503" s="2" t="s">
        <v>31</v>
      </c>
      <c r="G503" s="2" t="s">
        <v>128</v>
      </c>
      <c r="H503" s="2" t="s">
        <v>1174</v>
      </c>
      <c r="I503" s="2" t="s">
        <v>23</v>
      </c>
      <c r="J503" s="2">
        <v>7</v>
      </c>
    </row>
    <row r="504" spans="1:10" ht="14.25" customHeight="1" x14ac:dyDescent="0.3">
      <c r="A504" s="2">
        <v>503</v>
      </c>
      <c r="B504" s="2" t="s">
        <v>1175</v>
      </c>
      <c r="C504" s="2" t="s">
        <v>1167</v>
      </c>
      <c r="D504" s="2" t="s">
        <v>134</v>
      </c>
      <c r="E504" s="10">
        <v>44774</v>
      </c>
      <c r="F504" s="2" t="s">
        <v>29</v>
      </c>
      <c r="G504" s="2" t="s">
        <v>135</v>
      </c>
      <c r="H504" s="2" t="s">
        <v>1176</v>
      </c>
      <c r="I504" s="2" t="s">
        <v>24</v>
      </c>
      <c r="J504" s="2">
        <v>8</v>
      </c>
    </row>
    <row r="505" spans="1:10" ht="14.25" customHeight="1" x14ac:dyDescent="0.3">
      <c r="A505" s="2">
        <v>504</v>
      </c>
      <c r="B505" s="2" t="s">
        <v>1177</v>
      </c>
      <c r="C505" s="2" t="s">
        <v>1169</v>
      </c>
      <c r="D505" s="2" t="s">
        <v>138</v>
      </c>
      <c r="E505" s="10">
        <v>44800</v>
      </c>
      <c r="F505" s="2" t="s">
        <v>30</v>
      </c>
      <c r="G505" s="2" t="s">
        <v>128</v>
      </c>
      <c r="H505" s="2" t="s">
        <v>1178</v>
      </c>
      <c r="I505" s="2" t="s">
        <v>25</v>
      </c>
      <c r="J505" s="2">
        <v>6</v>
      </c>
    </row>
    <row r="506" spans="1:10" ht="14.25" customHeight="1" x14ac:dyDescent="0.3">
      <c r="A506" s="2">
        <v>505</v>
      </c>
      <c r="B506" s="2" t="s">
        <v>1179</v>
      </c>
      <c r="C506" s="2" t="s">
        <v>1171</v>
      </c>
      <c r="D506" s="2" t="s">
        <v>141</v>
      </c>
      <c r="E506" s="10">
        <v>44797</v>
      </c>
      <c r="F506" s="2" t="s">
        <v>31</v>
      </c>
      <c r="G506" s="2" t="s">
        <v>128</v>
      </c>
      <c r="H506" s="2" t="s">
        <v>1180</v>
      </c>
      <c r="I506" s="2" t="s">
        <v>23</v>
      </c>
      <c r="J506" s="2">
        <v>2</v>
      </c>
    </row>
    <row r="507" spans="1:10" ht="14.25" customHeight="1" x14ac:dyDescent="0.3">
      <c r="A507" s="2">
        <v>506</v>
      </c>
      <c r="B507" s="2" t="s">
        <v>1181</v>
      </c>
      <c r="C507" s="2" t="s">
        <v>1173</v>
      </c>
      <c r="D507" s="2" t="s">
        <v>144</v>
      </c>
      <c r="E507" s="10">
        <v>44766</v>
      </c>
      <c r="F507" s="2" t="s">
        <v>31</v>
      </c>
      <c r="G507" s="2" t="s">
        <v>128</v>
      </c>
      <c r="H507" s="2" t="s">
        <v>1182</v>
      </c>
      <c r="I507" s="2" t="s">
        <v>24</v>
      </c>
      <c r="J507" s="2">
        <v>4</v>
      </c>
    </row>
    <row r="508" spans="1:10" ht="14.25" customHeight="1" x14ac:dyDescent="0.3">
      <c r="A508" s="2">
        <v>507</v>
      </c>
      <c r="B508" s="2" t="s">
        <v>1183</v>
      </c>
      <c r="C508" s="2" t="s">
        <v>1175</v>
      </c>
      <c r="D508" s="2" t="s">
        <v>147</v>
      </c>
      <c r="E508" s="10">
        <v>44782</v>
      </c>
      <c r="F508" s="2" t="s">
        <v>30</v>
      </c>
      <c r="G508" s="2" t="s">
        <v>128</v>
      </c>
      <c r="H508" s="2" t="s">
        <v>1184</v>
      </c>
      <c r="I508" s="2" t="s">
        <v>25</v>
      </c>
      <c r="J508" s="2">
        <v>1</v>
      </c>
    </row>
    <row r="509" spans="1:10" ht="14.25" customHeight="1" x14ac:dyDescent="0.3">
      <c r="A509" s="2">
        <v>508</v>
      </c>
      <c r="B509" s="2" t="s">
        <v>1185</v>
      </c>
      <c r="C509" s="2" t="s">
        <v>1177</v>
      </c>
      <c r="D509" s="2" t="s">
        <v>147</v>
      </c>
      <c r="E509" s="10">
        <v>44790</v>
      </c>
      <c r="F509" s="2" t="s">
        <v>31</v>
      </c>
      <c r="G509" s="2" t="s">
        <v>128</v>
      </c>
      <c r="H509" s="2" t="s">
        <v>1186</v>
      </c>
      <c r="I509" s="2" t="s">
        <v>23</v>
      </c>
      <c r="J509" s="2">
        <v>9</v>
      </c>
    </row>
    <row r="510" spans="1:10" ht="14.25" customHeight="1" x14ac:dyDescent="0.3">
      <c r="A510" s="2">
        <v>509</v>
      </c>
      <c r="B510" s="2" t="s">
        <v>1187</v>
      </c>
      <c r="C510" s="2" t="s">
        <v>1179</v>
      </c>
      <c r="D510" s="2" t="s">
        <v>153</v>
      </c>
      <c r="E510" s="10">
        <v>44770</v>
      </c>
      <c r="F510" s="2" t="s">
        <v>31</v>
      </c>
      <c r="G510" s="2" t="s">
        <v>135</v>
      </c>
      <c r="H510" s="2" t="s">
        <v>1188</v>
      </c>
      <c r="I510" s="2" t="s">
        <v>24</v>
      </c>
      <c r="J510" s="2">
        <v>6</v>
      </c>
    </row>
    <row r="511" spans="1:10" ht="14.25" customHeight="1" x14ac:dyDescent="0.3">
      <c r="A511" s="2">
        <v>510</v>
      </c>
      <c r="B511" s="2" t="s">
        <v>1189</v>
      </c>
      <c r="C511" s="2" t="s">
        <v>1181</v>
      </c>
      <c r="D511" s="2" t="s">
        <v>144</v>
      </c>
      <c r="E511" s="10">
        <v>44759</v>
      </c>
      <c r="F511" s="2" t="s">
        <v>30</v>
      </c>
      <c r="G511" s="2" t="s">
        <v>128</v>
      </c>
      <c r="H511" s="2" t="s">
        <v>1190</v>
      </c>
      <c r="I511" s="2" t="s">
        <v>25</v>
      </c>
      <c r="J511" s="2">
        <v>9</v>
      </c>
    </row>
    <row r="512" spans="1:10" ht="14.25" customHeight="1" x14ac:dyDescent="0.3">
      <c r="A512" s="2">
        <v>511</v>
      </c>
      <c r="B512" s="2" t="s">
        <v>1191</v>
      </c>
      <c r="C512" s="2" t="s">
        <v>1183</v>
      </c>
      <c r="D512" s="2" t="s">
        <v>158</v>
      </c>
      <c r="E512" s="10">
        <v>44776</v>
      </c>
      <c r="F512" s="2" t="s">
        <v>31</v>
      </c>
      <c r="G512" s="2" t="s">
        <v>128</v>
      </c>
      <c r="H512" s="2" t="s">
        <v>1192</v>
      </c>
      <c r="I512" s="2" t="s">
        <v>23</v>
      </c>
      <c r="J512" s="2">
        <v>9</v>
      </c>
    </row>
    <row r="513" spans="1:10" ht="14.25" customHeight="1" x14ac:dyDescent="0.3">
      <c r="A513" s="2">
        <v>512</v>
      </c>
      <c r="B513" s="2" t="s">
        <v>1193</v>
      </c>
      <c r="C513" s="2" t="s">
        <v>1185</v>
      </c>
      <c r="D513" s="2" t="s">
        <v>161</v>
      </c>
      <c r="E513" s="10">
        <v>44757</v>
      </c>
      <c r="F513" s="2" t="s">
        <v>29</v>
      </c>
      <c r="G513" s="2" t="s">
        <v>128</v>
      </c>
      <c r="H513" s="2" t="s">
        <v>1194</v>
      </c>
      <c r="I513" s="2" t="s">
        <v>24</v>
      </c>
      <c r="J513" s="2">
        <v>3</v>
      </c>
    </row>
    <row r="514" spans="1:10" ht="14.25" customHeight="1" x14ac:dyDescent="0.3">
      <c r="A514" s="2">
        <v>513</v>
      </c>
      <c r="B514" s="2" t="s">
        <v>1195</v>
      </c>
      <c r="C514" s="2" t="s">
        <v>1187</v>
      </c>
      <c r="D514" s="2" t="s">
        <v>164</v>
      </c>
      <c r="E514" s="10">
        <v>44771</v>
      </c>
      <c r="F514" s="2" t="s">
        <v>30</v>
      </c>
      <c r="G514" s="2" t="s">
        <v>128</v>
      </c>
      <c r="H514" s="2" t="s">
        <v>1196</v>
      </c>
      <c r="I514" s="2" t="s">
        <v>25</v>
      </c>
      <c r="J514" s="2">
        <v>2</v>
      </c>
    </row>
    <row r="515" spans="1:10" ht="14.25" customHeight="1" x14ac:dyDescent="0.3">
      <c r="A515" s="2">
        <v>514</v>
      </c>
      <c r="B515" s="2" t="s">
        <v>1197</v>
      </c>
      <c r="C515" s="2" t="s">
        <v>1189</v>
      </c>
      <c r="D515" s="2" t="s">
        <v>167</v>
      </c>
      <c r="E515" s="10">
        <v>44788</v>
      </c>
      <c r="F515" s="2" t="s">
        <v>31</v>
      </c>
      <c r="G515" s="2" t="s">
        <v>128</v>
      </c>
      <c r="H515" s="2" t="s">
        <v>1198</v>
      </c>
      <c r="I515" s="2" t="s">
        <v>23</v>
      </c>
      <c r="J515" s="2">
        <v>3</v>
      </c>
    </row>
    <row r="516" spans="1:10" ht="14.25" customHeight="1" x14ac:dyDescent="0.3">
      <c r="A516" s="2">
        <v>515</v>
      </c>
      <c r="B516" s="2" t="s">
        <v>1199</v>
      </c>
      <c r="C516" s="2" t="s">
        <v>1191</v>
      </c>
      <c r="D516" s="2" t="s">
        <v>144</v>
      </c>
      <c r="E516" s="10">
        <v>44762</v>
      </c>
      <c r="F516" s="2" t="s">
        <v>29</v>
      </c>
      <c r="G516" s="2" t="s">
        <v>135</v>
      </c>
      <c r="H516" s="2" t="s">
        <v>1200</v>
      </c>
      <c r="I516" s="2" t="s">
        <v>24</v>
      </c>
      <c r="J516" s="2">
        <v>10</v>
      </c>
    </row>
    <row r="517" spans="1:10" ht="14.25" customHeight="1" x14ac:dyDescent="0.3">
      <c r="A517" s="2">
        <v>516</v>
      </c>
      <c r="B517" s="2" t="s">
        <v>1201</v>
      </c>
      <c r="C517" s="2" t="s">
        <v>1193</v>
      </c>
      <c r="D517" s="2" t="s">
        <v>172</v>
      </c>
      <c r="E517" s="10">
        <v>44789</v>
      </c>
      <c r="F517" s="2" t="s">
        <v>30</v>
      </c>
      <c r="G517" s="2" t="s">
        <v>128</v>
      </c>
      <c r="H517" s="2" t="s">
        <v>1202</v>
      </c>
      <c r="I517" s="2" t="s">
        <v>25</v>
      </c>
      <c r="J517" s="2">
        <v>3</v>
      </c>
    </row>
    <row r="518" spans="1:10" ht="14.25" customHeight="1" x14ac:dyDescent="0.3">
      <c r="A518" s="2">
        <v>517</v>
      </c>
      <c r="B518" s="2" t="s">
        <v>1203</v>
      </c>
      <c r="C518" s="2" t="s">
        <v>1195</v>
      </c>
      <c r="D518" s="2" t="s">
        <v>161</v>
      </c>
      <c r="E518" s="10">
        <v>44761</v>
      </c>
      <c r="F518" s="2" t="s">
        <v>31</v>
      </c>
      <c r="G518" s="2" t="s">
        <v>128</v>
      </c>
      <c r="H518" s="2" t="s">
        <v>1204</v>
      </c>
      <c r="I518" s="2" t="s">
        <v>23</v>
      </c>
      <c r="J518" s="2">
        <v>1</v>
      </c>
    </row>
    <row r="519" spans="1:10" ht="14.25" customHeight="1" x14ac:dyDescent="0.3">
      <c r="A519" s="2">
        <v>518</v>
      </c>
      <c r="B519" s="2" t="s">
        <v>1205</v>
      </c>
      <c r="C519" s="2" t="s">
        <v>1197</v>
      </c>
      <c r="D519" s="2" t="s">
        <v>141</v>
      </c>
      <c r="E519" s="10">
        <v>44790</v>
      </c>
      <c r="F519" s="2" t="s">
        <v>29</v>
      </c>
      <c r="G519" s="2" t="s">
        <v>128</v>
      </c>
      <c r="H519" s="2" t="s">
        <v>1206</v>
      </c>
      <c r="I519" s="2" t="s">
        <v>24</v>
      </c>
      <c r="J519" s="2">
        <v>5</v>
      </c>
    </row>
    <row r="520" spans="1:10" ht="14.25" customHeight="1" x14ac:dyDescent="0.3">
      <c r="A520" s="2">
        <v>519</v>
      </c>
      <c r="B520" s="2" t="s">
        <v>1207</v>
      </c>
      <c r="C520" s="2" t="s">
        <v>1199</v>
      </c>
      <c r="D520" s="2" t="s">
        <v>179</v>
      </c>
      <c r="E520" s="10">
        <v>44782</v>
      </c>
      <c r="F520" s="2" t="s">
        <v>30</v>
      </c>
      <c r="G520" s="2" t="s">
        <v>128</v>
      </c>
      <c r="H520" s="2" t="s">
        <v>1208</v>
      </c>
      <c r="I520" s="2" t="s">
        <v>25</v>
      </c>
      <c r="J520" s="2">
        <v>1</v>
      </c>
    </row>
    <row r="521" spans="1:10" ht="14.25" customHeight="1" x14ac:dyDescent="0.3">
      <c r="A521" s="2">
        <v>520</v>
      </c>
      <c r="B521" s="2" t="s">
        <v>1209</v>
      </c>
      <c r="C521" s="2" t="s">
        <v>1201</v>
      </c>
      <c r="D521" s="2" t="s">
        <v>182</v>
      </c>
      <c r="E521" s="10">
        <v>44802</v>
      </c>
      <c r="F521" s="2" t="s">
        <v>31</v>
      </c>
      <c r="G521" s="2" t="s">
        <v>128</v>
      </c>
      <c r="H521" s="2" t="s">
        <v>1210</v>
      </c>
      <c r="I521" s="2" t="s">
        <v>23</v>
      </c>
      <c r="J521" s="2">
        <v>5</v>
      </c>
    </row>
    <row r="522" spans="1:10" ht="14.25" customHeight="1" x14ac:dyDescent="0.3">
      <c r="A522" s="2">
        <v>521</v>
      </c>
      <c r="B522" s="2" t="s">
        <v>1211</v>
      </c>
      <c r="C522" s="2" t="s">
        <v>1203</v>
      </c>
      <c r="D522" s="2" t="s">
        <v>185</v>
      </c>
      <c r="E522" s="10">
        <v>44791</v>
      </c>
      <c r="F522" s="2" t="s">
        <v>31</v>
      </c>
      <c r="G522" s="2" t="s">
        <v>135</v>
      </c>
      <c r="H522" s="2" t="s">
        <v>1212</v>
      </c>
      <c r="I522" s="2" t="s">
        <v>24</v>
      </c>
      <c r="J522" s="2">
        <v>5</v>
      </c>
    </row>
    <row r="523" spans="1:10" ht="14.25" customHeight="1" x14ac:dyDescent="0.3">
      <c r="A523" s="2">
        <v>522</v>
      </c>
      <c r="B523" s="2" t="s">
        <v>1213</v>
      </c>
      <c r="C523" s="2" t="s">
        <v>1205</v>
      </c>
      <c r="D523" s="2" t="s">
        <v>188</v>
      </c>
      <c r="E523" s="10">
        <v>44795</v>
      </c>
      <c r="F523" s="2" t="s">
        <v>30</v>
      </c>
      <c r="G523" s="2" t="s">
        <v>128</v>
      </c>
      <c r="H523" s="2" t="s">
        <v>1214</v>
      </c>
      <c r="I523" s="2" t="s">
        <v>25</v>
      </c>
      <c r="J523" s="2">
        <v>3</v>
      </c>
    </row>
    <row r="524" spans="1:10" ht="14.25" customHeight="1" x14ac:dyDescent="0.3">
      <c r="A524" s="2">
        <v>523</v>
      </c>
      <c r="B524" s="2" t="s">
        <v>1215</v>
      </c>
      <c r="C524" s="2" t="s">
        <v>1207</v>
      </c>
      <c r="D524" s="2" t="s">
        <v>191</v>
      </c>
      <c r="E524" s="10">
        <v>44759</v>
      </c>
      <c r="F524" s="2" t="s">
        <v>31</v>
      </c>
      <c r="G524" s="2" t="s">
        <v>128</v>
      </c>
      <c r="H524" s="2" t="s">
        <v>1216</v>
      </c>
      <c r="I524" s="2" t="s">
        <v>23</v>
      </c>
      <c r="J524" s="2">
        <v>3</v>
      </c>
    </row>
    <row r="525" spans="1:10" ht="14.25" customHeight="1" x14ac:dyDescent="0.3">
      <c r="A525" s="2">
        <v>524</v>
      </c>
      <c r="B525" s="2" t="s">
        <v>1217</v>
      </c>
      <c r="C525" s="2" t="s">
        <v>1209</v>
      </c>
      <c r="D525" s="2" t="s">
        <v>194</v>
      </c>
      <c r="E525" s="10">
        <v>44756</v>
      </c>
      <c r="F525" s="2" t="s">
        <v>29</v>
      </c>
      <c r="G525" s="2" t="s">
        <v>128</v>
      </c>
      <c r="H525" s="2" t="s">
        <v>1218</v>
      </c>
      <c r="I525" s="2" t="s">
        <v>24</v>
      </c>
      <c r="J525" s="2">
        <v>7</v>
      </c>
    </row>
    <row r="526" spans="1:10" ht="14.25" customHeight="1" x14ac:dyDescent="0.3">
      <c r="A526" s="2">
        <v>525</v>
      </c>
      <c r="B526" s="2" t="s">
        <v>1219</v>
      </c>
      <c r="C526" s="2" t="s">
        <v>1211</v>
      </c>
      <c r="D526" s="2" t="s">
        <v>197</v>
      </c>
      <c r="E526" s="10">
        <v>44786</v>
      </c>
      <c r="F526" s="2" t="s">
        <v>30</v>
      </c>
      <c r="G526" s="2" t="s">
        <v>128</v>
      </c>
      <c r="H526" s="2" t="s">
        <v>1220</v>
      </c>
      <c r="I526" s="2" t="s">
        <v>25</v>
      </c>
      <c r="J526" s="2">
        <v>4</v>
      </c>
    </row>
    <row r="527" spans="1:10" ht="14.25" customHeight="1" x14ac:dyDescent="0.3">
      <c r="A527" s="2">
        <v>526</v>
      </c>
      <c r="B527" s="2" t="s">
        <v>1221</v>
      </c>
      <c r="C527" s="2" t="s">
        <v>1213</v>
      </c>
      <c r="D527" s="2" t="s">
        <v>200</v>
      </c>
      <c r="E527" s="10">
        <v>44757</v>
      </c>
      <c r="F527" s="2" t="s">
        <v>31</v>
      </c>
      <c r="G527" s="2" t="s">
        <v>128</v>
      </c>
      <c r="H527" s="2" t="s">
        <v>1222</v>
      </c>
      <c r="I527" s="2" t="s">
        <v>23</v>
      </c>
      <c r="J527" s="2">
        <v>3</v>
      </c>
    </row>
    <row r="528" spans="1:10" ht="14.25" customHeight="1" x14ac:dyDescent="0.3">
      <c r="A528" s="2">
        <v>527</v>
      </c>
      <c r="B528" s="2" t="s">
        <v>1223</v>
      </c>
      <c r="C528" s="2" t="s">
        <v>1215</v>
      </c>
      <c r="D528" s="2" t="s">
        <v>203</v>
      </c>
      <c r="E528" s="10">
        <v>44787</v>
      </c>
      <c r="F528" s="2" t="s">
        <v>29</v>
      </c>
      <c r="G528" s="2" t="s">
        <v>135</v>
      </c>
      <c r="H528" s="2" t="s">
        <v>1224</v>
      </c>
      <c r="I528" s="2" t="s">
        <v>24</v>
      </c>
      <c r="J528" s="2">
        <v>8</v>
      </c>
    </row>
    <row r="529" spans="1:10" ht="14.25" customHeight="1" x14ac:dyDescent="0.3">
      <c r="A529" s="2">
        <v>528</v>
      </c>
      <c r="B529" s="2" t="s">
        <v>1225</v>
      </c>
      <c r="C529" s="2" t="s">
        <v>1217</v>
      </c>
      <c r="D529" s="2" t="s">
        <v>207</v>
      </c>
      <c r="E529" s="10">
        <v>44763</v>
      </c>
      <c r="F529" s="2" t="s">
        <v>30</v>
      </c>
      <c r="G529" s="2" t="s">
        <v>128</v>
      </c>
      <c r="H529" s="2" t="s">
        <v>1226</v>
      </c>
      <c r="I529" s="2" t="s">
        <v>25</v>
      </c>
      <c r="J529" s="2">
        <v>2</v>
      </c>
    </row>
    <row r="530" spans="1:10" ht="14.25" customHeight="1" x14ac:dyDescent="0.3">
      <c r="A530" s="2">
        <v>529</v>
      </c>
      <c r="B530" s="2" t="s">
        <v>1227</v>
      </c>
      <c r="C530" s="2" t="s">
        <v>1219</v>
      </c>
      <c r="D530" s="2" t="s">
        <v>210</v>
      </c>
      <c r="E530" s="10">
        <v>44799</v>
      </c>
      <c r="F530" s="2" t="s">
        <v>31</v>
      </c>
      <c r="G530" s="2" t="s">
        <v>128</v>
      </c>
      <c r="H530" s="2" t="s">
        <v>1228</v>
      </c>
      <c r="I530" s="2" t="s">
        <v>23</v>
      </c>
      <c r="J530" s="2">
        <v>9</v>
      </c>
    </row>
    <row r="531" spans="1:10" ht="14.25" customHeight="1" x14ac:dyDescent="0.3">
      <c r="A531" s="2">
        <v>530</v>
      </c>
      <c r="B531" s="2" t="s">
        <v>1229</v>
      </c>
      <c r="C531" s="2" t="s">
        <v>1221</v>
      </c>
      <c r="D531" s="2" t="s">
        <v>213</v>
      </c>
      <c r="E531" s="10">
        <v>44798</v>
      </c>
      <c r="F531" s="2" t="s">
        <v>29</v>
      </c>
      <c r="G531" s="2" t="s">
        <v>128</v>
      </c>
      <c r="H531" s="2" t="s">
        <v>1230</v>
      </c>
      <c r="I531" s="2" t="s">
        <v>24</v>
      </c>
      <c r="J531" s="2">
        <v>6</v>
      </c>
    </row>
    <row r="532" spans="1:10" ht="14.25" customHeight="1" x14ac:dyDescent="0.3">
      <c r="A532" s="2">
        <v>531</v>
      </c>
      <c r="B532" s="2" t="s">
        <v>1231</v>
      </c>
      <c r="C532" s="2" t="s">
        <v>1223</v>
      </c>
      <c r="D532" s="2" t="s">
        <v>216</v>
      </c>
      <c r="E532" s="10">
        <v>44807</v>
      </c>
      <c r="F532" s="2" t="s">
        <v>30</v>
      </c>
      <c r="G532" s="2" t="s">
        <v>128</v>
      </c>
      <c r="H532" s="2" t="s">
        <v>1232</v>
      </c>
      <c r="I532" s="2" t="s">
        <v>25</v>
      </c>
      <c r="J532" s="2">
        <v>7</v>
      </c>
    </row>
    <row r="533" spans="1:10" ht="14.25" customHeight="1" x14ac:dyDescent="0.3">
      <c r="A533" s="2">
        <v>532</v>
      </c>
      <c r="B533" s="2" t="s">
        <v>1233</v>
      </c>
      <c r="C533" s="2" t="s">
        <v>1225</v>
      </c>
      <c r="D533" s="2" t="s">
        <v>219</v>
      </c>
      <c r="E533" s="10">
        <v>44769</v>
      </c>
      <c r="F533" s="2" t="s">
        <v>31</v>
      </c>
      <c r="G533" s="2" t="s">
        <v>128</v>
      </c>
      <c r="H533" s="2" t="s">
        <v>1234</v>
      </c>
      <c r="I533" s="2" t="s">
        <v>23</v>
      </c>
      <c r="J533" s="2">
        <v>9</v>
      </c>
    </row>
    <row r="534" spans="1:10" ht="14.25" customHeight="1" x14ac:dyDescent="0.3">
      <c r="A534" s="2">
        <v>533</v>
      </c>
      <c r="B534" s="2" t="s">
        <v>1235</v>
      </c>
      <c r="C534" s="2" t="s">
        <v>1227</v>
      </c>
      <c r="D534" s="2" t="s">
        <v>167</v>
      </c>
      <c r="E534" s="10">
        <v>44779</v>
      </c>
      <c r="F534" s="2" t="s">
        <v>31</v>
      </c>
      <c r="G534" s="2" t="s">
        <v>135</v>
      </c>
      <c r="H534" s="2" t="s">
        <v>1236</v>
      </c>
      <c r="I534" s="2" t="s">
        <v>24</v>
      </c>
      <c r="J534" s="2">
        <v>2</v>
      </c>
    </row>
    <row r="535" spans="1:10" ht="14.25" customHeight="1" x14ac:dyDescent="0.3">
      <c r="A535" s="2">
        <v>534</v>
      </c>
      <c r="B535" s="2" t="s">
        <v>1237</v>
      </c>
      <c r="C535" s="2" t="s">
        <v>1229</v>
      </c>
      <c r="D535" s="2" t="s">
        <v>191</v>
      </c>
      <c r="E535" s="10">
        <v>44769</v>
      </c>
      <c r="F535" s="2" t="s">
        <v>30</v>
      </c>
      <c r="G535" s="2" t="s">
        <v>128</v>
      </c>
      <c r="H535" s="2" t="s">
        <v>1238</v>
      </c>
      <c r="I535" s="2" t="s">
        <v>25</v>
      </c>
      <c r="J535" s="2">
        <v>9</v>
      </c>
    </row>
    <row r="536" spans="1:10" ht="14.25" customHeight="1" x14ac:dyDescent="0.3">
      <c r="A536" s="2">
        <v>535</v>
      </c>
      <c r="B536" s="2" t="s">
        <v>1239</v>
      </c>
      <c r="C536" s="2" t="s">
        <v>1231</v>
      </c>
      <c r="D536" s="2" t="s">
        <v>207</v>
      </c>
      <c r="E536" s="10">
        <v>44756</v>
      </c>
      <c r="F536" s="2" t="s">
        <v>31</v>
      </c>
      <c r="G536" s="2" t="s">
        <v>128</v>
      </c>
      <c r="H536" s="2" t="s">
        <v>1240</v>
      </c>
      <c r="I536" s="2" t="s">
        <v>23</v>
      </c>
      <c r="J536" s="2">
        <v>10</v>
      </c>
    </row>
    <row r="537" spans="1:10" ht="14.25" customHeight="1" x14ac:dyDescent="0.3">
      <c r="A537" s="2">
        <v>536</v>
      </c>
      <c r="B537" s="2" t="s">
        <v>1241</v>
      </c>
      <c r="C537" s="2" t="s">
        <v>1233</v>
      </c>
      <c r="D537" s="2" t="s">
        <v>141</v>
      </c>
      <c r="E537" s="10">
        <v>44799</v>
      </c>
      <c r="F537" s="2" t="s">
        <v>29</v>
      </c>
      <c r="G537" s="2" t="s">
        <v>128</v>
      </c>
      <c r="H537" s="2" t="s">
        <v>1242</v>
      </c>
      <c r="I537" s="2" t="s">
        <v>24</v>
      </c>
      <c r="J537" s="2">
        <v>1</v>
      </c>
    </row>
    <row r="538" spans="1:10" ht="14.25" customHeight="1" x14ac:dyDescent="0.3">
      <c r="A538" s="2">
        <v>537</v>
      </c>
      <c r="B538" s="2" t="s">
        <v>1243</v>
      </c>
      <c r="C538" s="2" t="s">
        <v>1235</v>
      </c>
      <c r="D538" s="2" t="s">
        <v>172</v>
      </c>
      <c r="E538" s="10">
        <v>44807</v>
      </c>
      <c r="F538" s="2" t="s">
        <v>30</v>
      </c>
      <c r="G538" s="2" t="s">
        <v>128</v>
      </c>
      <c r="H538" s="2" t="s">
        <v>1244</v>
      </c>
      <c r="I538" s="2" t="s">
        <v>25</v>
      </c>
      <c r="J538" s="2">
        <v>1</v>
      </c>
    </row>
    <row r="539" spans="1:10" ht="14.25" customHeight="1" x14ac:dyDescent="0.3">
      <c r="A539" s="2">
        <v>538</v>
      </c>
      <c r="B539" s="2" t="s">
        <v>1245</v>
      </c>
      <c r="C539" s="2" t="s">
        <v>1237</v>
      </c>
      <c r="D539" s="2" t="s">
        <v>213</v>
      </c>
      <c r="E539" s="10">
        <v>44769</v>
      </c>
      <c r="F539" s="2" t="s">
        <v>31</v>
      </c>
      <c r="G539" s="2" t="s">
        <v>128</v>
      </c>
      <c r="H539" s="2" t="s">
        <v>1246</v>
      </c>
      <c r="I539" s="2" t="s">
        <v>23</v>
      </c>
      <c r="J539" s="2">
        <v>10</v>
      </c>
    </row>
    <row r="540" spans="1:10" ht="14.25" customHeight="1" x14ac:dyDescent="0.3">
      <c r="A540" s="2">
        <v>539</v>
      </c>
      <c r="B540" s="2" t="s">
        <v>1247</v>
      </c>
      <c r="C540" s="2" t="s">
        <v>1239</v>
      </c>
      <c r="D540" s="2" t="s">
        <v>216</v>
      </c>
      <c r="E540" s="10">
        <v>44805</v>
      </c>
      <c r="F540" s="2" t="s">
        <v>31</v>
      </c>
      <c r="G540" s="2" t="s">
        <v>135</v>
      </c>
      <c r="H540" s="2" t="s">
        <v>1248</v>
      </c>
      <c r="I540" s="2" t="s">
        <v>24</v>
      </c>
      <c r="J540" s="2">
        <v>4</v>
      </c>
    </row>
    <row r="541" spans="1:10" ht="14.25" customHeight="1" x14ac:dyDescent="0.3">
      <c r="A541" s="2">
        <v>540</v>
      </c>
      <c r="B541" s="2" t="s">
        <v>1249</v>
      </c>
      <c r="C541" s="2" t="s">
        <v>1241</v>
      </c>
      <c r="D541" s="2" t="s">
        <v>238</v>
      </c>
      <c r="E541" s="10">
        <v>44796</v>
      </c>
      <c r="F541" s="2" t="s">
        <v>30</v>
      </c>
      <c r="G541" s="2" t="s">
        <v>128</v>
      </c>
      <c r="H541" s="2" t="s">
        <v>1250</v>
      </c>
      <c r="I541" s="2" t="s">
        <v>25</v>
      </c>
      <c r="J541" s="2">
        <v>7</v>
      </c>
    </row>
    <row r="542" spans="1:10" ht="14.25" customHeight="1" x14ac:dyDescent="0.3">
      <c r="A542" s="2">
        <v>541</v>
      </c>
      <c r="B542" s="2" t="s">
        <v>1251</v>
      </c>
      <c r="C542" s="2" t="s">
        <v>1243</v>
      </c>
      <c r="D542" s="2" t="s">
        <v>158</v>
      </c>
      <c r="E542" s="10">
        <v>44798</v>
      </c>
      <c r="F542" s="2" t="s">
        <v>31</v>
      </c>
      <c r="G542" s="2" t="s">
        <v>128</v>
      </c>
      <c r="H542" s="2" t="s">
        <v>1252</v>
      </c>
      <c r="I542" s="2" t="s">
        <v>23</v>
      </c>
      <c r="J542" s="2">
        <v>3</v>
      </c>
    </row>
    <row r="543" spans="1:10" ht="14.25" customHeight="1" x14ac:dyDescent="0.3">
      <c r="A543" s="2">
        <v>542</v>
      </c>
      <c r="B543" s="2" t="s">
        <v>1253</v>
      </c>
      <c r="C543" s="2" t="s">
        <v>1245</v>
      </c>
      <c r="D543" s="2" t="s">
        <v>243</v>
      </c>
      <c r="E543" s="10">
        <v>44756</v>
      </c>
      <c r="F543" s="2" t="s">
        <v>29</v>
      </c>
      <c r="G543" s="2" t="s">
        <v>128</v>
      </c>
      <c r="H543" s="2" t="s">
        <v>1254</v>
      </c>
      <c r="I543" s="2" t="s">
        <v>24</v>
      </c>
      <c r="J543" s="2">
        <v>6</v>
      </c>
    </row>
    <row r="544" spans="1:10" ht="14.25" customHeight="1" x14ac:dyDescent="0.3">
      <c r="A544" s="2">
        <v>543</v>
      </c>
      <c r="B544" s="2" t="s">
        <v>1255</v>
      </c>
      <c r="C544" s="2" t="s">
        <v>1247</v>
      </c>
      <c r="D544" s="2" t="s">
        <v>246</v>
      </c>
      <c r="E544" s="10">
        <v>44800</v>
      </c>
      <c r="F544" s="2" t="s">
        <v>30</v>
      </c>
      <c r="G544" s="2" t="s">
        <v>128</v>
      </c>
      <c r="H544" s="2" t="s">
        <v>1256</v>
      </c>
      <c r="I544" s="2" t="s">
        <v>25</v>
      </c>
      <c r="J544" s="2">
        <v>6</v>
      </c>
    </row>
    <row r="545" spans="1:10" ht="14.25" customHeight="1" x14ac:dyDescent="0.3">
      <c r="A545" s="2">
        <v>544</v>
      </c>
      <c r="B545" s="2" t="s">
        <v>1257</v>
      </c>
      <c r="C545" s="2" t="s">
        <v>1249</v>
      </c>
      <c r="D545" s="2" t="s">
        <v>249</v>
      </c>
      <c r="E545" s="10">
        <v>44758</v>
      </c>
      <c r="F545" s="2" t="s">
        <v>31</v>
      </c>
      <c r="G545" s="2" t="s">
        <v>128</v>
      </c>
      <c r="H545" s="2" t="s">
        <v>1258</v>
      </c>
      <c r="I545" s="2" t="s">
        <v>23</v>
      </c>
      <c r="J545" s="2">
        <v>5</v>
      </c>
    </row>
    <row r="546" spans="1:10" ht="14.25" customHeight="1" x14ac:dyDescent="0.3">
      <c r="A546" s="2">
        <v>545</v>
      </c>
      <c r="B546" s="2" t="s">
        <v>1259</v>
      </c>
      <c r="C546" s="2" t="s">
        <v>1251</v>
      </c>
      <c r="D546" s="2" t="s">
        <v>252</v>
      </c>
      <c r="E546" s="10">
        <v>44788</v>
      </c>
      <c r="F546" s="2" t="s">
        <v>29</v>
      </c>
      <c r="G546" s="2" t="s">
        <v>135</v>
      </c>
      <c r="H546" s="2" t="s">
        <v>1260</v>
      </c>
      <c r="I546" s="2" t="s">
        <v>24</v>
      </c>
      <c r="J546" s="2">
        <v>1</v>
      </c>
    </row>
    <row r="547" spans="1:10" ht="14.25" customHeight="1" x14ac:dyDescent="0.3">
      <c r="A547" s="2">
        <v>546</v>
      </c>
      <c r="B547" s="2" t="s">
        <v>1261</v>
      </c>
      <c r="C547" s="2" t="s">
        <v>1253</v>
      </c>
      <c r="D547" s="2" t="s">
        <v>255</v>
      </c>
      <c r="E547" s="10">
        <v>44793</v>
      </c>
      <c r="F547" s="2" t="s">
        <v>30</v>
      </c>
      <c r="G547" s="2" t="s">
        <v>128</v>
      </c>
      <c r="H547" s="2" t="s">
        <v>1262</v>
      </c>
      <c r="I547" s="2" t="s">
        <v>25</v>
      </c>
      <c r="J547" s="2">
        <v>9</v>
      </c>
    </row>
    <row r="548" spans="1:10" ht="14.25" customHeight="1" x14ac:dyDescent="0.3">
      <c r="A548" s="2">
        <v>547</v>
      </c>
      <c r="B548" s="2" t="s">
        <v>1263</v>
      </c>
      <c r="C548" s="2" t="s">
        <v>1255</v>
      </c>
      <c r="D548" s="2" t="s">
        <v>258</v>
      </c>
      <c r="E548" s="10">
        <v>44784</v>
      </c>
      <c r="F548" s="2" t="s">
        <v>31</v>
      </c>
      <c r="G548" s="2" t="s">
        <v>128</v>
      </c>
      <c r="H548" s="2" t="s">
        <v>1264</v>
      </c>
      <c r="I548" s="2" t="s">
        <v>23</v>
      </c>
      <c r="J548" s="2">
        <v>3</v>
      </c>
    </row>
    <row r="549" spans="1:10" ht="14.25" customHeight="1" x14ac:dyDescent="0.3">
      <c r="A549" s="2">
        <v>548</v>
      </c>
      <c r="B549" s="2" t="s">
        <v>1265</v>
      </c>
      <c r="C549" s="2" t="s">
        <v>1257</v>
      </c>
      <c r="D549" s="2" t="s">
        <v>261</v>
      </c>
      <c r="E549" s="10">
        <v>44793</v>
      </c>
      <c r="F549" s="2" t="s">
        <v>31</v>
      </c>
      <c r="G549" s="2" t="s">
        <v>128</v>
      </c>
      <c r="H549" s="2" t="s">
        <v>1266</v>
      </c>
      <c r="I549" s="2" t="s">
        <v>24</v>
      </c>
      <c r="J549" s="2">
        <v>4</v>
      </c>
    </row>
    <row r="550" spans="1:10" ht="14.25" customHeight="1" x14ac:dyDescent="0.3">
      <c r="A550" s="2">
        <v>549</v>
      </c>
      <c r="B550" s="2" t="s">
        <v>1267</v>
      </c>
      <c r="C550" s="2" t="s">
        <v>1259</v>
      </c>
      <c r="D550" s="2" t="s">
        <v>264</v>
      </c>
      <c r="E550" s="10">
        <v>44796</v>
      </c>
      <c r="F550" s="2" t="s">
        <v>30</v>
      </c>
      <c r="G550" s="2" t="s">
        <v>128</v>
      </c>
      <c r="H550" s="2" t="s">
        <v>1268</v>
      </c>
      <c r="I550" s="2" t="s">
        <v>25</v>
      </c>
      <c r="J550" s="2">
        <v>8</v>
      </c>
    </row>
    <row r="551" spans="1:10" ht="14.25" customHeight="1" x14ac:dyDescent="0.3">
      <c r="A551" s="2">
        <v>550</v>
      </c>
      <c r="B551" s="2" t="s">
        <v>1269</v>
      </c>
      <c r="C551" s="2" t="s">
        <v>1261</v>
      </c>
      <c r="D551" s="2" t="s">
        <v>267</v>
      </c>
      <c r="E551" s="10">
        <v>44758</v>
      </c>
      <c r="F551" s="2" t="s">
        <v>31</v>
      </c>
      <c r="G551" s="2" t="s">
        <v>128</v>
      </c>
      <c r="H551" s="2" t="s">
        <v>1270</v>
      </c>
      <c r="I551" s="2" t="s">
        <v>25</v>
      </c>
      <c r="J551" s="2">
        <v>6</v>
      </c>
    </row>
    <row r="552" spans="1:10" ht="14.25" customHeight="1" x14ac:dyDescent="0.3">
      <c r="A552" s="2">
        <v>551</v>
      </c>
      <c r="B552" s="2" t="s">
        <v>1271</v>
      </c>
      <c r="C552" s="2" t="s">
        <v>1263</v>
      </c>
      <c r="D552" s="2" t="s">
        <v>127</v>
      </c>
      <c r="E552" s="10">
        <v>44757</v>
      </c>
      <c r="F552" s="2" t="s">
        <v>30</v>
      </c>
      <c r="G552" s="2" t="s">
        <v>128</v>
      </c>
      <c r="H552" s="2" t="s">
        <v>1272</v>
      </c>
      <c r="I552" s="2" t="s">
        <v>25</v>
      </c>
      <c r="J552" s="2">
        <v>9</v>
      </c>
    </row>
    <row r="553" spans="1:10" ht="14.25" customHeight="1" x14ac:dyDescent="0.3">
      <c r="A553" s="2">
        <v>552</v>
      </c>
      <c r="B553" s="2" t="s">
        <v>1273</v>
      </c>
      <c r="C553" s="2" t="s">
        <v>1265</v>
      </c>
      <c r="D553" s="2" t="s">
        <v>131</v>
      </c>
      <c r="E553" s="10">
        <v>44758</v>
      </c>
      <c r="F553" s="2" t="s">
        <v>31</v>
      </c>
      <c r="G553" s="2" t="s">
        <v>128</v>
      </c>
      <c r="H553" s="2" t="s">
        <v>1274</v>
      </c>
      <c r="I553" s="2" t="s">
        <v>23</v>
      </c>
      <c r="J553" s="2">
        <v>7</v>
      </c>
    </row>
    <row r="554" spans="1:10" ht="14.25" customHeight="1" x14ac:dyDescent="0.3">
      <c r="A554" s="2">
        <v>553</v>
      </c>
      <c r="B554" s="2" t="s">
        <v>1275</v>
      </c>
      <c r="C554" s="2" t="s">
        <v>1267</v>
      </c>
      <c r="D554" s="2" t="s">
        <v>134</v>
      </c>
      <c r="E554" s="10">
        <v>44800</v>
      </c>
      <c r="F554" s="2" t="s">
        <v>29</v>
      </c>
      <c r="G554" s="2" t="s">
        <v>135</v>
      </c>
      <c r="H554" s="2" t="s">
        <v>1276</v>
      </c>
      <c r="I554" s="2" t="s">
        <v>24</v>
      </c>
      <c r="J554" s="2">
        <v>8</v>
      </c>
    </row>
    <row r="555" spans="1:10" ht="14.25" customHeight="1" x14ac:dyDescent="0.3">
      <c r="A555" s="2">
        <v>554</v>
      </c>
      <c r="B555" s="2" t="s">
        <v>1277</v>
      </c>
      <c r="C555" s="2" t="s">
        <v>1269</v>
      </c>
      <c r="D555" s="2" t="s">
        <v>138</v>
      </c>
      <c r="E555" s="10">
        <v>44780</v>
      </c>
      <c r="F555" s="2" t="s">
        <v>30</v>
      </c>
      <c r="G555" s="2" t="s">
        <v>128</v>
      </c>
      <c r="H555" s="2" t="s">
        <v>1278</v>
      </c>
      <c r="I555" s="2" t="s">
        <v>25</v>
      </c>
      <c r="J555" s="2">
        <v>6</v>
      </c>
    </row>
    <row r="556" spans="1:10" ht="14.25" customHeight="1" x14ac:dyDescent="0.3">
      <c r="A556" s="2">
        <v>555</v>
      </c>
      <c r="B556" s="2" t="s">
        <v>1279</v>
      </c>
      <c r="C556" s="2" t="s">
        <v>1271</v>
      </c>
      <c r="D556" s="2" t="s">
        <v>141</v>
      </c>
      <c r="E556" s="10">
        <v>44807</v>
      </c>
      <c r="F556" s="2" t="s">
        <v>31</v>
      </c>
      <c r="G556" s="2" t="s">
        <v>128</v>
      </c>
      <c r="H556" s="2" t="s">
        <v>1280</v>
      </c>
      <c r="I556" s="2" t="s">
        <v>23</v>
      </c>
      <c r="J556" s="2">
        <v>2</v>
      </c>
    </row>
    <row r="557" spans="1:10" ht="14.25" customHeight="1" x14ac:dyDescent="0.3">
      <c r="A557" s="2">
        <v>556</v>
      </c>
      <c r="B557" s="2" t="s">
        <v>1281</v>
      </c>
      <c r="C557" s="2" t="s">
        <v>1273</v>
      </c>
      <c r="D557" s="2" t="s">
        <v>144</v>
      </c>
      <c r="E557" s="10">
        <v>44798</v>
      </c>
      <c r="F557" s="2" t="s">
        <v>31</v>
      </c>
      <c r="G557" s="2" t="s">
        <v>128</v>
      </c>
      <c r="H557" s="2" t="s">
        <v>1282</v>
      </c>
      <c r="I557" s="2" t="s">
        <v>24</v>
      </c>
      <c r="J557" s="2">
        <v>4</v>
      </c>
    </row>
    <row r="558" spans="1:10" ht="14.25" customHeight="1" x14ac:dyDescent="0.3">
      <c r="A558" s="2">
        <v>557</v>
      </c>
      <c r="B558" s="2" t="s">
        <v>1283</v>
      </c>
      <c r="C558" s="2" t="s">
        <v>1275</v>
      </c>
      <c r="D558" s="2" t="s">
        <v>147</v>
      </c>
      <c r="E558" s="10">
        <v>44810</v>
      </c>
      <c r="F558" s="2" t="s">
        <v>30</v>
      </c>
      <c r="G558" s="2" t="s">
        <v>128</v>
      </c>
      <c r="H558" s="2" t="s">
        <v>1284</v>
      </c>
      <c r="I558" s="2" t="s">
        <v>25</v>
      </c>
      <c r="J558" s="2">
        <v>1</v>
      </c>
    </row>
    <row r="559" spans="1:10" ht="14.25" customHeight="1" x14ac:dyDescent="0.3">
      <c r="A559" s="2">
        <v>558</v>
      </c>
      <c r="B559" s="2" t="s">
        <v>1285</v>
      </c>
      <c r="C559" s="2" t="s">
        <v>1277</v>
      </c>
      <c r="D559" s="2" t="s">
        <v>147</v>
      </c>
      <c r="E559" s="10">
        <v>44764</v>
      </c>
      <c r="F559" s="2" t="s">
        <v>31</v>
      </c>
      <c r="G559" s="2" t="s">
        <v>128</v>
      </c>
      <c r="H559" s="2" t="s">
        <v>1286</v>
      </c>
      <c r="I559" s="2" t="s">
        <v>23</v>
      </c>
      <c r="J559" s="2">
        <v>9</v>
      </c>
    </row>
    <row r="560" spans="1:10" ht="14.25" customHeight="1" x14ac:dyDescent="0.3">
      <c r="A560" s="2">
        <v>559</v>
      </c>
      <c r="B560" s="2" t="s">
        <v>1287</v>
      </c>
      <c r="C560" s="2" t="s">
        <v>1279</v>
      </c>
      <c r="D560" s="2" t="s">
        <v>153</v>
      </c>
      <c r="E560" s="10">
        <v>44766</v>
      </c>
      <c r="F560" s="2" t="s">
        <v>30</v>
      </c>
      <c r="G560" s="2" t="s">
        <v>135</v>
      </c>
      <c r="H560" s="2" t="s">
        <v>1288</v>
      </c>
      <c r="I560" s="2" t="s">
        <v>24</v>
      </c>
      <c r="J560" s="2">
        <v>6</v>
      </c>
    </row>
    <row r="561" spans="1:10" ht="14.25" customHeight="1" x14ac:dyDescent="0.3">
      <c r="A561" s="2">
        <v>560</v>
      </c>
      <c r="B561" s="2" t="s">
        <v>1289</v>
      </c>
      <c r="C561" s="2" t="s">
        <v>1281</v>
      </c>
      <c r="D561" s="2" t="s">
        <v>288</v>
      </c>
      <c r="E561" s="10">
        <v>44794</v>
      </c>
      <c r="F561" s="2" t="s">
        <v>31</v>
      </c>
      <c r="G561" s="2" t="s">
        <v>128</v>
      </c>
      <c r="H561" s="2" t="s">
        <v>1290</v>
      </c>
      <c r="I561" s="2" t="s">
        <v>25</v>
      </c>
      <c r="J561" s="2">
        <v>9</v>
      </c>
    </row>
    <row r="562" spans="1:10" ht="14.25" customHeight="1" x14ac:dyDescent="0.3">
      <c r="A562" s="2">
        <v>561</v>
      </c>
      <c r="B562" s="2" t="s">
        <v>1291</v>
      </c>
      <c r="C562" s="2" t="s">
        <v>1283</v>
      </c>
      <c r="D562" s="2" t="s">
        <v>158</v>
      </c>
      <c r="E562" s="10">
        <v>44800</v>
      </c>
      <c r="F562" s="2" t="s">
        <v>31</v>
      </c>
      <c r="G562" s="2" t="s">
        <v>128</v>
      </c>
      <c r="H562" s="2" t="s">
        <v>1292</v>
      </c>
      <c r="I562" s="2" t="s">
        <v>23</v>
      </c>
      <c r="J562" s="2">
        <v>9</v>
      </c>
    </row>
    <row r="563" spans="1:10" ht="14.25" customHeight="1" x14ac:dyDescent="0.3">
      <c r="A563" s="2">
        <v>562</v>
      </c>
      <c r="B563" s="2" t="s">
        <v>1293</v>
      </c>
      <c r="C563" s="2" t="s">
        <v>1285</v>
      </c>
      <c r="D563" s="2" t="s">
        <v>161</v>
      </c>
      <c r="E563" s="10">
        <v>44792</v>
      </c>
      <c r="F563" s="2" t="s">
        <v>30</v>
      </c>
      <c r="G563" s="2" t="s">
        <v>128</v>
      </c>
      <c r="H563" s="2" t="s">
        <v>1294</v>
      </c>
      <c r="I563" s="2" t="s">
        <v>24</v>
      </c>
      <c r="J563" s="2">
        <v>3</v>
      </c>
    </row>
    <row r="564" spans="1:10" ht="14.25" customHeight="1" x14ac:dyDescent="0.3">
      <c r="A564" s="2">
        <v>563</v>
      </c>
      <c r="B564" s="2" t="s">
        <v>1295</v>
      </c>
      <c r="C564" s="2" t="s">
        <v>1287</v>
      </c>
      <c r="D564" s="2" t="s">
        <v>164</v>
      </c>
      <c r="E564" s="10">
        <v>44809</v>
      </c>
      <c r="F564" s="2" t="s">
        <v>31</v>
      </c>
      <c r="G564" s="2" t="s">
        <v>128</v>
      </c>
      <c r="H564" s="2" t="s">
        <v>1296</v>
      </c>
      <c r="I564" s="2" t="s">
        <v>25</v>
      </c>
      <c r="J564" s="2">
        <v>2</v>
      </c>
    </row>
    <row r="565" spans="1:10" ht="14.25" customHeight="1" x14ac:dyDescent="0.3">
      <c r="A565" s="2">
        <v>564</v>
      </c>
      <c r="B565" s="2" t="s">
        <v>1297</v>
      </c>
      <c r="C565" s="2" t="s">
        <v>1289</v>
      </c>
      <c r="D565" s="2" t="s">
        <v>167</v>
      </c>
      <c r="E565" s="10">
        <v>44789</v>
      </c>
      <c r="F565" s="2" t="s">
        <v>31</v>
      </c>
      <c r="G565" s="2" t="s">
        <v>128</v>
      </c>
      <c r="H565" s="2" t="s">
        <v>1298</v>
      </c>
      <c r="I565" s="2" t="s">
        <v>23</v>
      </c>
      <c r="J565" s="2">
        <v>3</v>
      </c>
    </row>
    <row r="566" spans="1:10" ht="14.25" customHeight="1" x14ac:dyDescent="0.3">
      <c r="A566" s="2">
        <v>565</v>
      </c>
      <c r="B566" s="2" t="s">
        <v>1299</v>
      </c>
      <c r="C566" s="2" t="s">
        <v>1291</v>
      </c>
      <c r="D566" s="2" t="s">
        <v>267</v>
      </c>
      <c r="E566" s="10">
        <v>44757</v>
      </c>
      <c r="F566" s="2" t="s">
        <v>30</v>
      </c>
      <c r="G566" s="2" t="s">
        <v>135</v>
      </c>
      <c r="H566" s="2" t="s">
        <v>1300</v>
      </c>
      <c r="I566" s="2" t="s">
        <v>24</v>
      </c>
      <c r="J566" s="2">
        <v>10</v>
      </c>
    </row>
    <row r="567" spans="1:10" ht="14.25" customHeight="1" x14ac:dyDescent="0.3">
      <c r="A567" s="2">
        <v>566</v>
      </c>
      <c r="B567" s="2" t="s">
        <v>1301</v>
      </c>
      <c r="C567" s="2" t="s">
        <v>1293</v>
      </c>
      <c r="D567" s="2" t="s">
        <v>127</v>
      </c>
      <c r="E567" s="10">
        <v>44790</v>
      </c>
      <c r="F567" s="2" t="s">
        <v>31</v>
      </c>
      <c r="G567" s="2" t="s">
        <v>128</v>
      </c>
      <c r="H567" s="2" t="s">
        <v>1302</v>
      </c>
      <c r="I567" s="2" t="s">
        <v>25</v>
      </c>
      <c r="J567" s="2">
        <v>3</v>
      </c>
    </row>
    <row r="568" spans="1:10" ht="14.25" customHeight="1" x14ac:dyDescent="0.3">
      <c r="A568" s="2">
        <v>567</v>
      </c>
      <c r="B568" s="2" t="s">
        <v>1303</v>
      </c>
      <c r="C568" s="2" t="s">
        <v>1295</v>
      </c>
      <c r="D568" s="2" t="s">
        <v>131</v>
      </c>
      <c r="E568" s="10">
        <v>44808</v>
      </c>
      <c r="F568" s="2" t="s">
        <v>30</v>
      </c>
      <c r="G568" s="2" t="s">
        <v>128</v>
      </c>
      <c r="H568" s="2" t="s">
        <v>1304</v>
      </c>
      <c r="I568" s="2" t="s">
        <v>23</v>
      </c>
      <c r="J568" s="2">
        <v>1</v>
      </c>
    </row>
    <row r="569" spans="1:10" ht="14.25" customHeight="1" x14ac:dyDescent="0.3">
      <c r="A569" s="2">
        <v>568</v>
      </c>
      <c r="B569" s="2" t="s">
        <v>1305</v>
      </c>
      <c r="C569" s="2" t="s">
        <v>1297</v>
      </c>
      <c r="D569" s="2" t="s">
        <v>134</v>
      </c>
      <c r="E569" s="10">
        <v>44801</v>
      </c>
      <c r="F569" s="2" t="s">
        <v>31</v>
      </c>
      <c r="G569" s="2" t="s">
        <v>128</v>
      </c>
      <c r="H569" s="2" t="s">
        <v>1306</v>
      </c>
      <c r="I569" s="2" t="s">
        <v>24</v>
      </c>
      <c r="J569" s="2">
        <v>5</v>
      </c>
    </row>
    <row r="570" spans="1:10" ht="14.25" customHeight="1" x14ac:dyDescent="0.3">
      <c r="A570" s="2">
        <v>569</v>
      </c>
      <c r="B570" s="2" t="s">
        <v>1307</v>
      </c>
      <c r="C570" s="2" t="s">
        <v>1299</v>
      </c>
      <c r="D570" s="2" t="s">
        <v>138</v>
      </c>
      <c r="E570" s="10">
        <v>44769</v>
      </c>
      <c r="F570" s="2" t="s">
        <v>30</v>
      </c>
      <c r="G570" s="2" t="s">
        <v>128</v>
      </c>
      <c r="H570" s="2" t="s">
        <v>1308</v>
      </c>
      <c r="I570" s="2" t="s">
        <v>25</v>
      </c>
      <c r="J570" s="2">
        <v>1</v>
      </c>
    </row>
    <row r="571" spans="1:10" ht="14.25" customHeight="1" x14ac:dyDescent="0.3">
      <c r="A571" s="2">
        <v>570</v>
      </c>
      <c r="B571" s="2" t="s">
        <v>1309</v>
      </c>
      <c r="C571" s="2" t="s">
        <v>1301</v>
      </c>
      <c r="D571" s="2" t="s">
        <v>141</v>
      </c>
      <c r="E571" s="10">
        <v>44757</v>
      </c>
      <c r="F571" s="2" t="s">
        <v>31</v>
      </c>
      <c r="G571" s="2" t="s">
        <v>128</v>
      </c>
      <c r="H571" s="2" t="s">
        <v>1310</v>
      </c>
      <c r="I571" s="2" t="s">
        <v>23</v>
      </c>
      <c r="J571" s="2">
        <v>5</v>
      </c>
    </row>
    <row r="572" spans="1:10" ht="14.25" customHeight="1" x14ac:dyDescent="0.3">
      <c r="A572" s="2">
        <v>571</v>
      </c>
      <c r="B572" s="2" t="s">
        <v>1311</v>
      </c>
      <c r="C572" s="2" t="s">
        <v>1303</v>
      </c>
      <c r="D572" s="2" t="s">
        <v>144</v>
      </c>
      <c r="E572" s="10">
        <v>44759</v>
      </c>
      <c r="F572" s="2" t="s">
        <v>29</v>
      </c>
      <c r="G572" s="2" t="s">
        <v>135</v>
      </c>
      <c r="H572" s="2" t="s">
        <v>1312</v>
      </c>
      <c r="I572" s="2" t="s">
        <v>24</v>
      </c>
      <c r="J572" s="2">
        <v>5</v>
      </c>
    </row>
    <row r="573" spans="1:10" ht="14.25" customHeight="1" x14ac:dyDescent="0.3">
      <c r="A573" s="2">
        <v>572</v>
      </c>
      <c r="B573" s="2" t="s">
        <v>1313</v>
      </c>
      <c r="C573" s="2" t="s">
        <v>1305</v>
      </c>
      <c r="D573" s="2" t="s">
        <v>147</v>
      </c>
      <c r="E573" s="10">
        <v>44805</v>
      </c>
      <c r="F573" s="2" t="s">
        <v>30</v>
      </c>
      <c r="G573" s="2" t="s">
        <v>128</v>
      </c>
      <c r="H573" s="2" t="s">
        <v>1314</v>
      </c>
      <c r="I573" s="2" t="s">
        <v>25</v>
      </c>
      <c r="J573" s="2">
        <v>3</v>
      </c>
    </row>
    <row r="574" spans="1:10" ht="14.25" customHeight="1" x14ac:dyDescent="0.3">
      <c r="A574" s="2">
        <v>573</v>
      </c>
      <c r="B574" s="2" t="s">
        <v>1315</v>
      </c>
      <c r="C574" s="2" t="s">
        <v>1307</v>
      </c>
      <c r="D574" s="2" t="s">
        <v>147</v>
      </c>
      <c r="E574" s="10">
        <v>44760</v>
      </c>
      <c r="F574" s="2" t="s">
        <v>31</v>
      </c>
      <c r="G574" s="2" t="s">
        <v>128</v>
      </c>
      <c r="H574" s="2" t="s">
        <v>1316</v>
      </c>
      <c r="I574" s="2" t="s">
        <v>23</v>
      </c>
      <c r="J574" s="2">
        <v>3</v>
      </c>
    </row>
    <row r="575" spans="1:10" ht="14.25" customHeight="1" x14ac:dyDescent="0.3">
      <c r="A575" s="2">
        <v>574</v>
      </c>
      <c r="B575" s="2" t="s">
        <v>1317</v>
      </c>
      <c r="C575" s="2" t="s">
        <v>1309</v>
      </c>
      <c r="D575" s="2" t="s">
        <v>153</v>
      </c>
      <c r="E575" s="10">
        <v>44791</v>
      </c>
      <c r="F575" s="2" t="s">
        <v>31</v>
      </c>
      <c r="G575" s="2" t="s">
        <v>128</v>
      </c>
      <c r="H575" s="2" t="s">
        <v>1318</v>
      </c>
      <c r="I575" s="2" t="s">
        <v>24</v>
      </c>
      <c r="J575" s="2">
        <v>7</v>
      </c>
    </row>
    <row r="576" spans="1:10" ht="14.25" customHeight="1" x14ac:dyDescent="0.3">
      <c r="A576" s="2">
        <v>575</v>
      </c>
      <c r="B576" s="2" t="s">
        <v>1319</v>
      </c>
      <c r="C576" s="2" t="s">
        <v>1311</v>
      </c>
      <c r="D576" s="2" t="s">
        <v>144</v>
      </c>
      <c r="E576" s="10">
        <v>44768</v>
      </c>
      <c r="F576" s="2" t="s">
        <v>30</v>
      </c>
      <c r="G576" s="2" t="s">
        <v>128</v>
      </c>
      <c r="H576" s="2" t="s">
        <v>1320</v>
      </c>
      <c r="I576" s="2" t="s">
        <v>25</v>
      </c>
      <c r="J576" s="2">
        <v>4</v>
      </c>
    </row>
    <row r="577" spans="1:10" ht="14.25" customHeight="1" x14ac:dyDescent="0.3">
      <c r="A577" s="2">
        <v>576</v>
      </c>
      <c r="B577" s="2" t="s">
        <v>1321</v>
      </c>
      <c r="C577" s="2" t="s">
        <v>1313</v>
      </c>
      <c r="D577" s="2" t="s">
        <v>158</v>
      </c>
      <c r="E577" s="10">
        <v>44759</v>
      </c>
      <c r="F577" s="2" t="s">
        <v>31</v>
      </c>
      <c r="G577" s="2" t="s">
        <v>128</v>
      </c>
      <c r="H577" s="2" t="s">
        <v>1322</v>
      </c>
      <c r="I577" s="2" t="s">
        <v>23</v>
      </c>
      <c r="J577" s="2">
        <v>3</v>
      </c>
    </row>
    <row r="578" spans="1:10" ht="14.25" customHeight="1" x14ac:dyDescent="0.3">
      <c r="A578" s="2">
        <v>577</v>
      </c>
      <c r="B578" s="2" t="s">
        <v>1323</v>
      </c>
      <c r="C578" s="2" t="s">
        <v>1315</v>
      </c>
      <c r="D578" s="2" t="s">
        <v>161</v>
      </c>
      <c r="E578" s="10">
        <v>44781</v>
      </c>
      <c r="F578" s="2" t="s">
        <v>30</v>
      </c>
      <c r="G578" s="2" t="s">
        <v>135</v>
      </c>
      <c r="H578" s="2" t="s">
        <v>1324</v>
      </c>
      <c r="I578" s="2" t="s">
        <v>24</v>
      </c>
      <c r="J578" s="2">
        <v>8</v>
      </c>
    </row>
    <row r="579" spans="1:10" ht="14.25" customHeight="1" x14ac:dyDescent="0.3">
      <c r="A579" s="2">
        <v>578</v>
      </c>
      <c r="B579" s="2" t="s">
        <v>1325</v>
      </c>
      <c r="C579" s="2" t="s">
        <v>1317</v>
      </c>
      <c r="D579" s="2" t="s">
        <v>164</v>
      </c>
      <c r="E579" s="10">
        <v>44785</v>
      </c>
      <c r="F579" s="2" t="s">
        <v>31</v>
      </c>
      <c r="G579" s="2" t="s">
        <v>128</v>
      </c>
      <c r="H579" s="2" t="s">
        <v>1326</v>
      </c>
      <c r="I579" s="2" t="s">
        <v>25</v>
      </c>
      <c r="J579" s="2">
        <v>2</v>
      </c>
    </row>
    <row r="580" spans="1:10" ht="14.25" customHeight="1" x14ac:dyDescent="0.3">
      <c r="A580" s="2">
        <v>579</v>
      </c>
      <c r="B580" s="2" t="s">
        <v>1327</v>
      </c>
      <c r="C580" s="2" t="s">
        <v>1319</v>
      </c>
      <c r="D580" s="2" t="s">
        <v>167</v>
      </c>
      <c r="E580" s="10">
        <v>44775</v>
      </c>
      <c r="F580" s="2" t="s">
        <v>31</v>
      </c>
      <c r="G580" s="2" t="s">
        <v>128</v>
      </c>
      <c r="H580" s="2" t="s">
        <v>1328</v>
      </c>
      <c r="I580" s="2" t="s">
        <v>23</v>
      </c>
      <c r="J580" s="2">
        <v>9</v>
      </c>
    </row>
    <row r="581" spans="1:10" ht="14.25" customHeight="1" x14ac:dyDescent="0.3">
      <c r="A581" s="2">
        <v>580</v>
      </c>
      <c r="B581" s="2" t="s">
        <v>1329</v>
      </c>
      <c r="C581" s="2" t="s">
        <v>1321</v>
      </c>
      <c r="D581" s="2" t="s">
        <v>144</v>
      </c>
      <c r="E581" s="10">
        <v>44773</v>
      </c>
      <c r="F581" s="2" t="s">
        <v>30</v>
      </c>
      <c r="G581" s="2" t="s">
        <v>128</v>
      </c>
      <c r="H581" s="2" t="s">
        <v>1330</v>
      </c>
      <c r="I581" s="2" t="s">
        <v>24</v>
      </c>
      <c r="J581" s="2">
        <v>6</v>
      </c>
    </row>
    <row r="582" spans="1:10" ht="14.25" customHeight="1" x14ac:dyDescent="0.3">
      <c r="A582" s="2">
        <v>581</v>
      </c>
      <c r="B582" s="2" t="s">
        <v>1331</v>
      </c>
      <c r="C582" s="2" t="s">
        <v>1323</v>
      </c>
      <c r="D582" s="2" t="s">
        <v>172</v>
      </c>
      <c r="E582" s="10">
        <v>44796</v>
      </c>
      <c r="F582" s="2" t="s">
        <v>31</v>
      </c>
      <c r="G582" s="2" t="s">
        <v>128</v>
      </c>
      <c r="H582" s="2" t="s">
        <v>1332</v>
      </c>
      <c r="I582" s="2" t="s">
        <v>25</v>
      </c>
      <c r="J582" s="2">
        <v>7</v>
      </c>
    </row>
    <row r="583" spans="1:10" ht="14.25" customHeight="1" x14ac:dyDescent="0.3">
      <c r="A583" s="2">
        <v>582</v>
      </c>
      <c r="B583" s="2" t="s">
        <v>1333</v>
      </c>
      <c r="C583" s="2" t="s">
        <v>1325</v>
      </c>
      <c r="D583" s="2" t="s">
        <v>161</v>
      </c>
      <c r="E583" s="10">
        <v>44801</v>
      </c>
      <c r="F583" s="2" t="s">
        <v>31</v>
      </c>
      <c r="G583" s="2" t="s">
        <v>128</v>
      </c>
      <c r="H583" s="2" t="s">
        <v>1334</v>
      </c>
      <c r="I583" s="2" t="s">
        <v>23</v>
      </c>
      <c r="J583" s="2">
        <v>9</v>
      </c>
    </row>
    <row r="584" spans="1:10" ht="14.25" customHeight="1" x14ac:dyDescent="0.3">
      <c r="A584" s="2">
        <v>583</v>
      </c>
      <c r="B584" s="2" t="s">
        <v>1335</v>
      </c>
      <c r="C584" s="2" t="s">
        <v>1327</v>
      </c>
      <c r="D584" s="2" t="s">
        <v>141</v>
      </c>
      <c r="E584" s="10">
        <v>44779</v>
      </c>
      <c r="F584" s="2" t="s">
        <v>30</v>
      </c>
      <c r="G584" s="2" t="s">
        <v>135</v>
      </c>
      <c r="H584" s="2" t="s">
        <v>1336</v>
      </c>
      <c r="I584" s="2" t="s">
        <v>24</v>
      </c>
      <c r="J584" s="2">
        <v>2</v>
      </c>
    </row>
    <row r="585" spans="1:10" ht="14.25" customHeight="1" x14ac:dyDescent="0.3">
      <c r="A585" s="2">
        <v>584</v>
      </c>
      <c r="B585" s="2" t="s">
        <v>1337</v>
      </c>
      <c r="C585" s="2" t="s">
        <v>1329</v>
      </c>
      <c r="D585" s="2" t="s">
        <v>158</v>
      </c>
      <c r="E585" s="10">
        <v>44772</v>
      </c>
      <c r="F585" s="2" t="s">
        <v>31</v>
      </c>
      <c r="G585" s="2" t="s">
        <v>128</v>
      </c>
      <c r="H585" s="2" t="s">
        <v>1338</v>
      </c>
      <c r="I585" s="2" t="s">
        <v>25</v>
      </c>
      <c r="J585" s="2">
        <v>9</v>
      </c>
    </row>
    <row r="586" spans="1:10" ht="14.25" customHeight="1" x14ac:dyDescent="0.3">
      <c r="A586" s="2">
        <v>585</v>
      </c>
      <c r="B586" s="2" t="s">
        <v>1339</v>
      </c>
      <c r="C586" s="2" t="s">
        <v>1331</v>
      </c>
      <c r="D586" s="2" t="s">
        <v>182</v>
      </c>
      <c r="E586" s="10">
        <v>44757</v>
      </c>
      <c r="F586" s="2" t="s">
        <v>30</v>
      </c>
      <c r="G586" s="2" t="s">
        <v>128</v>
      </c>
      <c r="H586" s="2" t="s">
        <v>1340</v>
      </c>
      <c r="I586" s="2" t="s">
        <v>23</v>
      </c>
      <c r="J586" s="2">
        <v>10</v>
      </c>
    </row>
    <row r="587" spans="1:10" ht="14.25" customHeight="1" x14ac:dyDescent="0.3">
      <c r="A587" s="2">
        <v>586</v>
      </c>
      <c r="B587" s="2" t="s">
        <v>1341</v>
      </c>
      <c r="C587" s="2" t="s">
        <v>1333</v>
      </c>
      <c r="D587" s="2" t="s">
        <v>185</v>
      </c>
      <c r="E587" s="10">
        <v>44808</v>
      </c>
      <c r="F587" s="2" t="s">
        <v>31</v>
      </c>
      <c r="G587" s="2" t="s">
        <v>128</v>
      </c>
      <c r="H587" s="2" t="s">
        <v>1342</v>
      </c>
      <c r="I587" s="2" t="s">
        <v>24</v>
      </c>
      <c r="J587" s="2">
        <v>1</v>
      </c>
    </row>
    <row r="588" spans="1:10" ht="14.25" customHeight="1" x14ac:dyDescent="0.3">
      <c r="A588" s="2">
        <v>587</v>
      </c>
      <c r="B588" s="2" t="s">
        <v>1343</v>
      </c>
      <c r="C588" s="2" t="s">
        <v>1335</v>
      </c>
      <c r="D588" s="2" t="s">
        <v>188</v>
      </c>
      <c r="E588" s="10">
        <v>44782</v>
      </c>
      <c r="F588" s="2" t="s">
        <v>30</v>
      </c>
      <c r="G588" s="2" t="s">
        <v>128</v>
      </c>
      <c r="H588" s="2" t="s">
        <v>1344</v>
      </c>
      <c r="I588" s="2" t="s">
        <v>25</v>
      </c>
      <c r="J588" s="2">
        <v>1</v>
      </c>
    </row>
    <row r="589" spans="1:10" ht="14.25" customHeight="1" x14ac:dyDescent="0.3">
      <c r="A589" s="2">
        <v>588</v>
      </c>
      <c r="B589" s="2" t="s">
        <v>1345</v>
      </c>
      <c r="C589" s="2" t="s">
        <v>1337</v>
      </c>
      <c r="D589" s="2" t="s">
        <v>191</v>
      </c>
      <c r="E589" s="10">
        <v>44787</v>
      </c>
      <c r="F589" s="2" t="s">
        <v>31</v>
      </c>
      <c r="G589" s="2" t="s">
        <v>128</v>
      </c>
      <c r="H589" s="2" t="s">
        <v>1346</v>
      </c>
      <c r="I589" s="2" t="s">
        <v>23</v>
      </c>
      <c r="J589" s="2">
        <v>10</v>
      </c>
    </row>
    <row r="590" spans="1:10" ht="14.25" customHeight="1" x14ac:dyDescent="0.3">
      <c r="A590" s="2">
        <v>589</v>
      </c>
      <c r="B590" s="2" t="s">
        <v>1347</v>
      </c>
      <c r="C590" s="2" t="s">
        <v>1339</v>
      </c>
      <c r="D590" s="2" t="s">
        <v>194</v>
      </c>
      <c r="E590" s="10">
        <v>44787</v>
      </c>
      <c r="F590" s="2" t="s">
        <v>29</v>
      </c>
      <c r="G590" s="2" t="s">
        <v>135</v>
      </c>
      <c r="H590" s="2" t="s">
        <v>1348</v>
      </c>
      <c r="I590" s="2" t="s">
        <v>24</v>
      </c>
      <c r="J590" s="2">
        <v>4</v>
      </c>
    </row>
    <row r="591" spans="1:10" ht="14.25" customHeight="1" x14ac:dyDescent="0.3">
      <c r="A591" s="2">
        <v>590</v>
      </c>
      <c r="B591" s="2" t="s">
        <v>1349</v>
      </c>
      <c r="C591" s="2" t="s">
        <v>1341</v>
      </c>
      <c r="D591" s="2" t="s">
        <v>197</v>
      </c>
      <c r="E591" s="10">
        <v>44757</v>
      </c>
      <c r="F591" s="2" t="s">
        <v>30</v>
      </c>
      <c r="G591" s="2" t="s">
        <v>128</v>
      </c>
      <c r="H591" s="2" t="s">
        <v>1350</v>
      </c>
      <c r="I591" s="2" t="s">
        <v>25</v>
      </c>
      <c r="J591" s="2">
        <v>7</v>
      </c>
    </row>
    <row r="592" spans="1:10" ht="14.25" customHeight="1" x14ac:dyDescent="0.3">
      <c r="A592" s="2">
        <v>591</v>
      </c>
      <c r="B592" s="2" t="s">
        <v>1351</v>
      </c>
      <c r="C592" s="2" t="s">
        <v>1343</v>
      </c>
      <c r="D592" s="2" t="s">
        <v>200</v>
      </c>
      <c r="E592" s="10">
        <v>44761</v>
      </c>
      <c r="F592" s="2" t="s">
        <v>31</v>
      </c>
      <c r="G592" s="2" t="s">
        <v>128</v>
      </c>
      <c r="H592" s="2" t="s">
        <v>1352</v>
      </c>
      <c r="I592" s="2" t="s">
        <v>23</v>
      </c>
      <c r="J592" s="2">
        <v>3</v>
      </c>
    </row>
    <row r="593" spans="1:10" ht="14.25" customHeight="1" x14ac:dyDescent="0.3">
      <c r="A593" s="2">
        <v>592</v>
      </c>
      <c r="B593" s="2" t="s">
        <v>1353</v>
      </c>
      <c r="C593" s="2" t="s">
        <v>1345</v>
      </c>
      <c r="D593" s="2" t="s">
        <v>203</v>
      </c>
      <c r="E593" s="10">
        <v>44788</v>
      </c>
      <c r="F593" s="2" t="s">
        <v>31</v>
      </c>
      <c r="G593" s="2" t="s">
        <v>128</v>
      </c>
      <c r="H593" s="2" t="s">
        <v>1354</v>
      </c>
      <c r="I593" s="2" t="s">
        <v>24</v>
      </c>
      <c r="J593" s="2">
        <v>6</v>
      </c>
    </row>
    <row r="594" spans="1:10" ht="14.25" customHeight="1" x14ac:dyDescent="0.3">
      <c r="A594" s="2">
        <v>593</v>
      </c>
      <c r="B594" s="2" t="s">
        <v>1355</v>
      </c>
      <c r="C594" s="2" t="s">
        <v>1347</v>
      </c>
      <c r="D594" s="2" t="s">
        <v>207</v>
      </c>
      <c r="E594" s="10">
        <v>44788</v>
      </c>
      <c r="F594" s="2" t="s">
        <v>30</v>
      </c>
      <c r="G594" s="2" t="s">
        <v>128</v>
      </c>
      <c r="H594" s="2" t="s">
        <v>1356</v>
      </c>
      <c r="I594" s="2" t="s">
        <v>25</v>
      </c>
      <c r="J594" s="2">
        <v>6</v>
      </c>
    </row>
    <row r="595" spans="1:10" ht="14.25" customHeight="1" x14ac:dyDescent="0.3">
      <c r="A595" s="2">
        <v>594</v>
      </c>
      <c r="B595" s="2" t="s">
        <v>1357</v>
      </c>
      <c r="C595" s="2" t="s">
        <v>1349</v>
      </c>
      <c r="D595" s="2" t="s">
        <v>210</v>
      </c>
      <c r="E595" s="10">
        <v>44758</v>
      </c>
      <c r="F595" s="2" t="s">
        <v>31</v>
      </c>
      <c r="G595" s="2" t="s">
        <v>128</v>
      </c>
      <c r="H595" s="2" t="s">
        <v>1358</v>
      </c>
      <c r="I595" s="2" t="s">
        <v>23</v>
      </c>
      <c r="J595" s="2">
        <v>5</v>
      </c>
    </row>
    <row r="596" spans="1:10" ht="14.25" customHeight="1" x14ac:dyDescent="0.3">
      <c r="A596" s="2">
        <v>595</v>
      </c>
      <c r="B596" s="2" t="s">
        <v>1359</v>
      </c>
      <c r="C596" s="2" t="s">
        <v>1351</v>
      </c>
      <c r="D596" s="2" t="s">
        <v>213</v>
      </c>
      <c r="E596" s="10">
        <v>44795</v>
      </c>
      <c r="F596" s="2" t="s">
        <v>30</v>
      </c>
      <c r="G596" s="2" t="s">
        <v>135</v>
      </c>
      <c r="H596" s="2" t="s">
        <v>1360</v>
      </c>
      <c r="I596" s="2" t="s">
        <v>24</v>
      </c>
      <c r="J596" s="2">
        <v>1</v>
      </c>
    </row>
    <row r="597" spans="1:10" ht="14.25" customHeight="1" x14ac:dyDescent="0.3">
      <c r="A597" s="2">
        <v>596</v>
      </c>
      <c r="B597" s="2" t="s">
        <v>1361</v>
      </c>
      <c r="C597" s="2" t="s">
        <v>1353</v>
      </c>
      <c r="D597" s="2" t="s">
        <v>216</v>
      </c>
      <c r="E597" s="10">
        <v>44791</v>
      </c>
      <c r="F597" s="2" t="s">
        <v>31</v>
      </c>
      <c r="G597" s="2" t="s">
        <v>128</v>
      </c>
      <c r="H597" s="2" t="s">
        <v>1362</v>
      </c>
      <c r="I597" s="2" t="s">
        <v>25</v>
      </c>
      <c r="J597" s="2">
        <v>9</v>
      </c>
    </row>
    <row r="598" spans="1:10" ht="14.25" customHeight="1" x14ac:dyDescent="0.3">
      <c r="A598" s="2">
        <v>597</v>
      </c>
      <c r="B598" s="2" t="s">
        <v>1363</v>
      </c>
      <c r="C598" s="2" t="s">
        <v>1355</v>
      </c>
      <c r="D598" s="2" t="s">
        <v>219</v>
      </c>
      <c r="E598" s="10">
        <v>44791</v>
      </c>
      <c r="F598" s="2" t="s">
        <v>31</v>
      </c>
      <c r="G598" s="2" t="s">
        <v>128</v>
      </c>
      <c r="H598" s="2" t="s">
        <v>1364</v>
      </c>
      <c r="I598" s="2" t="s">
        <v>23</v>
      </c>
      <c r="J598" s="2">
        <v>3</v>
      </c>
    </row>
    <row r="599" spans="1:10" ht="14.25" customHeight="1" x14ac:dyDescent="0.3">
      <c r="A599" s="2">
        <v>598</v>
      </c>
      <c r="B599" s="2" t="s">
        <v>1365</v>
      </c>
      <c r="C599" s="2" t="s">
        <v>1357</v>
      </c>
      <c r="D599" s="2" t="s">
        <v>167</v>
      </c>
      <c r="E599" s="10">
        <v>44794</v>
      </c>
      <c r="F599" s="2" t="s">
        <v>30</v>
      </c>
      <c r="G599" s="2" t="s">
        <v>128</v>
      </c>
      <c r="H599" s="2" t="s">
        <v>1366</v>
      </c>
      <c r="I599" s="2" t="s">
        <v>24</v>
      </c>
      <c r="J599" s="2">
        <v>4</v>
      </c>
    </row>
    <row r="600" spans="1:10" ht="14.25" customHeight="1" x14ac:dyDescent="0.3">
      <c r="A600" s="2">
        <v>599</v>
      </c>
      <c r="B600" s="2" t="s">
        <v>1367</v>
      </c>
      <c r="C600" s="2" t="s">
        <v>1359</v>
      </c>
      <c r="D600" s="2" t="s">
        <v>191</v>
      </c>
      <c r="E600" s="10">
        <v>44756</v>
      </c>
      <c r="F600" s="2" t="s">
        <v>31</v>
      </c>
      <c r="G600" s="2" t="s">
        <v>128</v>
      </c>
      <c r="H600" s="2" t="s">
        <v>1368</v>
      </c>
      <c r="I600" s="2" t="s">
        <v>25</v>
      </c>
      <c r="J600" s="2">
        <v>8</v>
      </c>
    </row>
    <row r="601" spans="1:10" ht="14.25" customHeight="1" x14ac:dyDescent="0.3">
      <c r="A601" s="2">
        <v>600</v>
      </c>
      <c r="B601" s="2" t="s">
        <v>1369</v>
      </c>
      <c r="C601" s="2" t="s">
        <v>1361</v>
      </c>
      <c r="D601" s="2" t="s">
        <v>207</v>
      </c>
      <c r="E601" s="10">
        <v>44789</v>
      </c>
      <c r="F601" s="2" t="s">
        <v>31</v>
      </c>
      <c r="G601" s="2" t="s">
        <v>128</v>
      </c>
      <c r="H601" s="2" t="s">
        <v>1370</v>
      </c>
      <c r="I601" s="2" t="s">
        <v>25</v>
      </c>
      <c r="J601" s="2">
        <v>6</v>
      </c>
    </row>
    <row r="602" spans="1:10" ht="14.25" customHeight="1" x14ac:dyDescent="0.3">
      <c r="A602" s="2">
        <v>601</v>
      </c>
      <c r="B602" s="2" t="s">
        <v>1371</v>
      </c>
      <c r="C602" s="2" t="s">
        <v>1363</v>
      </c>
      <c r="D602" s="2" t="s">
        <v>141</v>
      </c>
      <c r="E602" s="10">
        <v>44810</v>
      </c>
      <c r="F602" s="2" t="s">
        <v>30</v>
      </c>
      <c r="G602" s="2" t="s">
        <v>128</v>
      </c>
      <c r="H602" s="2" t="s">
        <v>1372</v>
      </c>
      <c r="I602" s="2" t="s">
        <v>25</v>
      </c>
      <c r="J602" s="2">
        <v>10</v>
      </c>
    </row>
    <row r="603" spans="1:10" ht="14.25" customHeight="1" x14ac:dyDescent="0.3">
      <c r="A603" s="2">
        <v>602</v>
      </c>
      <c r="B603" s="2" t="s">
        <v>1373</v>
      </c>
      <c r="C603" s="2" t="s">
        <v>1365</v>
      </c>
      <c r="D603" s="2" t="s">
        <v>172</v>
      </c>
      <c r="E603" s="10">
        <v>44798</v>
      </c>
      <c r="F603" s="2" t="s">
        <v>31</v>
      </c>
      <c r="G603" s="2" t="s">
        <v>128</v>
      </c>
      <c r="H603" s="2" t="s">
        <v>1374</v>
      </c>
      <c r="I603" s="2" t="s">
        <v>23</v>
      </c>
      <c r="J603" s="2">
        <v>9</v>
      </c>
    </row>
    <row r="604" spans="1:10" ht="14.25" customHeight="1" x14ac:dyDescent="0.3">
      <c r="A604" s="2">
        <v>603</v>
      </c>
      <c r="B604" s="2" t="s">
        <v>1375</v>
      </c>
      <c r="C604" s="2" t="s">
        <v>1367</v>
      </c>
      <c r="D604" s="2" t="s">
        <v>213</v>
      </c>
      <c r="E604" s="10">
        <v>44791</v>
      </c>
      <c r="F604" s="2" t="s">
        <v>30</v>
      </c>
      <c r="G604" s="2" t="s">
        <v>128</v>
      </c>
      <c r="H604" s="2" t="s">
        <v>1376</v>
      </c>
      <c r="I604" s="2" t="s">
        <v>24</v>
      </c>
      <c r="J604" s="2">
        <v>7</v>
      </c>
    </row>
    <row r="605" spans="1:10" ht="14.25" customHeight="1" x14ac:dyDescent="0.3">
      <c r="A605" s="2">
        <v>604</v>
      </c>
      <c r="B605" s="2" t="s">
        <v>1377</v>
      </c>
      <c r="C605" s="2" t="s">
        <v>1369</v>
      </c>
      <c r="D605" s="2" t="s">
        <v>216</v>
      </c>
      <c r="E605" s="10">
        <v>44796</v>
      </c>
      <c r="F605" s="2" t="s">
        <v>31</v>
      </c>
      <c r="G605" s="2" t="s">
        <v>128</v>
      </c>
      <c r="H605" s="2" t="s">
        <v>1378</v>
      </c>
      <c r="I605" s="2" t="s">
        <v>25</v>
      </c>
      <c r="J605" s="2">
        <v>7</v>
      </c>
    </row>
    <row r="606" spans="1:10" ht="14.25" customHeight="1" x14ac:dyDescent="0.3">
      <c r="A606" s="2">
        <v>605</v>
      </c>
      <c r="B606" s="2" t="s">
        <v>1379</v>
      </c>
      <c r="C606" s="2" t="s">
        <v>1371</v>
      </c>
      <c r="D606" s="2" t="s">
        <v>238</v>
      </c>
      <c r="E606" s="10">
        <v>44810</v>
      </c>
      <c r="F606" s="2" t="s">
        <v>30</v>
      </c>
      <c r="G606" s="2" t="s">
        <v>128</v>
      </c>
      <c r="H606" s="2" t="s">
        <v>1380</v>
      </c>
      <c r="I606" s="2" t="s">
        <v>23</v>
      </c>
      <c r="J606" s="2">
        <v>7</v>
      </c>
    </row>
    <row r="607" spans="1:10" ht="14.25" customHeight="1" x14ac:dyDescent="0.3">
      <c r="A607" s="2">
        <v>606</v>
      </c>
      <c r="B607" s="2" t="s">
        <v>1381</v>
      </c>
      <c r="C607" s="2" t="s">
        <v>1373</v>
      </c>
      <c r="D607" s="2" t="s">
        <v>381</v>
      </c>
      <c r="E607" s="10">
        <v>44791</v>
      </c>
      <c r="F607" s="2" t="s">
        <v>31</v>
      </c>
      <c r="G607" s="2" t="s">
        <v>128</v>
      </c>
      <c r="H607" s="2" t="s">
        <v>1382</v>
      </c>
      <c r="I607" s="2" t="s">
        <v>24</v>
      </c>
      <c r="J607" s="2">
        <v>7</v>
      </c>
    </row>
    <row r="608" spans="1:10" ht="14.25" customHeight="1" x14ac:dyDescent="0.3">
      <c r="A608" s="2">
        <v>607</v>
      </c>
      <c r="B608" s="2" t="s">
        <v>1383</v>
      </c>
      <c r="C608" s="2" t="s">
        <v>1375</v>
      </c>
      <c r="D608" s="2" t="s">
        <v>243</v>
      </c>
      <c r="E608" s="10">
        <v>44797</v>
      </c>
      <c r="F608" s="2" t="s">
        <v>29</v>
      </c>
      <c r="G608" s="2" t="s">
        <v>128</v>
      </c>
      <c r="H608" s="2" t="s">
        <v>1384</v>
      </c>
      <c r="I608" s="2" t="s">
        <v>25</v>
      </c>
      <c r="J608" s="2">
        <v>8</v>
      </c>
    </row>
    <row r="609" spans="1:10" ht="14.25" customHeight="1" x14ac:dyDescent="0.3">
      <c r="A609" s="2">
        <v>608</v>
      </c>
      <c r="B609" s="2" t="s">
        <v>1385</v>
      </c>
      <c r="C609" s="2" t="s">
        <v>1377</v>
      </c>
      <c r="D609" s="2" t="s">
        <v>246</v>
      </c>
      <c r="E609" s="10">
        <v>44777</v>
      </c>
      <c r="F609" s="2" t="s">
        <v>30</v>
      </c>
      <c r="G609" s="2" t="s">
        <v>128</v>
      </c>
      <c r="H609" s="2" t="s">
        <v>1386</v>
      </c>
      <c r="I609" s="2" t="s">
        <v>23</v>
      </c>
      <c r="J609" s="2">
        <v>10</v>
      </c>
    </row>
    <row r="610" spans="1:10" ht="14.25" customHeight="1" x14ac:dyDescent="0.3">
      <c r="A610" s="2">
        <v>609</v>
      </c>
      <c r="B610" s="2" t="s">
        <v>1387</v>
      </c>
      <c r="C610" s="2" t="s">
        <v>1379</v>
      </c>
      <c r="D610" s="2" t="s">
        <v>249</v>
      </c>
      <c r="E610" s="10">
        <v>44802</v>
      </c>
      <c r="F610" s="2" t="s">
        <v>31</v>
      </c>
      <c r="G610" s="2" t="s">
        <v>128</v>
      </c>
      <c r="H610" s="2" t="s">
        <v>1388</v>
      </c>
      <c r="I610" s="2" t="s">
        <v>24</v>
      </c>
      <c r="J610" s="2">
        <v>10</v>
      </c>
    </row>
    <row r="611" spans="1:10" ht="14.25" customHeight="1" x14ac:dyDescent="0.3">
      <c r="A611" s="2">
        <v>610</v>
      </c>
      <c r="B611" s="2" t="s">
        <v>1389</v>
      </c>
      <c r="C611" s="2" t="s">
        <v>1381</v>
      </c>
      <c r="D611" s="2" t="s">
        <v>252</v>
      </c>
      <c r="E611" s="10">
        <v>44758</v>
      </c>
      <c r="F611" s="2" t="s">
        <v>31</v>
      </c>
      <c r="G611" s="2" t="s">
        <v>128</v>
      </c>
      <c r="H611" s="2" t="s">
        <v>1390</v>
      </c>
      <c r="I611" s="2" t="s">
        <v>25</v>
      </c>
      <c r="J611" s="2">
        <v>10</v>
      </c>
    </row>
    <row r="612" spans="1:10" ht="14.25" customHeight="1" x14ac:dyDescent="0.3">
      <c r="A612" s="2">
        <v>611</v>
      </c>
      <c r="B612" s="2" t="s">
        <v>1391</v>
      </c>
      <c r="C612" s="2" t="s">
        <v>1383</v>
      </c>
      <c r="D612" s="2" t="s">
        <v>255</v>
      </c>
      <c r="E612" s="10">
        <v>44768</v>
      </c>
      <c r="F612" s="2" t="s">
        <v>30</v>
      </c>
      <c r="G612" s="2" t="s">
        <v>128</v>
      </c>
      <c r="H612" s="2" t="s">
        <v>1392</v>
      </c>
      <c r="I612" s="2" t="s">
        <v>23</v>
      </c>
      <c r="J612" s="2">
        <v>10</v>
      </c>
    </row>
    <row r="613" spans="1:10" ht="14.25" customHeight="1" x14ac:dyDescent="0.3">
      <c r="A613" s="2">
        <v>612</v>
      </c>
      <c r="B613" s="2" t="s">
        <v>1393</v>
      </c>
      <c r="C613" s="2" t="s">
        <v>1385</v>
      </c>
      <c r="D613" s="2" t="s">
        <v>258</v>
      </c>
      <c r="E613" s="10">
        <v>44756</v>
      </c>
      <c r="F613" s="2" t="s">
        <v>31</v>
      </c>
      <c r="G613" s="2" t="s">
        <v>128</v>
      </c>
      <c r="H613" s="2" t="s">
        <v>1394</v>
      </c>
      <c r="I613" s="2" t="s">
        <v>24</v>
      </c>
      <c r="J613" s="2">
        <v>8</v>
      </c>
    </row>
    <row r="614" spans="1:10" ht="14.25" customHeight="1" x14ac:dyDescent="0.3">
      <c r="A614" s="2">
        <v>613</v>
      </c>
      <c r="B614" s="2" t="s">
        <v>1395</v>
      </c>
      <c r="C614" s="2" t="s">
        <v>1387</v>
      </c>
      <c r="D614" s="2" t="s">
        <v>188</v>
      </c>
      <c r="E614" s="10">
        <v>44809</v>
      </c>
      <c r="F614" s="2" t="s">
        <v>30</v>
      </c>
      <c r="G614" s="2" t="s">
        <v>128</v>
      </c>
      <c r="H614" s="2" t="s">
        <v>1396</v>
      </c>
      <c r="I614" s="2" t="s">
        <v>25</v>
      </c>
      <c r="J614" s="2">
        <v>7</v>
      </c>
    </row>
    <row r="615" spans="1:10" ht="14.25" customHeight="1" x14ac:dyDescent="0.3">
      <c r="A615" s="2">
        <v>614</v>
      </c>
      <c r="B615" s="2" t="s">
        <v>1397</v>
      </c>
      <c r="C615" s="2" t="s">
        <v>1389</v>
      </c>
      <c r="D615" s="2" t="s">
        <v>191</v>
      </c>
      <c r="E615" s="10">
        <v>44801</v>
      </c>
      <c r="F615" s="2" t="s">
        <v>31</v>
      </c>
      <c r="G615" s="2" t="s">
        <v>128</v>
      </c>
      <c r="H615" s="2" t="s">
        <v>1398</v>
      </c>
      <c r="I615" s="2" t="s">
        <v>23</v>
      </c>
      <c r="J615" s="2">
        <v>7</v>
      </c>
    </row>
    <row r="616" spans="1:10" ht="14.25" customHeight="1" x14ac:dyDescent="0.3">
      <c r="A616" s="2">
        <v>615</v>
      </c>
      <c r="B616" s="2" t="s">
        <v>1399</v>
      </c>
      <c r="C616" s="2" t="s">
        <v>1391</v>
      </c>
      <c r="D616" s="2" t="s">
        <v>194</v>
      </c>
      <c r="E616" s="10">
        <v>44794</v>
      </c>
      <c r="F616" s="2" t="s">
        <v>31</v>
      </c>
      <c r="G616" s="2" t="s">
        <v>128</v>
      </c>
      <c r="H616" s="2" t="s">
        <v>1400</v>
      </c>
      <c r="I616" s="2" t="s">
        <v>24</v>
      </c>
      <c r="J616" s="2">
        <v>9</v>
      </c>
    </row>
    <row r="617" spans="1:10" ht="14.25" customHeight="1" x14ac:dyDescent="0.3">
      <c r="A617" s="2">
        <v>616</v>
      </c>
      <c r="B617" s="2" t="s">
        <v>1401</v>
      </c>
      <c r="C617" s="2" t="s">
        <v>1393</v>
      </c>
      <c r="D617" s="2" t="s">
        <v>158</v>
      </c>
      <c r="E617" s="10">
        <v>44792</v>
      </c>
      <c r="F617" s="2" t="s">
        <v>30</v>
      </c>
      <c r="G617" s="2" t="s">
        <v>128</v>
      </c>
      <c r="H617" s="2" t="s">
        <v>1402</v>
      </c>
      <c r="I617" s="2" t="s">
        <v>25</v>
      </c>
      <c r="J617" s="2">
        <v>8</v>
      </c>
    </row>
    <row r="618" spans="1:10" ht="14.25" customHeight="1" x14ac:dyDescent="0.3">
      <c r="A618" s="2">
        <v>617</v>
      </c>
      <c r="B618" s="2" t="s">
        <v>1403</v>
      </c>
      <c r="C618" s="2" t="s">
        <v>1395</v>
      </c>
      <c r="D618" s="2" t="s">
        <v>200</v>
      </c>
      <c r="E618" s="10">
        <v>44770</v>
      </c>
      <c r="F618" s="2" t="s">
        <v>31</v>
      </c>
      <c r="G618" s="2" t="s">
        <v>135</v>
      </c>
      <c r="H618" s="2" t="s">
        <v>1404</v>
      </c>
      <c r="I618" s="2" t="s">
        <v>23</v>
      </c>
      <c r="J618" s="2">
        <v>8</v>
      </c>
    </row>
    <row r="619" spans="1:10" ht="14.25" customHeight="1" x14ac:dyDescent="0.3">
      <c r="A619" s="2">
        <v>618</v>
      </c>
      <c r="B619" s="2" t="s">
        <v>1405</v>
      </c>
      <c r="C619" s="2" t="s">
        <v>1397</v>
      </c>
      <c r="D619" s="2" t="s">
        <v>203</v>
      </c>
      <c r="E619" s="10">
        <v>44761</v>
      </c>
      <c r="F619" s="2" t="s">
        <v>31</v>
      </c>
      <c r="G619" s="2" t="s">
        <v>128</v>
      </c>
      <c r="H619" s="2" t="s">
        <v>1406</v>
      </c>
      <c r="I619" s="2" t="s">
        <v>24</v>
      </c>
      <c r="J619" s="2">
        <v>7</v>
      </c>
    </row>
    <row r="620" spans="1:10" ht="14.25" customHeight="1" x14ac:dyDescent="0.3">
      <c r="A620" s="2">
        <v>619</v>
      </c>
      <c r="B620" s="2" t="s">
        <v>1407</v>
      </c>
      <c r="C620" s="2" t="s">
        <v>1399</v>
      </c>
      <c r="D620" s="2" t="s">
        <v>207</v>
      </c>
      <c r="E620" s="10">
        <v>44773</v>
      </c>
      <c r="F620" s="2" t="s">
        <v>30</v>
      </c>
      <c r="G620" s="2" t="s">
        <v>128</v>
      </c>
      <c r="H620" s="2" t="s">
        <v>1408</v>
      </c>
      <c r="I620" s="2" t="s">
        <v>25</v>
      </c>
      <c r="J620" s="2">
        <v>8</v>
      </c>
    </row>
    <row r="621" spans="1:10" ht="14.25" customHeight="1" x14ac:dyDescent="0.3">
      <c r="A621" s="2">
        <v>620</v>
      </c>
      <c r="B621" s="2" t="s">
        <v>1409</v>
      </c>
      <c r="C621" s="2" t="s">
        <v>1401</v>
      </c>
      <c r="D621" s="2" t="s">
        <v>210</v>
      </c>
      <c r="E621" s="10">
        <v>44766</v>
      </c>
      <c r="F621" s="2" t="s">
        <v>31</v>
      </c>
      <c r="G621" s="2" t="s">
        <v>128</v>
      </c>
      <c r="H621" s="2" t="s">
        <v>1410</v>
      </c>
      <c r="I621" s="2" t="s">
        <v>23</v>
      </c>
      <c r="J621" s="2">
        <v>8</v>
      </c>
    </row>
    <row r="622" spans="1:10" ht="14.25" customHeight="1" x14ac:dyDescent="0.3">
      <c r="A622" s="2">
        <v>621</v>
      </c>
      <c r="B622" s="2" t="s">
        <v>1411</v>
      </c>
      <c r="C622" s="2" t="s">
        <v>1403</v>
      </c>
      <c r="D622" s="2" t="s">
        <v>213</v>
      </c>
      <c r="E622" s="10">
        <v>44793</v>
      </c>
      <c r="F622" s="2" t="s">
        <v>30</v>
      </c>
      <c r="G622" s="2" t="s">
        <v>128</v>
      </c>
      <c r="H622" s="2" t="s">
        <v>1412</v>
      </c>
      <c r="I622" s="2" t="s">
        <v>24</v>
      </c>
      <c r="J622" s="2">
        <v>9</v>
      </c>
    </row>
    <row r="623" spans="1:10" ht="14.25" customHeight="1" x14ac:dyDescent="0.3">
      <c r="A623" s="2">
        <v>622</v>
      </c>
      <c r="B623" s="2" t="s">
        <v>1413</v>
      </c>
      <c r="C623" s="2" t="s">
        <v>1405</v>
      </c>
      <c r="D623" s="2" t="s">
        <v>216</v>
      </c>
      <c r="E623" s="10">
        <v>44769</v>
      </c>
      <c r="F623" s="2" t="s">
        <v>31</v>
      </c>
      <c r="G623" s="2" t="s">
        <v>128</v>
      </c>
      <c r="H623" s="2" t="s">
        <v>1414</v>
      </c>
      <c r="I623" s="2" t="s">
        <v>25</v>
      </c>
      <c r="J623" s="2">
        <v>9</v>
      </c>
    </row>
    <row r="624" spans="1:10" ht="14.25" customHeight="1" x14ac:dyDescent="0.3">
      <c r="A624" s="2">
        <v>623</v>
      </c>
      <c r="B624" s="2" t="s">
        <v>1415</v>
      </c>
      <c r="C624" s="2" t="s">
        <v>1407</v>
      </c>
      <c r="D624" s="2" t="s">
        <v>127</v>
      </c>
      <c r="E624" s="10">
        <v>44758</v>
      </c>
      <c r="F624" s="2" t="s">
        <v>30</v>
      </c>
      <c r="G624" s="2" t="s">
        <v>135</v>
      </c>
      <c r="H624" s="2" t="s">
        <v>1416</v>
      </c>
      <c r="I624" s="2" t="s">
        <v>23</v>
      </c>
      <c r="J624" s="2">
        <v>8</v>
      </c>
    </row>
    <row r="625" spans="1:10" ht="14.25" customHeight="1" x14ac:dyDescent="0.3">
      <c r="A625" s="2">
        <v>624</v>
      </c>
      <c r="B625" s="2" t="s">
        <v>1417</v>
      </c>
      <c r="C625" s="2" t="s">
        <v>1409</v>
      </c>
      <c r="D625" s="2" t="s">
        <v>131</v>
      </c>
      <c r="E625" s="10">
        <v>44803</v>
      </c>
      <c r="F625" s="2" t="s">
        <v>31</v>
      </c>
      <c r="G625" s="2" t="s">
        <v>128</v>
      </c>
      <c r="H625" s="2" t="s">
        <v>1418</v>
      </c>
      <c r="I625" s="2" t="s">
        <v>24</v>
      </c>
      <c r="J625" s="2">
        <v>8</v>
      </c>
    </row>
    <row r="626" spans="1:10" ht="14.25" customHeight="1" x14ac:dyDescent="0.3">
      <c r="A626" s="2">
        <v>625</v>
      </c>
      <c r="B626" s="2" t="s">
        <v>1419</v>
      </c>
      <c r="C626" s="2" t="s">
        <v>1411</v>
      </c>
      <c r="D626" s="2" t="s">
        <v>134</v>
      </c>
      <c r="E626" s="10">
        <v>44808</v>
      </c>
      <c r="F626" s="2" t="s">
        <v>29</v>
      </c>
      <c r="G626" s="2" t="s">
        <v>128</v>
      </c>
      <c r="H626" s="2" t="s">
        <v>1420</v>
      </c>
      <c r="I626" s="2" t="s">
        <v>25</v>
      </c>
      <c r="J626" s="2">
        <v>7</v>
      </c>
    </row>
    <row r="627" spans="1:10" ht="14.25" customHeight="1" x14ac:dyDescent="0.3">
      <c r="A627" s="2">
        <v>626</v>
      </c>
      <c r="B627" s="2" t="s">
        <v>1421</v>
      </c>
      <c r="C627" s="2" t="s">
        <v>1413</v>
      </c>
      <c r="D627" s="2" t="s">
        <v>138</v>
      </c>
      <c r="E627" s="10">
        <v>44784</v>
      </c>
      <c r="F627" s="2" t="s">
        <v>30</v>
      </c>
      <c r="G627" s="2" t="s">
        <v>128</v>
      </c>
      <c r="H627" s="2" t="s">
        <v>1422</v>
      </c>
      <c r="I627" s="2" t="s">
        <v>23</v>
      </c>
      <c r="J627" s="2">
        <v>8</v>
      </c>
    </row>
    <row r="628" spans="1:10" ht="14.25" customHeight="1" x14ac:dyDescent="0.3">
      <c r="A628" s="2">
        <v>627</v>
      </c>
      <c r="B628" s="2" t="s">
        <v>1423</v>
      </c>
      <c r="C628" s="2" t="s">
        <v>1415</v>
      </c>
      <c r="D628" s="2" t="s">
        <v>141</v>
      </c>
      <c r="E628" s="10">
        <v>44764</v>
      </c>
      <c r="F628" s="2" t="s">
        <v>31</v>
      </c>
      <c r="G628" s="2" t="s">
        <v>128</v>
      </c>
      <c r="H628" s="2" t="s">
        <v>1424</v>
      </c>
      <c r="I628" s="2" t="s">
        <v>24</v>
      </c>
      <c r="J628" s="2">
        <v>9</v>
      </c>
    </row>
    <row r="629" spans="1:10" ht="14.25" customHeight="1" x14ac:dyDescent="0.3">
      <c r="A629" s="2">
        <v>628</v>
      </c>
      <c r="B629" s="2" t="s">
        <v>1425</v>
      </c>
      <c r="C629" s="2" t="s">
        <v>1417</v>
      </c>
      <c r="D629" s="2" t="s">
        <v>144</v>
      </c>
      <c r="E629" s="10">
        <v>44795</v>
      </c>
      <c r="F629" s="2" t="s">
        <v>31</v>
      </c>
      <c r="G629" s="2" t="s">
        <v>128</v>
      </c>
      <c r="H629" s="2" t="s">
        <v>1426</v>
      </c>
      <c r="I629" s="2" t="s">
        <v>25</v>
      </c>
      <c r="J629" s="2">
        <v>7</v>
      </c>
    </row>
    <row r="630" spans="1:10" ht="14.25" customHeight="1" x14ac:dyDescent="0.3">
      <c r="A630" s="2">
        <v>629</v>
      </c>
      <c r="B630" s="2" t="s">
        <v>1427</v>
      </c>
      <c r="C630" s="2" t="s">
        <v>1419</v>
      </c>
      <c r="D630" s="2" t="s">
        <v>147</v>
      </c>
      <c r="E630" s="10">
        <v>44799</v>
      </c>
      <c r="F630" s="2" t="s">
        <v>30</v>
      </c>
      <c r="G630" s="2" t="s">
        <v>128</v>
      </c>
      <c r="H630" s="2" t="s">
        <v>1428</v>
      </c>
      <c r="I630" s="2" t="s">
        <v>23</v>
      </c>
      <c r="J630" s="2">
        <v>8</v>
      </c>
    </row>
    <row r="631" spans="1:10" ht="14.25" customHeight="1" x14ac:dyDescent="0.3">
      <c r="A631" s="2">
        <v>630</v>
      </c>
      <c r="B631" s="2" t="s">
        <v>1429</v>
      </c>
      <c r="C631" s="2" t="s">
        <v>1421</v>
      </c>
      <c r="D631" s="2" t="s">
        <v>147</v>
      </c>
      <c r="E631" s="10">
        <v>44800</v>
      </c>
      <c r="F631" s="2" t="s">
        <v>31</v>
      </c>
      <c r="G631" s="2" t="s">
        <v>128</v>
      </c>
      <c r="H631" s="2" t="s">
        <v>1430</v>
      </c>
      <c r="I631" s="2" t="s">
        <v>24</v>
      </c>
      <c r="J631" s="2">
        <v>9</v>
      </c>
    </row>
    <row r="632" spans="1:10" ht="14.25" customHeight="1" x14ac:dyDescent="0.3">
      <c r="A632" s="2">
        <v>631</v>
      </c>
      <c r="B632" s="2" t="s">
        <v>1431</v>
      </c>
      <c r="C632" s="2" t="s">
        <v>1423</v>
      </c>
      <c r="D632" s="2" t="s">
        <v>153</v>
      </c>
      <c r="E632" s="10">
        <v>44771</v>
      </c>
      <c r="F632" s="2" t="s">
        <v>30</v>
      </c>
      <c r="G632" s="2" t="s">
        <v>128</v>
      </c>
      <c r="H632" s="2" t="s">
        <v>1432</v>
      </c>
      <c r="I632" s="2" t="s">
        <v>25</v>
      </c>
      <c r="J632" s="2">
        <v>8</v>
      </c>
    </row>
    <row r="633" spans="1:10" ht="14.25" customHeight="1" x14ac:dyDescent="0.3">
      <c r="A633" s="2">
        <v>632</v>
      </c>
      <c r="B633" s="2" t="s">
        <v>1433</v>
      </c>
      <c r="C633" s="2" t="s">
        <v>1425</v>
      </c>
      <c r="D633" s="2" t="s">
        <v>144</v>
      </c>
      <c r="E633" s="10">
        <v>44760</v>
      </c>
      <c r="F633" s="2" t="s">
        <v>31</v>
      </c>
      <c r="G633" s="2" t="s">
        <v>128</v>
      </c>
      <c r="H633" s="2" t="s">
        <v>1434</v>
      </c>
      <c r="I633" s="2" t="s">
        <v>23</v>
      </c>
      <c r="J633" s="2">
        <v>7</v>
      </c>
    </row>
    <row r="634" spans="1:10" ht="14.25" customHeight="1" x14ac:dyDescent="0.3">
      <c r="A634" s="2">
        <v>633</v>
      </c>
      <c r="B634" s="2" t="s">
        <v>1435</v>
      </c>
      <c r="C634" s="2" t="s">
        <v>1427</v>
      </c>
      <c r="D634" s="2" t="s">
        <v>158</v>
      </c>
      <c r="E634" s="10">
        <v>44778</v>
      </c>
      <c r="F634" s="2" t="s">
        <v>31</v>
      </c>
      <c r="G634" s="2" t="s">
        <v>128</v>
      </c>
      <c r="H634" s="2" t="s">
        <v>1436</v>
      </c>
      <c r="I634" s="2" t="s">
        <v>24</v>
      </c>
      <c r="J634" s="2">
        <v>10</v>
      </c>
    </row>
    <row r="635" spans="1:10" ht="14.25" customHeight="1" x14ac:dyDescent="0.3">
      <c r="A635" s="2">
        <v>634</v>
      </c>
      <c r="B635" s="2" t="s">
        <v>1437</v>
      </c>
      <c r="C635" s="2" t="s">
        <v>1429</v>
      </c>
      <c r="D635" s="2" t="s">
        <v>161</v>
      </c>
      <c r="E635" s="10">
        <v>44755</v>
      </c>
      <c r="F635" s="2" t="s">
        <v>30</v>
      </c>
      <c r="G635" s="2" t="s">
        <v>128</v>
      </c>
      <c r="H635" s="2" t="s">
        <v>1438</v>
      </c>
      <c r="I635" s="2" t="s">
        <v>25</v>
      </c>
      <c r="J635" s="2">
        <v>7</v>
      </c>
    </row>
    <row r="636" spans="1:10" ht="14.25" customHeight="1" x14ac:dyDescent="0.3">
      <c r="A636" s="2">
        <v>635</v>
      </c>
      <c r="B636" s="2" t="s">
        <v>1439</v>
      </c>
      <c r="C636" s="2" t="s">
        <v>1431</v>
      </c>
      <c r="D636" s="2" t="s">
        <v>164</v>
      </c>
      <c r="E636" s="10">
        <v>44770</v>
      </c>
      <c r="F636" s="2" t="s">
        <v>31</v>
      </c>
      <c r="G636" s="2" t="s">
        <v>128</v>
      </c>
      <c r="H636" s="2" t="s">
        <v>1440</v>
      </c>
      <c r="I636" s="2" t="s">
        <v>23</v>
      </c>
      <c r="J636" s="2">
        <v>8</v>
      </c>
    </row>
    <row r="637" spans="1:10" ht="14.25" customHeight="1" x14ac:dyDescent="0.3">
      <c r="A637" s="2">
        <v>636</v>
      </c>
      <c r="B637" s="2" t="s">
        <v>1441</v>
      </c>
      <c r="C637" s="2" t="s">
        <v>1433</v>
      </c>
      <c r="D637" s="2" t="s">
        <v>167</v>
      </c>
      <c r="E637" s="10">
        <v>44772</v>
      </c>
      <c r="F637" s="2" t="s">
        <v>31</v>
      </c>
      <c r="G637" s="2" t="s">
        <v>128</v>
      </c>
      <c r="H637" s="2" t="s">
        <v>1442</v>
      </c>
      <c r="I637" s="2" t="s">
        <v>24</v>
      </c>
      <c r="J637" s="2">
        <v>7</v>
      </c>
    </row>
    <row r="638" spans="1:10" ht="14.25" customHeight="1" x14ac:dyDescent="0.3">
      <c r="A638" s="2">
        <v>637</v>
      </c>
      <c r="B638" s="2" t="s">
        <v>1443</v>
      </c>
      <c r="C638" s="2" t="s">
        <v>1435</v>
      </c>
      <c r="D638" s="2" t="s">
        <v>144</v>
      </c>
      <c r="E638" s="10">
        <v>44799</v>
      </c>
      <c r="F638" s="2" t="s">
        <v>30</v>
      </c>
      <c r="G638" s="2" t="s">
        <v>128</v>
      </c>
      <c r="H638" s="2" t="s">
        <v>1444</v>
      </c>
      <c r="I638" s="2" t="s">
        <v>25</v>
      </c>
      <c r="J638" s="2">
        <v>9</v>
      </c>
    </row>
    <row r="639" spans="1:10" ht="14.25" customHeight="1" x14ac:dyDescent="0.3">
      <c r="A639" s="2">
        <v>638</v>
      </c>
      <c r="B639" s="2" t="s">
        <v>1445</v>
      </c>
      <c r="C639" s="2" t="s">
        <v>1437</v>
      </c>
      <c r="D639" s="2" t="s">
        <v>172</v>
      </c>
      <c r="E639" s="10">
        <v>44782</v>
      </c>
      <c r="F639" s="2" t="s">
        <v>31</v>
      </c>
      <c r="G639" s="2" t="s">
        <v>128</v>
      </c>
      <c r="H639" s="2" t="s">
        <v>1446</v>
      </c>
      <c r="I639" s="2" t="s">
        <v>23</v>
      </c>
      <c r="J639" s="2">
        <v>8</v>
      </c>
    </row>
    <row r="640" spans="1:10" ht="14.25" customHeight="1" x14ac:dyDescent="0.3">
      <c r="A640" s="2">
        <v>639</v>
      </c>
      <c r="B640" s="2" t="s">
        <v>1447</v>
      </c>
      <c r="C640" s="2" t="s">
        <v>1439</v>
      </c>
      <c r="D640" s="2" t="s">
        <v>161</v>
      </c>
      <c r="E640" s="10">
        <v>44761</v>
      </c>
      <c r="F640" s="2" t="s">
        <v>30</v>
      </c>
      <c r="G640" s="2" t="s">
        <v>128</v>
      </c>
      <c r="H640" s="2" t="s">
        <v>1448</v>
      </c>
      <c r="I640" s="2" t="s">
        <v>24</v>
      </c>
      <c r="J640" s="2">
        <v>9</v>
      </c>
    </row>
    <row r="641" spans="1:10" ht="14.25" customHeight="1" x14ac:dyDescent="0.3">
      <c r="A641" s="2">
        <v>640</v>
      </c>
      <c r="B641" s="2" t="s">
        <v>1449</v>
      </c>
      <c r="C641" s="2" t="s">
        <v>1441</v>
      </c>
      <c r="D641" s="2" t="s">
        <v>141</v>
      </c>
      <c r="E641" s="10">
        <v>44794</v>
      </c>
      <c r="F641" s="2" t="s">
        <v>31</v>
      </c>
      <c r="G641" s="2" t="s">
        <v>128</v>
      </c>
      <c r="H641" s="2" t="s">
        <v>1450</v>
      </c>
      <c r="I641" s="2" t="s">
        <v>25</v>
      </c>
      <c r="J641" s="2">
        <v>9</v>
      </c>
    </row>
    <row r="642" spans="1:10" ht="14.25" customHeight="1" x14ac:dyDescent="0.3">
      <c r="A642" s="2">
        <v>641</v>
      </c>
      <c r="B642" s="2" t="s">
        <v>1451</v>
      </c>
      <c r="C642" s="2" t="s">
        <v>1443</v>
      </c>
      <c r="D642" s="2" t="s">
        <v>179</v>
      </c>
      <c r="E642" s="10">
        <v>44762</v>
      </c>
      <c r="F642" s="2" t="s">
        <v>30</v>
      </c>
      <c r="G642" s="2" t="s">
        <v>128</v>
      </c>
      <c r="H642" s="2" t="s">
        <v>1452</v>
      </c>
      <c r="I642" s="2" t="s">
        <v>23</v>
      </c>
      <c r="J642" s="2">
        <v>9</v>
      </c>
    </row>
    <row r="643" spans="1:10" ht="14.25" customHeight="1" x14ac:dyDescent="0.3">
      <c r="A643" s="2">
        <v>642</v>
      </c>
      <c r="B643" s="2" t="s">
        <v>1453</v>
      </c>
      <c r="C643" s="2" t="s">
        <v>1445</v>
      </c>
      <c r="D643" s="2" t="s">
        <v>182</v>
      </c>
      <c r="E643" s="10">
        <v>44769</v>
      </c>
      <c r="F643" s="2" t="s">
        <v>31</v>
      </c>
      <c r="G643" s="2" t="s">
        <v>128</v>
      </c>
      <c r="H643" s="2" t="s">
        <v>1454</v>
      </c>
      <c r="I643" s="2" t="s">
        <v>24</v>
      </c>
      <c r="J643" s="2">
        <v>9</v>
      </c>
    </row>
    <row r="644" spans="1:10" ht="14.25" customHeight="1" x14ac:dyDescent="0.3">
      <c r="A644" s="2">
        <v>643</v>
      </c>
      <c r="B644" s="2" t="s">
        <v>1455</v>
      </c>
      <c r="C644" s="2" t="s">
        <v>1447</v>
      </c>
      <c r="D644" s="2" t="s">
        <v>185</v>
      </c>
      <c r="E644" s="10">
        <v>44770</v>
      </c>
      <c r="F644" s="2" t="s">
        <v>29</v>
      </c>
      <c r="G644" s="2" t="s">
        <v>128</v>
      </c>
      <c r="H644" s="2" t="s">
        <v>1456</v>
      </c>
      <c r="I644" s="2" t="s">
        <v>25</v>
      </c>
      <c r="J644" s="2">
        <v>9</v>
      </c>
    </row>
    <row r="645" spans="1:10" ht="14.25" customHeight="1" x14ac:dyDescent="0.3">
      <c r="A645" s="2">
        <v>644</v>
      </c>
      <c r="B645" s="2" t="s">
        <v>1457</v>
      </c>
      <c r="C645" s="2" t="s">
        <v>1449</v>
      </c>
      <c r="D645" s="2" t="s">
        <v>158</v>
      </c>
      <c r="E645" s="10">
        <v>44797</v>
      </c>
      <c r="F645" s="2" t="s">
        <v>30</v>
      </c>
      <c r="G645" s="2" t="s">
        <v>128</v>
      </c>
      <c r="H645" s="2" t="s">
        <v>1458</v>
      </c>
      <c r="I645" s="2" t="s">
        <v>23</v>
      </c>
      <c r="J645" s="2">
        <v>8</v>
      </c>
    </row>
    <row r="646" spans="1:10" ht="14.25" customHeight="1" x14ac:dyDescent="0.3">
      <c r="A646" s="2">
        <v>645</v>
      </c>
      <c r="B646" s="2" t="s">
        <v>1459</v>
      </c>
      <c r="C646" s="2" t="s">
        <v>1451</v>
      </c>
      <c r="D646" s="2" t="s">
        <v>191</v>
      </c>
      <c r="E646" s="10">
        <v>44783</v>
      </c>
      <c r="F646" s="2" t="s">
        <v>31</v>
      </c>
      <c r="G646" s="2" t="s">
        <v>135</v>
      </c>
      <c r="H646" s="2" t="s">
        <v>1460</v>
      </c>
      <c r="I646" s="2" t="s">
        <v>24</v>
      </c>
      <c r="J646" s="2">
        <v>8</v>
      </c>
    </row>
    <row r="647" spans="1:10" ht="14.25" customHeight="1" x14ac:dyDescent="0.3">
      <c r="A647" s="2">
        <v>646</v>
      </c>
      <c r="B647" s="2" t="s">
        <v>1461</v>
      </c>
      <c r="C647" s="2" t="s">
        <v>1453</v>
      </c>
      <c r="D647" s="2" t="s">
        <v>194</v>
      </c>
      <c r="E647" s="10">
        <v>44801</v>
      </c>
      <c r="F647" s="2" t="s">
        <v>31</v>
      </c>
      <c r="G647" s="2" t="s">
        <v>128</v>
      </c>
      <c r="H647" s="2" t="s">
        <v>1462</v>
      </c>
      <c r="I647" s="2" t="s">
        <v>25</v>
      </c>
      <c r="J647" s="2">
        <v>7</v>
      </c>
    </row>
    <row r="648" spans="1:10" ht="14.25" customHeight="1" x14ac:dyDescent="0.3">
      <c r="A648" s="2">
        <v>647</v>
      </c>
      <c r="B648" s="2" t="s">
        <v>1463</v>
      </c>
      <c r="C648" s="2" t="s">
        <v>1455</v>
      </c>
      <c r="D648" s="2" t="s">
        <v>197</v>
      </c>
      <c r="E648" s="10">
        <v>44808</v>
      </c>
      <c r="F648" s="2" t="s">
        <v>30</v>
      </c>
      <c r="G648" s="2" t="s">
        <v>128</v>
      </c>
      <c r="H648" s="2" t="s">
        <v>1464</v>
      </c>
      <c r="I648" s="2" t="s">
        <v>23</v>
      </c>
      <c r="J648" s="2">
        <v>7</v>
      </c>
    </row>
    <row r="649" spans="1:10" ht="14.25" customHeight="1" x14ac:dyDescent="0.3">
      <c r="A649" s="2">
        <v>648</v>
      </c>
      <c r="B649" s="2" t="s">
        <v>1465</v>
      </c>
      <c r="C649" s="2" t="s">
        <v>1457</v>
      </c>
      <c r="D649" s="2" t="s">
        <v>200</v>
      </c>
      <c r="E649" s="10">
        <v>44808</v>
      </c>
      <c r="F649" s="2" t="s">
        <v>31</v>
      </c>
      <c r="G649" s="2" t="s">
        <v>128</v>
      </c>
      <c r="H649" s="2" t="s">
        <v>1466</v>
      </c>
      <c r="I649" s="2" t="s">
        <v>24</v>
      </c>
      <c r="J649" s="2">
        <v>9</v>
      </c>
    </row>
    <row r="650" spans="1:10" ht="14.25" customHeight="1" x14ac:dyDescent="0.3">
      <c r="A650" s="2">
        <v>649</v>
      </c>
      <c r="B650" s="2" t="s">
        <v>1467</v>
      </c>
      <c r="C650" s="2" t="s">
        <v>1459</v>
      </c>
      <c r="D650" s="2" t="s">
        <v>203</v>
      </c>
      <c r="E650" s="10">
        <v>44781</v>
      </c>
      <c r="F650" s="2" t="s">
        <v>30</v>
      </c>
      <c r="G650" s="2" t="s">
        <v>128</v>
      </c>
      <c r="H650" s="2" t="s">
        <v>1468</v>
      </c>
      <c r="I650" s="2" t="s">
        <v>25</v>
      </c>
      <c r="J650" s="2">
        <v>8</v>
      </c>
    </row>
    <row r="651" spans="1:10" ht="14.25" customHeight="1" x14ac:dyDescent="0.3">
      <c r="A651" s="2">
        <v>650</v>
      </c>
      <c r="B651" s="2" t="s">
        <v>1469</v>
      </c>
      <c r="C651" s="2" t="s">
        <v>1461</v>
      </c>
      <c r="D651" s="2" t="s">
        <v>207</v>
      </c>
      <c r="E651" s="10">
        <v>44783</v>
      </c>
      <c r="F651" s="2" t="s">
        <v>31</v>
      </c>
      <c r="G651" s="2" t="s">
        <v>128</v>
      </c>
      <c r="H651" s="2" t="s">
        <v>1470</v>
      </c>
      <c r="I651" s="2" t="s">
        <v>25</v>
      </c>
      <c r="J651" s="2">
        <v>8</v>
      </c>
    </row>
    <row r="652" spans="1:10" ht="14.25" customHeight="1" x14ac:dyDescent="0.3">
      <c r="A652" s="2">
        <v>651</v>
      </c>
      <c r="B652" s="2" t="s">
        <v>1471</v>
      </c>
      <c r="C652" s="2" t="s">
        <v>1463</v>
      </c>
      <c r="D652" s="2" t="s">
        <v>210</v>
      </c>
      <c r="E652" s="10">
        <v>44762</v>
      </c>
      <c r="F652" s="2" t="s">
        <v>31</v>
      </c>
      <c r="G652" s="2" t="s">
        <v>135</v>
      </c>
      <c r="H652" s="2" t="s">
        <v>1472</v>
      </c>
      <c r="I652" s="2" t="s">
        <v>25</v>
      </c>
      <c r="J652" s="2">
        <v>10</v>
      </c>
    </row>
    <row r="653" spans="1:10" ht="14.25" customHeight="1" x14ac:dyDescent="0.3">
      <c r="A653" s="2">
        <v>652</v>
      </c>
      <c r="B653" s="2" t="s">
        <v>1473</v>
      </c>
      <c r="C653" s="2" t="s">
        <v>1465</v>
      </c>
      <c r="D653" s="2" t="s">
        <v>213</v>
      </c>
      <c r="E653" s="10">
        <v>44800</v>
      </c>
      <c r="F653" s="2" t="s">
        <v>30</v>
      </c>
      <c r="G653" s="2" t="s">
        <v>128</v>
      </c>
      <c r="H653" s="2" t="s">
        <v>1474</v>
      </c>
      <c r="I653" s="2" t="s">
        <v>23</v>
      </c>
      <c r="J653" s="2">
        <v>8</v>
      </c>
    </row>
    <row r="654" spans="1:10" ht="14.25" customHeight="1" x14ac:dyDescent="0.3">
      <c r="A654" s="2">
        <v>653</v>
      </c>
      <c r="B654" s="2" t="s">
        <v>1475</v>
      </c>
      <c r="C654" s="2" t="s">
        <v>1467</v>
      </c>
      <c r="D654" s="2" t="s">
        <v>216</v>
      </c>
      <c r="E654" s="10">
        <v>44799</v>
      </c>
      <c r="F654" s="2" t="s">
        <v>31</v>
      </c>
      <c r="G654" s="2" t="s">
        <v>128</v>
      </c>
      <c r="H654" s="2" t="s">
        <v>1476</v>
      </c>
      <c r="I654" s="2" t="s">
        <v>24</v>
      </c>
      <c r="J654" s="2">
        <v>8</v>
      </c>
    </row>
    <row r="655" spans="1:10" ht="14.25" customHeight="1" x14ac:dyDescent="0.3">
      <c r="A655" s="2">
        <v>654</v>
      </c>
      <c r="B655" s="2" t="s">
        <v>1477</v>
      </c>
      <c r="C655" s="2" t="s">
        <v>1469</v>
      </c>
      <c r="D655" s="2" t="s">
        <v>219</v>
      </c>
      <c r="E655" s="10">
        <v>44777</v>
      </c>
      <c r="F655" s="2" t="s">
        <v>31</v>
      </c>
      <c r="G655" s="2" t="s">
        <v>128</v>
      </c>
      <c r="H655" s="2" t="s">
        <v>1478</v>
      </c>
      <c r="I655" s="2" t="s">
        <v>25</v>
      </c>
      <c r="J655" s="2">
        <v>8</v>
      </c>
    </row>
    <row r="656" spans="1:10" ht="14.25" customHeight="1" x14ac:dyDescent="0.3">
      <c r="A656" s="2">
        <v>655</v>
      </c>
      <c r="B656" s="2" t="s">
        <v>1479</v>
      </c>
      <c r="C656" s="2" t="s">
        <v>1471</v>
      </c>
      <c r="D656" s="2" t="s">
        <v>167</v>
      </c>
      <c r="E656" s="10">
        <v>44800</v>
      </c>
      <c r="F656" s="2" t="s">
        <v>30</v>
      </c>
      <c r="G656" s="2" t="s">
        <v>128</v>
      </c>
      <c r="H656" s="2" t="s">
        <v>1480</v>
      </c>
      <c r="I656" s="2" t="s">
        <v>23</v>
      </c>
      <c r="J656" s="2">
        <v>8</v>
      </c>
    </row>
    <row r="657" spans="1:10" ht="14.25" customHeight="1" x14ac:dyDescent="0.3">
      <c r="A657" s="2">
        <v>656</v>
      </c>
      <c r="B657" s="2" t="s">
        <v>1481</v>
      </c>
      <c r="C657" s="2" t="s">
        <v>1473</v>
      </c>
      <c r="D657" s="2" t="s">
        <v>191</v>
      </c>
      <c r="E657" s="10">
        <v>44770</v>
      </c>
      <c r="F657" s="2" t="s">
        <v>31</v>
      </c>
      <c r="G657" s="2" t="s">
        <v>128</v>
      </c>
      <c r="H657" s="2" t="s">
        <v>1482</v>
      </c>
      <c r="I657" s="2" t="s">
        <v>24</v>
      </c>
      <c r="J657" s="2">
        <v>7</v>
      </c>
    </row>
    <row r="658" spans="1:10" ht="14.25" customHeight="1" x14ac:dyDescent="0.3">
      <c r="A658" s="2">
        <v>657</v>
      </c>
      <c r="B658" s="2" t="s">
        <v>1483</v>
      </c>
      <c r="C658" s="2" t="s">
        <v>1475</v>
      </c>
      <c r="D658" s="2" t="s">
        <v>207</v>
      </c>
      <c r="E658" s="10">
        <v>44774</v>
      </c>
      <c r="F658" s="2" t="s">
        <v>30</v>
      </c>
      <c r="G658" s="2" t="s">
        <v>128</v>
      </c>
      <c r="H658" s="2" t="s">
        <v>1484</v>
      </c>
      <c r="I658" s="2" t="s">
        <v>25</v>
      </c>
      <c r="J658" s="2">
        <v>7</v>
      </c>
    </row>
    <row r="659" spans="1:10" ht="14.25" customHeight="1" x14ac:dyDescent="0.3">
      <c r="A659" s="2">
        <v>658</v>
      </c>
      <c r="B659" s="2" t="s">
        <v>1485</v>
      </c>
      <c r="C659" s="2" t="s">
        <v>1477</v>
      </c>
      <c r="D659" s="2" t="s">
        <v>141</v>
      </c>
      <c r="E659" s="10">
        <v>44779</v>
      </c>
      <c r="F659" s="2" t="s">
        <v>31</v>
      </c>
      <c r="G659" s="2" t="s">
        <v>128</v>
      </c>
      <c r="H659" s="2" t="s">
        <v>1486</v>
      </c>
      <c r="I659" s="2" t="s">
        <v>23</v>
      </c>
      <c r="J659" s="2">
        <v>9</v>
      </c>
    </row>
    <row r="660" spans="1:10" ht="14.25" customHeight="1" x14ac:dyDescent="0.3">
      <c r="A660" s="2">
        <v>659</v>
      </c>
      <c r="B660" s="2" t="s">
        <v>1487</v>
      </c>
      <c r="C660" s="2" t="s">
        <v>1479</v>
      </c>
      <c r="D660" s="2" t="s">
        <v>172</v>
      </c>
      <c r="E660" s="10">
        <v>44796</v>
      </c>
      <c r="F660" s="2" t="s">
        <v>30</v>
      </c>
      <c r="G660" s="2" t="s">
        <v>128</v>
      </c>
      <c r="H660" s="2" t="s">
        <v>1488</v>
      </c>
      <c r="I660" s="2" t="s">
        <v>24</v>
      </c>
      <c r="J660" s="2">
        <v>7</v>
      </c>
    </row>
    <row r="661" spans="1:10" ht="14.25" customHeight="1" x14ac:dyDescent="0.3">
      <c r="A661" s="2">
        <v>660</v>
      </c>
      <c r="B661" s="2" t="s">
        <v>1489</v>
      </c>
      <c r="C661" s="2" t="s">
        <v>1481</v>
      </c>
      <c r="D661" s="2" t="s">
        <v>213</v>
      </c>
      <c r="E661" s="10">
        <v>44772</v>
      </c>
      <c r="F661" s="2" t="s">
        <v>31</v>
      </c>
      <c r="G661" s="2" t="s">
        <v>128</v>
      </c>
      <c r="H661" s="2" t="s">
        <v>1490</v>
      </c>
      <c r="I661" s="2" t="s">
        <v>25</v>
      </c>
      <c r="J661" s="2">
        <v>9</v>
      </c>
    </row>
    <row r="662" spans="1:10" ht="14.25" customHeight="1" x14ac:dyDescent="0.3">
      <c r="A662" s="2">
        <v>661</v>
      </c>
      <c r="B662" s="2" t="s">
        <v>1491</v>
      </c>
      <c r="C662" s="2" t="s">
        <v>1483</v>
      </c>
      <c r="D662" s="2" t="s">
        <v>216</v>
      </c>
      <c r="E662" s="10">
        <v>44809</v>
      </c>
      <c r="F662" s="2" t="s">
        <v>29</v>
      </c>
      <c r="G662" s="2" t="s">
        <v>128</v>
      </c>
      <c r="H662" s="2" t="s">
        <v>1492</v>
      </c>
      <c r="I662" s="2" t="s">
        <v>23</v>
      </c>
      <c r="J662" s="2">
        <v>10</v>
      </c>
    </row>
    <row r="663" spans="1:10" ht="14.25" customHeight="1" x14ac:dyDescent="0.3">
      <c r="A663" s="2">
        <v>662</v>
      </c>
      <c r="B663" s="2" t="s">
        <v>1493</v>
      </c>
      <c r="C663" s="2" t="s">
        <v>1485</v>
      </c>
      <c r="D663" s="2" t="s">
        <v>238</v>
      </c>
      <c r="E663" s="10">
        <v>44757</v>
      </c>
      <c r="F663" s="2" t="s">
        <v>30</v>
      </c>
      <c r="G663" s="2" t="s">
        <v>128</v>
      </c>
      <c r="H663" s="2" t="s">
        <v>1494</v>
      </c>
      <c r="I663" s="2" t="s">
        <v>24</v>
      </c>
      <c r="J663" s="2">
        <v>7</v>
      </c>
    </row>
    <row r="664" spans="1:10" ht="14.25" customHeight="1" x14ac:dyDescent="0.3">
      <c r="A664" s="2">
        <v>663</v>
      </c>
      <c r="B664" s="2" t="s">
        <v>1495</v>
      </c>
      <c r="C664" s="2" t="s">
        <v>1487</v>
      </c>
      <c r="D664" s="2" t="s">
        <v>381</v>
      </c>
      <c r="E664" s="10">
        <v>44782</v>
      </c>
      <c r="F664" s="2" t="s">
        <v>31</v>
      </c>
      <c r="G664" s="2" t="s">
        <v>128</v>
      </c>
      <c r="H664" s="2" t="s">
        <v>1496</v>
      </c>
      <c r="I664" s="2" t="s">
        <v>25</v>
      </c>
      <c r="J664" s="2">
        <v>10</v>
      </c>
    </row>
    <row r="665" spans="1:10" ht="14.25" customHeight="1" x14ac:dyDescent="0.3">
      <c r="A665" s="2">
        <v>664</v>
      </c>
      <c r="B665" s="2" t="s">
        <v>1497</v>
      </c>
      <c r="C665" s="2" t="s">
        <v>1489</v>
      </c>
      <c r="D665" s="2" t="s">
        <v>243</v>
      </c>
      <c r="E665" s="10">
        <v>44809</v>
      </c>
      <c r="F665" s="2" t="s">
        <v>31</v>
      </c>
      <c r="G665" s="2" t="s">
        <v>128</v>
      </c>
      <c r="H665" s="2" t="s">
        <v>1498</v>
      </c>
      <c r="I665" s="2" t="s">
        <v>23</v>
      </c>
      <c r="J665" s="2">
        <v>9</v>
      </c>
    </row>
    <row r="666" spans="1:10" ht="14.25" customHeight="1" x14ac:dyDescent="0.3">
      <c r="A666" s="2">
        <v>665</v>
      </c>
      <c r="B666" s="2" t="s">
        <v>1499</v>
      </c>
      <c r="C666" s="2" t="s">
        <v>1491</v>
      </c>
      <c r="D666" s="2" t="s">
        <v>246</v>
      </c>
      <c r="E666" s="10">
        <v>44795</v>
      </c>
      <c r="F666" s="2" t="s">
        <v>30</v>
      </c>
      <c r="G666" s="2" t="s">
        <v>128</v>
      </c>
      <c r="H666" s="2" t="s">
        <v>1500</v>
      </c>
      <c r="I666" s="2" t="s">
        <v>24</v>
      </c>
      <c r="J666" s="2">
        <v>8</v>
      </c>
    </row>
    <row r="667" spans="1:10" ht="14.25" customHeight="1" x14ac:dyDescent="0.3">
      <c r="A667" s="2">
        <v>666</v>
      </c>
      <c r="B667" s="2" t="s">
        <v>1501</v>
      </c>
      <c r="C667" s="2" t="s">
        <v>1493</v>
      </c>
      <c r="D667" s="2" t="s">
        <v>249</v>
      </c>
      <c r="E667" s="10">
        <v>44801</v>
      </c>
      <c r="F667" s="2" t="s">
        <v>31</v>
      </c>
      <c r="G667" s="2" t="s">
        <v>128</v>
      </c>
      <c r="H667" s="2" t="s">
        <v>1502</v>
      </c>
      <c r="I667" s="2" t="s">
        <v>25</v>
      </c>
      <c r="J667" s="2">
        <v>7</v>
      </c>
    </row>
    <row r="668" spans="1:10" ht="14.25" customHeight="1" x14ac:dyDescent="0.3">
      <c r="A668" s="2">
        <v>667</v>
      </c>
      <c r="B668" s="2" t="s">
        <v>1503</v>
      </c>
      <c r="C668" s="2" t="s">
        <v>1495</v>
      </c>
      <c r="D668" s="2" t="s">
        <v>158</v>
      </c>
      <c r="E668" s="10">
        <v>44770</v>
      </c>
      <c r="F668" s="2" t="s">
        <v>30</v>
      </c>
      <c r="G668" s="2" t="s">
        <v>128</v>
      </c>
      <c r="H668" s="2" t="s">
        <v>1504</v>
      </c>
      <c r="I668" s="2" t="s">
        <v>23</v>
      </c>
      <c r="J668" s="2">
        <v>7</v>
      </c>
    </row>
    <row r="669" spans="1:10" ht="14.25" customHeight="1" x14ac:dyDescent="0.3">
      <c r="A669" s="2">
        <v>668</v>
      </c>
      <c r="B669" s="2" t="s">
        <v>1505</v>
      </c>
      <c r="C669" s="2" t="s">
        <v>1497</v>
      </c>
      <c r="D669" s="2" t="s">
        <v>255</v>
      </c>
      <c r="E669" s="10">
        <v>44764</v>
      </c>
      <c r="F669" s="2" t="s">
        <v>31</v>
      </c>
      <c r="G669" s="2" t="s">
        <v>128</v>
      </c>
      <c r="H669" s="2" t="s">
        <v>1506</v>
      </c>
      <c r="I669" s="2" t="s">
        <v>24</v>
      </c>
      <c r="J669" s="2">
        <v>7</v>
      </c>
    </row>
    <row r="670" spans="1:10" ht="14.25" customHeight="1" x14ac:dyDescent="0.3">
      <c r="A670" s="2">
        <v>669</v>
      </c>
      <c r="B670" s="2" t="s">
        <v>1507</v>
      </c>
      <c r="C670" s="2" t="s">
        <v>1499</v>
      </c>
      <c r="D670" s="2" t="s">
        <v>258</v>
      </c>
      <c r="E670" s="10">
        <v>44776</v>
      </c>
      <c r="F670" s="2" t="s">
        <v>31</v>
      </c>
      <c r="G670" s="2" t="s">
        <v>128</v>
      </c>
      <c r="H670" s="2" t="s">
        <v>1508</v>
      </c>
      <c r="I670" s="2" t="s">
        <v>25</v>
      </c>
      <c r="J670" s="2">
        <v>10</v>
      </c>
    </row>
    <row r="671" spans="1:10" ht="14.25" customHeight="1" x14ac:dyDescent="0.3">
      <c r="A671" s="2">
        <v>670</v>
      </c>
      <c r="B671" s="2" t="s">
        <v>1509</v>
      </c>
      <c r="C671" s="2" t="s">
        <v>1501</v>
      </c>
      <c r="D671" s="2" t="s">
        <v>261</v>
      </c>
      <c r="E671" s="10">
        <v>44771</v>
      </c>
      <c r="F671" s="2" t="s">
        <v>30</v>
      </c>
      <c r="G671" s="2" t="s">
        <v>128</v>
      </c>
      <c r="H671" s="2" t="s">
        <v>1510</v>
      </c>
      <c r="I671" s="2" t="s">
        <v>23</v>
      </c>
      <c r="J671" s="2">
        <v>7</v>
      </c>
    </row>
    <row r="672" spans="1:10" ht="14.25" customHeight="1" x14ac:dyDescent="0.3">
      <c r="A672" s="2">
        <v>671</v>
      </c>
      <c r="B672" s="2" t="s">
        <v>1511</v>
      </c>
      <c r="C672" s="2" t="s">
        <v>1503</v>
      </c>
      <c r="D672" s="2" t="s">
        <v>264</v>
      </c>
      <c r="E672" s="10">
        <v>44794</v>
      </c>
      <c r="F672" s="2" t="s">
        <v>31</v>
      </c>
      <c r="G672" s="2" t="s">
        <v>128</v>
      </c>
      <c r="H672" s="2" t="s">
        <v>1512</v>
      </c>
      <c r="I672" s="2" t="s">
        <v>24</v>
      </c>
      <c r="J672" s="2">
        <v>10</v>
      </c>
    </row>
    <row r="673" spans="1:10" ht="14.25" customHeight="1" x14ac:dyDescent="0.3">
      <c r="A673" s="2">
        <v>672</v>
      </c>
      <c r="B673" s="2" t="s">
        <v>1513</v>
      </c>
      <c r="C673" s="2" t="s">
        <v>1505</v>
      </c>
      <c r="D673" s="2" t="s">
        <v>267</v>
      </c>
      <c r="E673" s="10">
        <v>44792</v>
      </c>
      <c r="F673" s="2" t="s">
        <v>31</v>
      </c>
      <c r="G673" s="2" t="s">
        <v>128</v>
      </c>
      <c r="H673" s="2" t="s">
        <v>1514</v>
      </c>
      <c r="I673" s="2" t="s">
        <v>25</v>
      </c>
      <c r="J673" s="2">
        <v>9</v>
      </c>
    </row>
    <row r="674" spans="1:10" ht="14.25" customHeight="1" x14ac:dyDescent="0.3">
      <c r="A674" s="2">
        <v>673</v>
      </c>
      <c r="B674" s="2" t="s">
        <v>1515</v>
      </c>
      <c r="C674" s="2" t="s">
        <v>1507</v>
      </c>
      <c r="D674" s="2" t="s">
        <v>127</v>
      </c>
      <c r="E674" s="10">
        <v>44792</v>
      </c>
      <c r="F674" s="2" t="s">
        <v>30</v>
      </c>
      <c r="G674" s="2" t="s">
        <v>135</v>
      </c>
      <c r="H674" s="2" t="s">
        <v>1516</v>
      </c>
      <c r="I674" s="2" t="s">
        <v>23</v>
      </c>
      <c r="J674" s="2">
        <v>10</v>
      </c>
    </row>
    <row r="675" spans="1:10" ht="14.25" customHeight="1" x14ac:dyDescent="0.3">
      <c r="A675" s="2">
        <v>674</v>
      </c>
      <c r="B675" s="2" t="s">
        <v>1517</v>
      </c>
      <c r="C675" s="2" t="s">
        <v>1509</v>
      </c>
      <c r="D675" s="2" t="s">
        <v>131</v>
      </c>
      <c r="E675" s="10">
        <v>44790</v>
      </c>
      <c r="F675" s="2" t="s">
        <v>31</v>
      </c>
      <c r="G675" s="2" t="s">
        <v>128</v>
      </c>
      <c r="H675" s="2" t="s">
        <v>1518</v>
      </c>
      <c r="I675" s="2" t="s">
        <v>24</v>
      </c>
      <c r="J675" s="2">
        <v>8</v>
      </c>
    </row>
    <row r="676" spans="1:10" ht="14.25" customHeight="1" x14ac:dyDescent="0.3">
      <c r="A676" s="2">
        <v>675</v>
      </c>
      <c r="B676" s="2" t="s">
        <v>1519</v>
      </c>
      <c r="C676" s="2" t="s">
        <v>1511</v>
      </c>
      <c r="D676" s="2" t="s">
        <v>134</v>
      </c>
      <c r="E676" s="10">
        <v>44809</v>
      </c>
      <c r="F676" s="2" t="s">
        <v>30</v>
      </c>
      <c r="G676" s="2" t="s">
        <v>128</v>
      </c>
      <c r="H676" s="2" t="s">
        <v>1520</v>
      </c>
      <c r="I676" s="2" t="s">
        <v>25</v>
      </c>
      <c r="J676" s="2">
        <v>9</v>
      </c>
    </row>
    <row r="677" spans="1:10" ht="14.25" customHeight="1" x14ac:dyDescent="0.3">
      <c r="A677" s="2">
        <v>676</v>
      </c>
      <c r="B677" s="2" t="s">
        <v>1521</v>
      </c>
      <c r="C677" s="2" t="s">
        <v>1513</v>
      </c>
      <c r="D677" s="2" t="s">
        <v>138</v>
      </c>
      <c r="E677" s="10">
        <v>44772</v>
      </c>
      <c r="F677" s="2" t="s">
        <v>31</v>
      </c>
      <c r="G677" s="2" t="s">
        <v>128</v>
      </c>
      <c r="H677" s="2" t="s">
        <v>1522</v>
      </c>
      <c r="I677" s="2" t="s">
        <v>23</v>
      </c>
      <c r="J677" s="2">
        <v>9</v>
      </c>
    </row>
    <row r="678" spans="1:10" ht="14.25" customHeight="1" x14ac:dyDescent="0.3">
      <c r="A678" s="2">
        <v>677</v>
      </c>
      <c r="B678" s="2" t="s">
        <v>1523</v>
      </c>
      <c r="C678" s="2" t="s">
        <v>1515</v>
      </c>
      <c r="D678" s="2" t="s">
        <v>141</v>
      </c>
      <c r="E678" s="10">
        <v>44802</v>
      </c>
      <c r="F678" s="2" t="s">
        <v>30</v>
      </c>
      <c r="G678" s="2" t="s">
        <v>128</v>
      </c>
      <c r="H678" s="2" t="s">
        <v>1524</v>
      </c>
      <c r="I678" s="2" t="s">
        <v>24</v>
      </c>
      <c r="J678" s="2">
        <v>8</v>
      </c>
    </row>
    <row r="679" spans="1:10" ht="14.25" customHeight="1" x14ac:dyDescent="0.3">
      <c r="A679" s="2">
        <v>678</v>
      </c>
      <c r="B679" s="2" t="s">
        <v>1525</v>
      </c>
      <c r="C679" s="2" t="s">
        <v>1517</v>
      </c>
      <c r="D679" s="2" t="s">
        <v>144</v>
      </c>
      <c r="E679" s="10">
        <v>44809</v>
      </c>
      <c r="F679" s="2" t="s">
        <v>31</v>
      </c>
      <c r="G679" s="2" t="s">
        <v>128</v>
      </c>
      <c r="H679" s="2" t="s">
        <v>1526</v>
      </c>
      <c r="I679" s="2" t="s">
        <v>25</v>
      </c>
      <c r="J679" s="2">
        <v>7</v>
      </c>
    </row>
    <row r="680" spans="1:10" ht="14.25" customHeight="1" x14ac:dyDescent="0.3">
      <c r="A680" s="2">
        <v>679</v>
      </c>
      <c r="B680" s="2" t="s">
        <v>1527</v>
      </c>
      <c r="C680" s="2" t="s">
        <v>1519</v>
      </c>
      <c r="D680" s="2" t="s">
        <v>147</v>
      </c>
      <c r="E680" s="10">
        <v>44793</v>
      </c>
      <c r="F680" s="2" t="s">
        <v>29</v>
      </c>
      <c r="G680" s="2" t="s">
        <v>135</v>
      </c>
      <c r="H680" s="2" t="s">
        <v>1528</v>
      </c>
      <c r="I680" s="2" t="s">
        <v>23</v>
      </c>
      <c r="J680" s="2">
        <v>10</v>
      </c>
    </row>
    <row r="681" spans="1:10" ht="14.25" customHeight="1" x14ac:dyDescent="0.3">
      <c r="A681" s="2">
        <v>680</v>
      </c>
      <c r="B681" s="2" t="s">
        <v>1529</v>
      </c>
      <c r="C681" s="2" t="s">
        <v>1521</v>
      </c>
      <c r="D681" s="2" t="s">
        <v>147</v>
      </c>
      <c r="E681" s="10">
        <v>44802</v>
      </c>
      <c r="F681" s="2" t="s">
        <v>30</v>
      </c>
      <c r="G681" s="2" t="s">
        <v>128</v>
      </c>
      <c r="H681" s="2" t="s">
        <v>1530</v>
      </c>
      <c r="I681" s="2" t="s">
        <v>24</v>
      </c>
      <c r="J681" s="2">
        <v>8</v>
      </c>
    </row>
    <row r="682" spans="1:10" ht="14.25" customHeight="1" x14ac:dyDescent="0.3">
      <c r="A682" s="2">
        <v>681</v>
      </c>
      <c r="B682" s="2" t="s">
        <v>1531</v>
      </c>
      <c r="C682" s="2" t="s">
        <v>1523</v>
      </c>
      <c r="D682" s="2" t="s">
        <v>153</v>
      </c>
      <c r="E682" s="10">
        <v>44766</v>
      </c>
      <c r="F682" s="2" t="s">
        <v>31</v>
      </c>
      <c r="G682" s="2" t="s">
        <v>128</v>
      </c>
      <c r="H682" s="2" t="s">
        <v>1532</v>
      </c>
      <c r="I682" s="2" t="s">
        <v>25</v>
      </c>
      <c r="J682" s="2">
        <v>10</v>
      </c>
    </row>
    <row r="683" spans="1:10" ht="14.25" customHeight="1" x14ac:dyDescent="0.3">
      <c r="A683" s="2">
        <v>682</v>
      </c>
      <c r="B683" s="2" t="s">
        <v>1533</v>
      </c>
      <c r="C683" s="2" t="s">
        <v>1525</v>
      </c>
      <c r="D683" s="2" t="s">
        <v>288</v>
      </c>
      <c r="E683" s="10">
        <v>44807</v>
      </c>
      <c r="F683" s="2" t="s">
        <v>31</v>
      </c>
      <c r="G683" s="2" t="s">
        <v>128</v>
      </c>
      <c r="H683" s="2" t="s">
        <v>1534</v>
      </c>
      <c r="I683" s="2" t="s">
        <v>23</v>
      </c>
      <c r="J683" s="2">
        <v>7</v>
      </c>
    </row>
    <row r="684" spans="1:10" ht="14.25" customHeight="1" x14ac:dyDescent="0.3">
      <c r="A684" s="2">
        <v>683</v>
      </c>
      <c r="B684" s="2" t="s">
        <v>1535</v>
      </c>
      <c r="C684" s="2" t="s">
        <v>1527</v>
      </c>
      <c r="D684" s="2" t="s">
        <v>158</v>
      </c>
      <c r="E684" s="10">
        <v>44784</v>
      </c>
      <c r="F684" s="2" t="s">
        <v>30</v>
      </c>
      <c r="G684" s="2" t="s">
        <v>128</v>
      </c>
      <c r="H684" s="2" t="s">
        <v>1536</v>
      </c>
      <c r="I684" s="2" t="s">
        <v>24</v>
      </c>
      <c r="J684" s="2">
        <v>7</v>
      </c>
    </row>
    <row r="685" spans="1:10" ht="14.25" customHeight="1" x14ac:dyDescent="0.3">
      <c r="A685" s="2">
        <v>684</v>
      </c>
      <c r="B685" s="2" t="s">
        <v>1537</v>
      </c>
      <c r="C685" s="2" t="s">
        <v>1529</v>
      </c>
      <c r="D685" s="2" t="s">
        <v>161</v>
      </c>
      <c r="E685" s="10">
        <v>44763</v>
      </c>
      <c r="F685" s="2" t="s">
        <v>31</v>
      </c>
      <c r="G685" s="2" t="s">
        <v>128</v>
      </c>
      <c r="H685" s="2" t="s">
        <v>1538</v>
      </c>
      <c r="I685" s="2" t="s">
        <v>25</v>
      </c>
      <c r="J685" s="2">
        <v>10</v>
      </c>
    </row>
    <row r="686" spans="1:10" ht="14.25" customHeight="1" x14ac:dyDescent="0.3">
      <c r="A686" s="2">
        <v>685</v>
      </c>
      <c r="B686" s="2" t="s">
        <v>1539</v>
      </c>
      <c r="C686" s="2" t="s">
        <v>1531</v>
      </c>
      <c r="D686" s="2" t="s">
        <v>164</v>
      </c>
      <c r="E686" s="10">
        <v>44799</v>
      </c>
      <c r="F686" s="2" t="s">
        <v>30</v>
      </c>
      <c r="G686" s="2" t="s">
        <v>128</v>
      </c>
      <c r="H686" s="2" t="s">
        <v>1540</v>
      </c>
      <c r="I686" s="2" t="s">
        <v>23</v>
      </c>
      <c r="J686" s="2">
        <v>9</v>
      </c>
    </row>
    <row r="687" spans="1:10" ht="14.25" customHeight="1" x14ac:dyDescent="0.3">
      <c r="A687" s="2">
        <v>686</v>
      </c>
      <c r="B687" s="2" t="s">
        <v>1541</v>
      </c>
      <c r="C687" s="2" t="s">
        <v>1533</v>
      </c>
      <c r="D687" s="2" t="s">
        <v>167</v>
      </c>
      <c r="E687" s="10">
        <v>44808</v>
      </c>
      <c r="F687" s="2" t="s">
        <v>31</v>
      </c>
      <c r="G687" s="2" t="s">
        <v>128</v>
      </c>
      <c r="H687" s="2" t="s">
        <v>1542</v>
      </c>
      <c r="I687" s="2" t="s">
        <v>24</v>
      </c>
      <c r="J687" s="2">
        <v>9</v>
      </c>
    </row>
    <row r="688" spans="1:10" ht="14.25" customHeight="1" x14ac:dyDescent="0.3">
      <c r="A688" s="2">
        <v>687</v>
      </c>
      <c r="B688" s="2" t="s">
        <v>1543</v>
      </c>
      <c r="C688" s="2" t="s">
        <v>1535</v>
      </c>
      <c r="D688" s="2" t="s">
        <v>267</v>
      </c>
      <c r="E688" s="10">
        <v>44786</v>
      </c>
      <c r="F688" s="2" t="s">
        <v>31</v>
      </c>
      <c r="G688" s="2" t="s">
        <v>128</v>
      </c>
      <c r="H688" s="2" t="s">
        <v>1544</v>
      </c>
      <c r="I688" s="2" t="s">
        <v>25</v>
      </c>
      <c r="J688" s="2">
        <v>7</v>
      </c>
    </row>
    <row r="689" spans="1:10" ht="14.25" customHeight="1" x14ac:dyDescent="0.3">
      <c r="A689" s="2">
        <v>688</v>
      </c>
      <c r="B689" s="2" t="s">
        <v>1545</v>
      </c>
      <c r="C689" s="2" t="s">
        <v>1537</v>
      </c>
      <c r="D689" s="2" t="s">
        <v>127</v>
      </c>
      <c r="E689" s="10">
        <v>44770</v>
      </c>
      <c r="F689" s="2" t="s">
        <v>30</v>
      </c>
      <c r="G689" s="2" t="s">
        <v>128</v>
      </c>
      <c r="H689" s="2" t="s">
        <v>1546</v>
      </c>
      <c r="I689" s="2" t="s">
        <v>23</v>
      </c>
      <c r="J689" s="2">
        <v>10</v>
      </c>
    </row>
    <row r="690" spans="1:10" ht="14.25" customHeight="1" x14ac:dyDescent="0.3">
      <c r="A690" s="2">
        <v>689</v>
      </c>
      <c r="B690" s="2" t="s">
        <v>1547</v>
      </c>
      <c r="C690" s="2" t="s">
        <v>1539</v>
      </c>
      <c r="D690" s="2" t="s">
        <v>131</v>
      </c>
      <c r="E690" s="10">
        <v>44777</v>
      </c>
      <c r="F690" s="2" t="s">
        <v>31</v>
      </c>
      <c r="G690" s="2" t="s">
        <v>128</v>
      </c>
      <c r="H690" s="2" t="s">
        <v>1548</v>
      </c>
      <c r="I690" s="2" t="s">
        <v>24</v>
      </c>
      <c r="J690" s="2">
        <v>7</v>
      </c>
    </row>
    <row r="691" spans="1:10" ht="14.25" customHeight="1" x14ac:dyDescent="0.3">
      <c r="A691" s="2">
        <v>690</v>
      </c>
      <c r="B691" s="2" t="s">
        <v>1549</v>
      </c>
      <c r="C691" s="2" t="s">
        <v>1541</v>
      </c>
      <c r="D691" s="2" t="s">
        <v>134</v>
      </c>
      <c r="E691" s="10">
        <v>44780</v>
      </c>
      <c r="F691" s="2" t="s">
        <v>31</v>
      </c>
      <c r="G691" s="2" t="s">
        <v>128</v>
      </c>
      <c r="H691" s="2" t="s">
        <v>1550</v>
      </c>
      <c r="I691" s="2" t="s">
        <v>25</v>
      </c>
      <c r="J691" s="2">
        <v>7</v>
      </c>
    </row>
    <row r="692" spans="1:10" ht="14.25" customHeight="1" x14ac:dyDescent="0.3">
      <c r="A692" s="2">
        <v>691</v>
      </c>
      <c r="B692" s="2" t="s">
        <v>1551</v>
      </c>
      <c r="C692" s="2" t="s">
        <v>1543</v>
      </c>
      <c r="D692" s="2" t="s">
        <v>138</v>
      </c>
      <c r="E692" s="10">
        <v>44778</v>
      </c>
      <c r="F692" s="2" t="s">
        <v>30</v>
      </c>
      <c r="G692" s="2" t="s">
        <v>128</v>
      </c>
      <c r="H692" s="2" t="s">
        <v>1552</v>
      </c>
      <c r="I692" s="2" t="s">
        <v>23</v>
      </c>
      <c r="J692" s="2">
        <v>8</v>
      </c>
    </row>
    <row r="693" spans="1:10" ht="14.25" customHeight="1" x14ac:dyDescent="0.3">
      <c r="A693" s="2">
        <v>692</v>
      </c>
      <c r="B693" s="2" t="s">
        <v>1553</v>
      </c>
      <c r="C693" s="2" t="s">
        <v>1545</v>
      </c>
      <c r="D693" s="2" t="s">
        <v>141</v>
      </c>
      <c r="E693" s="10">
        <v>44774</v>
      </c>
      <c r="F693" s="2" t="s">
        <v>31</v>
      </c>
      <c r="G693" s="2" t="s">
        <v>128</v>
      </c>
      <c r="H693" s="2" t="s">
        <v>1554</v>
      </c>
      <c r="I693" s="2" t="s">
        <v>24</v>
      </c>
      <c r="J693" s="2">
        <v>7</v>
      </c>
    </row>
    <row r="694" spans="1:10" ht="14.25" customHeight="1" x14ac:dyDescent="0.3">
      <c r="A694" s="2">
        <v>693</v>
      </c>
      <c r="B694" s="2" t="s">
        <v>1555</v>
      </c>
      <c r="C694" s="2" t="s">
        <v>1547</v>
      </c>
      <c r="D694" s="2" t="s">
        <v>144</v>
      </c>
      <c r="E694" s="10">
        <v>44760</v>
      </c>
      <c r="F694" s="2" t="s">
        <v>30</v>
      </c>
      <c r="G694" s="2" t="s">
        <v>128</v>
      </c>
      <c r="H694" s="2" t="s">
        <v>1556</v>
      </c>
      <c r="I694" s="2" t="s">
        <v>25</v>
      </c>
      <c r="J694" s="2">
        <v>10</v>
      </c>
    </row>
    <row r="695" spans="1:10" ht="14.25" customHeight="1" x14ac:dyDescent="0.3">
      <c r="A695" s="2">
        <v>694</v>
      </c>
      <c r="B695" s="2" t="s">
        <v>1557</v>
      </c>
      <c r="C695" s="2" t="s">
        <v>1549</v>
      </c>
      <c r="D695" s="2" t="s">
        <v>147</v>
      </c>
      <c r="E695" s="10">
        <v>44756</v>
      </c>
      <c r="F695" s="2" t="s">
        <v>31</v>
      </c>
      <c r="G695" s="2" t="s">
        <v>128</v>
      </c>
      <c r="H695" s="2" t="s">
        <v>1558</v>
      </c>
      <c r="I695" s="2" t="s">
        <v>23</v>
      </c>
      <c r="J695" s="2">
        <v>7</v>
      </c>
    </row>
    <row r="696" spans="1:10" ht="14.25" customHeight="1" x14ac:dyDescent="0.3">
      <c r="A696" s="2">
        <v>695</v>
      </c>
      <c r="B696" s="2" t="s">
        <v>1559</v>
      </c>
      <c r="C696" s="2" t="s">
        <v>1551</v>
      </c>
      <c r="D696" s="2" t="s">
        <v>147</v>
      </c>
      <c r="E696" s="10">
        <v>44755</v>
      </c>
      <c r="F696" s="2" t="s">
        <v>30</v>
      </c>
      <c r="G696" s="2" t="s">
        <v>128</v>
      </c>
      <c r="H696" s="2" t="s">
        <v>1560</v>
      </c>
      <c r="I696" s="2" t="s">
        <v>24</v>
      </c>
      <c r="J696" s="2">
        <v>10</v>
      </c>
    </row>
    <row r="697" spans="1:10" ht="14.25" customHeight="1" x14ac:dyDescent="0.3">
      <c r="A697" s="2">
        <v>696</v>
      </c>
      <c r="B697" s="2" t="s">
        <v>1561</v>
      </c>
      <c r="C697" s="2" t="s">
        <v>1553</v>
      </c>
      <c r="D697" s="2" t="s">
        <v>153</v>
      </c>
      <c r="E697" s="10">
        <v>44770</v>
      </c>
      <c r="F697" s="2" t="s">
        <v>31</v>
      </c>
      <c r="G697" s="2" t="s">
        <v>128</v>
      </c>
      <c r="H697" s="2" t="s">
        <v>1562</v>
      </c>
      <c r="I697" s="2" t="s">
        <v>25</v>
      </c>
      <c r="J697" s="2">
        <v>7</v>
      </c>
    </row>
    <row r="698" spans="1:10" ht="14.25" customHeight="1" x14ac:dyDescent="0.3">
      <c r="A698" s="2">
        <v>697</v>
      </c>
      <c r="B698" s="2" t="s">
        <v>1563</v>
      </c>
      <c r="C698" s="2" t="s">
        <v>1555</v>
      </c>
      <c r="D698" s="2" t="s">
        <v>144</v>
      </c>
      <c r="E698" s="10">
        <v>44755</v>
      </c>
      <c r="F698" s="2" t="s">
        <v>29</v>
      </c>
      <c r="G698" s="2" t="s">
        <v>128</v>
      </c>
      <c r="H698" s="2" t="s">
        <v>1564</v>
      </c>
      <c r="I698" s="2" t="s">
        <v>23</v>
      </c>
      <c r="J698" s="2">
        <v>9</v>
      </c>
    </row>
    <row r="699" spans="1:10" ht="14.25" customHeight="1" x14ac:dyDescent="0.3">
      <c r="A699" s="2">
        <v>698</v>
      </c>
      <c r="B699" s="2" t="s">
        <v>1565</v>
      </c>
      <c r="C699" s="2" t="s">
        <v>1557</v>
      </c>
      <c r="D699" s="2" t="s">
        <v>158</v>
      </c>
      <c r="E699" s="10">
        <v>44775</v>
      </c>
      <c r="F699" s="2" t="s">
        <v>30</v>
      </c>
      <c r="G699" s="2" t="s">
        <v>128</v>
      </c>
      <c r="H699" s="2" t="s">
        <v>1566</v>
      </c>
      <c r="I699" s="2" t="s">
        <v>24</v>
      </c>
      <c r="J699" s="2">
        <v>7</v>
      </c>
    </row>
    <row r="700" spans="1:10" ht="14.25" customHeight="1" x14ac:dyDescent="0.3">
      <c r="A700" s="2">
        <v>699</v>
      </c>
      <c r="B700" s="2" t="s">
        <v>1567</v>
      </c>
      <c r="C700" s="2" t="s">
        <v>1559</v>
      </c>
      <c r="D700" s="2" t="s">
        <v>161</v>
      </c>
      <c r="E700" s="10">
        <v>44797</v>
      </c>
      <c r="F700" s="2" t="s">
        <v>31</v>
      </c>
      <c r="G700" s="2" t="s">
        <v>128</v>
      </c>
      <c r="H700" s="2" t="s">
        <v>1568</v>
      </c>
      <c r="I700" s="2" t="s">
        <v>25</v>
      </c>
      <c r="J700" s="2">
        <v>8</v>
      </c>
    </row>
    <row r="701" spans="1:10" ht="14.25" customHeight="1" x14ac:dyDescent="0.3">
      <c r="A701" s="2">
        <v>700</v>
      </c>
      <c r="B701" s="2" t="s">
        <v>1569</v>
      </c>
      <c r="C701" s="2" t="s">
        <v>1561</v>
      </c>
      <c r="D701" s="2" t="s">
        <v>164</v>
      </c>
      <c r="E701" s="10">
        <v>44802</v>
      </c>
      <c r="F701" s="2" t="s">
        <v>31</v>
      </c>
      <c r="G701" s="2" t="s">
        <v>128</v>
      </c>
      <c r="H701" s="2" t="s">
        <v>1570</v>
      </c>
      <c r="I701" s="2" t="s">
        <v>25</v>
      </c>
      <c r="J701" s="2">
        <v>10</v>
      </c>
    </row>
    <row r="702" spans="1:10" ht="14.25" customHeight="1" x14ac:dyDescent="0.3">
      <c r="A702" s="2">
        <v>701</v>
      </c>
      <c r="B702" s="2" t="s">
        <v>1571</v>
      </c>
      <c r="C702" s="2" t="s">
        <v>1563</v>
      </c>
      <c r="D702" s="2" t="s">
        <v>167</v>
      </c>
      <c r="E702" s="10">
        <v>44764</v>
      </c>
      <c r="F702" s="2" t="s">
        <v>30</v>
      </c>
      <c r="G702" s="2" t="s">
        <v>135</v>
      </c>
      <c r="H702" s="2" t="s">
        <v>1572</v>
      </c>
      <c r="I702" s="2" t="s">
        <v>25</v>
      </c>
      <c r="J702" s="2">
        <v>9</v>
      </c>
    </row>
    <row r="703" spans="1:10" ht="14.25" customHeight="1" x14ac:dyDescent="0.3">
      <c r="A703" s="2">
        <v>702</v>
      </c>
      <c r="B703" s="2" t="s">
        <v>1573</v>
      </c>
      <c r="C703" s="2" t="s">
        <v>1565</v>
      </c>
      <c r="D703" s="2" t="s">
        <v>144</v>
      </c>
      <c r="E703" s="10">
        <v>44780</v>
      </c>
      <c r="F703" s="2" t="s">
        <v>31</v>
      </c>
      <c r="G703" s="2" t="s">
        <v>128</v>
      </c>
      <c r="H703" s="2" t="s">
        <v>1574</v>
      </c>
      <c r="I703" s="2" t="s">
        <v>23</v>
      </c>
      <c r="J703" s="2">
        <v>7</v>
      </c>
    </row>
    <row r="704" spans="1:10" ht="14.25" customHeight="1" x14ac:dyDescent="0.3">
      <c r="A704" s="2">
        <v>703</v>
      </c>
      <c r="B704" s="2" t="s">
        <v>1575</v>
      </c>
      <c r="C704" s="2" t="s">
        <v>1567</v>
      </c>
      <c r="D704" s="2" t="s">
        <v>172</v>
      </c>
      <c r="E704" s="10">
        <v>44799</v>
      </c>
      <c r="F704" s="2" t="s">
        <v>30</v>
      </c>
      <c r="G704" s="2" t="s">
        <v>128</v>
      </c>
      <c r="H704" s="2" t="s">
        <v>1576</v>
      </c>
      <c r="I704" s="2" t="s">
        <v>24</v>
      </c>
      <c r="J704" s="2">
        <v>8</v>
      </c>
    </row>
    <row r="705" spans="1:10" ht="14.25" customHeight="1" x14ac:dyDescent="0.3">
      <c r="A705" s="2">
        <v>704</v>
      </c>
      <c r="B705" s="2" t="s">
        <v>1577</v>
      </c>
      <c r="C705" s="2" t="s">
        <v>1569</v>
      </c>
      <c r="D705" s="2" t="s">
        <v>161</v>
      </c>
      <c r="E705" s="10">
        <v>44761</v>
      </c>
      <c r="F705" s="2" t="s">
        <v>31</v>
      </c>
      <c r="G705" s="2" t="s">
        <v>128</v>
      </c>
      <c r="H705" s="2" t="s">
        <v>1578</v>
      </c>
      <c r="I705" s="2" t="s">
        <v>25</v>
      </c>
      <c r="J705" s="2">
        <v>7</v>
      </c>
    </row>
    <row r="706" spans="1:10" ht="14.25" customHeight="1" x14ac:dyDescent="0.3">
      <c r="A706" s="2">
        <v>705</v>
      </c>
      <c r="B706" s="2" t="s">
        <v>1579</v>
      </c>
      <c r="C706" s="2" t="s">
        <v>1571</v>
      </c>
      <c r="D706" s="2" t="s">
        <v>141</v>
      </c>
      <c r="E706" s="10">
        <v>44782</v>
      </c>
      <c r="F706" s="2" t="s">
        <v>31</v>
      </c>
      <c r="G706" s="2" t="s">
        <v>128</v>
      </c>
      <c r="H706" s="2" t="s">
        <v>1580</v>
      </c>
      <c r="I706" s="2" t="s">
        <v>23</v>
      </c>
      <c r="J706" s="2">
        <v>9</v>
      </c>
    </row>
    <row r="707" spans="1:10" ht="14.25" customHeight="1" x14ac:dyDescent="0.3">
      <c r="A707" s="2">
        <v>706</v>
      </c>
      <c r="B707" s="2" t="s">
        <v>1581</v>
      </c>
      <c r="C707" s="2" t="s">
        <v>1573</v>
      </c>
      <c r="D707" s="2" t="s">
        <v>179</v>
      </c>
      <c r="E707" s="10">
        <v>44806</v>
      </c>
      <c r="F707" s="2" t="s">
        <v>30</v>
      </c>
      <c r="G707" s="2" t="s">
        <v>128</v>
      </c>
      <c r="H707" s="2" t="s">
        <v>1582</v>
      </c>
      <c r="I707" s="2" t="s">
        <v>24</v>
      </c>
      <c r="J707" s="2">
        <v>10</v>
      </c>
    </row>
    <row r="708" spans="1:10" ht="14.25" customHeight="1" x14ac:dyDescent="0.3">
      <c r="A708" s="2">
        <v>707</v>
      </c>
      <c r="B708" s="2" t="s">
        <v>1583</v>
      </c>
      <c r="C708" s="2" t="s">
        <v>1575</v>
      </c>
      <c r="D708" s="2" t="s">
        <v>182</v>
      </c>
      <c r="E708" s="10">
        <v>44798</v>
      </c>
      <c r="F708" s="2" t="s">
        <v>31</v>
      </c>
      <c r="G708" s="2" t="s">
        <v>135</v>
      </c>
      <c r="H708" s="2" t="s">
        <v>1584</v>
      </c>
      <c r="I708" s="2" t="s">
        <v>25</v>
      </c>
      <c r="J708" s="2">
        <v>7</v>
      </c>
    </row>
    <row r="709" spans="1:10" ht="14.25" customHeight="1" x14ac:dyDescent="0.3">
      <c r="A709" s="2">
        <v>708</v>
      </c>
      <c r="B709" s="2" t="s">
        <v>1585</v>
      </c>
      <c r="C709" s="2" t="s">
        <v>1577</v>
      </c>
      <c r="D709" s="2" t="s">
        <v>185</v>
      </c>
      <c r="E709" s="10">
        <v>44758</v>
      </c>
      <c r="F709" s="2" t="s">
        <v>31</v>
      </c>
      <c r="G709" s="2" t="s">
        <v>128</v>
      </c>
      <c r="H709" s="2" t="s">
        <v>1586</v>
      </c>
      <c r="I709" s="2" t="s">
        <v>23</v>
      </c>
      <c r="J709" s="2">
        <v>7</v>
      </c>
    </row>
    <row r="710" spans="1:10" ht="14.25" customHeight="1" x14ac:dyDescent="0.3">
      <c r="A710" s="2">
        <v>709</v>
      </c>
      <c r="B710" s="2" t="s">
        <v>1587</v>
      </c>
      <c r="C710" s="2" t="s">
        <v>1579</v>
      </c>
      <c r="D710" s="2" t="s">
        <v>188</v>
      </c>
      <c r="E710" s="10">
        <v>44785</v>
      </c>
      <c r="F710" s="2" t="s">
        <v>30</v>
      </c>
      <c r="G710" s="2" t="s">
        <v>128</v>
      </c>
      <c r="H710" s="2" t="s">
        <v>1588</v>
      </c>
      <c r="I710" s="2" t="s">
        <v>24</v>
      </c>
      <c r="J710" s="2">
        <v>7</v>
      </c>
    </row>
    <row r="711" spans="1:10" ht="14.25" customHeight="1" x14ac:dyDescent="0.3">
      <c r="A711" s="2">
        <v>710</v>
      </c>
      <c r="B711" s="2" t="s">
        <v>1589</v>
      </c>
      <c r="C711" s="2" t="s">
        <v>1581</v>
      </c>
      <c r="D711" s="2" t="s">
        <v>191</v>
      </c>
      <c r="E711" s="10">
        <v>44761</v>
      </c>
      <c r="F711" s="2" t="s">
        <v>31</v>
      </c>
      <c r="G711" s="2" t="s">
        <v>128</v>
      </c>
      <c r="H711" s="2" t="s">
        <v>1590</v>
      </c>
      <c r="I711" s="2" t="s">
        <v>25</v>
      </c>
      <c r="J711" s="2">
        <v>9</v>
      </c>
    </row>
    <row r="712" spans="1:10" ht="14.25" customHeight="1" x14ac:dyDescent="0.3">
      <c r="A712" s="2">
        <v>711</v>
      </c>
      <c r="B712" s="2" t="s">
        <v>1591</v>
      </c>
      <c r="C712" s="2" t="s">
        <v>1583</v>
      </c>
      <c r="D712" s="2" t="s">
        <v>194</v>
      </c>
      <c r="E712" s="10">
        <v>44800</v>
      </c>
      <c r="F712" s="2" t="s">
        <v>30</v>
      </c>
      <c r="G712" s="2" t="s">
        <v>128</v>
      </c>
      <c r="H712" s="2" t="s">
        <v>1592</v>
      </c>
      <c r="I712" s="2" t="s">
        <v>23</v>
      </c>
      <c r="J712" s="2">
        <v>10</v>
      </c>
    </row>
    <row r="713" spans="1:10" ht="14.25" customHeight="1" x14ac:dyDescent="0.3">
      <c r="A713" s="2">
        <v>712</v>
      </c>
      <c r="B713" s="2" t="s">
        <v>1593</v>
      </c>
      <c r="C713" s="2" t="s">
        <v>1585</v>
      </c>
      <c r="D713" s="2" t="s">
        <v>197</v>
      </c>
      <c r="E713" s="10">
        <v>44807</v>
      </c>
      <c r="F713" s="2" t="s">
        <v>31</v>
      </c>
      <c r="G713" s="2" t="s">
        <v>128</v>
      </c>
      <c r="H713" s="2" t="s">
        <v>1594</v>
      </c>
      <c r="I713" s="2" t="s">
        <v>24</v>
      </c>
      <c r="J713" s="2">
        <v>7</v>
      </c>
    </row>
    <row r="714" spans="1:10" ht="14.25" customHeight="1" x14ac:dyDescent="0.3">
      <c r="A714" s="2">
        <v>713</v>
      </c>
      <c r="B714" s="2" t="s">
        <v>1595</v>
      </c>
      <c r="C714" s="2" t="s">
        <v>1587</v>
      </c>
      <c r="D714" s="2" t="s">
        <v>200</v>
      </c>
      <c r="E714" s="10">
        <v>44799</v>
      </c>
      <c r="F714" s="2" t="s">
        <v>30</v>
      </c>
      <c r="G714" s="2" t="s">
        <v>128</v>
      </c>
      <c r="H714" s="2" t="s">
        <v>1596</v>
      </c>
      <c r="I714" s="2" t="s">
        <v>25</v>
      </c>
      <c r="J714" s="2">
        <v>7</v>
      </c>
    </row>
    <row r="715" spans="1:10" ht="14.25" customHeight="1" x14ac:dyDescent="0.3">
      <c r="A715" s="2">
        <v>714</v>
      </c>
      <c r="B715" s="2" t="s">
        <v>1597</v>
      </c>
      <c r="C715" s="2" t="s">
        <v>1589</v>
      </c>
      <c r="D715" s="2" t="s">
        <v>203</v>
      </c>
      <c r="E715" s="10">
        <v>44759</v>
      </c>
      <c r="F715" s="2" t="s">
        <v>31</v>
      </c>
      <c r="G715" s="2" t="s">
        <v>128</v>
      </c>
      <c r="H715" s="2" t="s">
        <v>1598</v>
      </c>
      <c r="I715" s="2" t="s">
        <v>23</v>
      </c>
      <c r="J715" s="2">
        <v>8</v>
      </c>
    </row>
    <row r="716" spans="1:10" ht="14.25" customHeight="1" x14ac:dyDescent="0.3">
      <c r="A716" s="2">
        <v>715</v>
      </c>
      <c r="B716" s="2" t="s">
        <v>1599</v>
      </c>
      <c r="C716" s="2" t="s">
        <v>1591</v>
      </c>
      <c r="D716" s="2" t="s">
        <v>207</v>
      </c>
      <c r="E716" s="10">
        <v>44763</v>
      </c>
      <c r="F716" s="2" t="s">
        <v>29</v>
      </c>
      <c r="G716" s="2" t="s">
        <v>128</v>
      </c>
      <c r="H716" s="2" t="s">
        <v>1600</v>
      </c>
      <c r="I716" s="2" t="s">
        <v>24</v>
      </c>
      <c r="J716" s="2">
        <v>8</v>
      </c>
    </row>
    <row r="717" spans="1:10" ht="14.25" customHeight="1" x14ac:dyDescent="0.3">
      <c r="A717" s="2">
        <v>716</v>
      </c>
      <c r="B717" s="2" t="s">
        <v>1601</v>
      </c>
      <c r="C717" s="2" t="s">
        <v>1593</v>
      </c>
      <c r="D717" s="2" t="s">
        <v>210</v>
      </c>
      <c r="E717" s="10">
        <v>44776</v>
      </c>
      <c r="F717" s="2" t="s">
        <v>30</v>
      </c>
      <c r="G717" s="2" t="s">
        <v>128</v>
      </c>
      <c r="H717" s="2" t="s">
        <v>1602</v>
      </c>
      <c r="I717" s="2" t="s">
        <v>25</v>
      </c>
      <c r="J717" s="2">
        <v>10</v>
      </c>
    </row>
    <row r="718" spans="1:10" ht="14.25" customHeight="1" x14ac:dyDescent="0.3">
      <c r="A718" s="2">
        <v>717</v>
      </c>
      <c r="B718" s="2" t="s">
        <v>1603</v>
      </c>
      <c r="C718" s="2" t="s">
        <v>1595</v>
      </c>
      <c r="D718" s="2" t="s">
        <v>213</v>
      </c>
      <c r="E718" s="10">
        <v>44763</v>
      </c>
      <c r="F718" s="2" t="s">
        <v>31</v>
      </c>
      <c r="G718" s="2" t="s">
        <v>128</v>
      </c>
      <c r="H718" s="2" t="s">
        <v>1604</v>
      </c>
      <c r="I718" s="2" t="s">
        <v>23</v>
      </c>
      <c r="J718" s="2">
        <v>9</v>
      </c>
    </row>
    <row r="719" spans="1:10" ht="14.25" customHeight="1" x14ac:dyDescent="0.3">
      <c r="A719" s="2">
        <v>718</v>
      </c>
      <c r="B719" s="2" t="s">
        <v>1605</v>
      </c>
      <c r="C719" s="2" t="s">
        <v>1597</v>
      </c>
      <c r="D719" s="2" t="s">
        <v>216</v>
      </c>
      <c r="E719" s="10">
        <v>44803</v>
      </c>
      <c r="F719" s="2" t="s">
        <v>31</v>
      </c>
      <c r="G719" s="2" t="s">
        <v>128</v>
      </c>
      <c r="H719" s="2" t="s">
        <v>1606</v>
      </c>
      <c r="I719" s="2" t="s">
        <v>24</v>
      </c>
      <c r="J719" s="2">
        <v>9</v>
      </c>
    </row>
    <row r="720" spans="1:10" ht="14.25" customHeight="1" x14ac:dyDescent="0.3">
      <c r="A720" s="2">
        <v>719</v>
      </c>
      <c r="B720" s="2" t="s">
        <v>1607</v>
      </c>
      <c r="C720" s="2" t="s">
        <v>1599</v>
      </c>
      <c r="D720" s="2" t="s">
        <v>219</v>
      </c>
      <c r="E720" s="10">
        <v>44806</v>
      </c>
      <c r="F720" s="2" t="s">
        <v>30</v>
      </c>
      <c r="G720" s="2" t="s">
        <v>128</v>
      </c>
      <c r="H720" s="2" t="s">
        <v>1608</v>
      </c>
      <c r="I720" s="2" t="s">
        <v>25</v>
      </c>
      <c r="J720" s="2">
        <v>7</v>
      </c>
    </row>
    <row r="721" spans="1:10" ht="14.25" customHeight="1" x14ac:dyDescent="0.3">
      <c r="A721" s="2">
        <v>720</v>
      </c>
      <c r="B721" s="2" t="s">
        <v>1609</v>
      </c>
      <c r="C721" s="2" t="s">
        <v>1601</v>
      </c>
      <c r="D721" s="2" t="s">
        <v>167</v>
      </c>
      <c r="E721" s="10">
        <v>44774</v>
      </c>
      <c r="F721" s="2" t="s">
        <v>31</v>
      </c>
      <c r="G721" s="2" t="s">
        <v>128</v>
      </c>
      <c r="H721" s="2" t="s">
        <v>1610</v>
      </c>
      <c r="I721" s="2" t="s">
        <v>23</v>
      </c>
      <c r="J721" s="2">
        <v>10</v>
      </c>
    </row>
    <row r="722" spans="1:10" ht="14.25" customHeight="1" x14ac:dyDescent="0.3">
      <c r="A722" s="2">
        <v>721</v>
      </c>
      <c r="B722" s="2" t="s">
        <v>1611</v>
      </c>
      <c r="C722" s="2" t="s">
        <v>1603</v>
      </c>
      <c r="D722" s="2" t="s">
        <v>191</v>
      </c>
      <c r="E722" s="10">
        <v>44769</v>
      </c>
      <c r="F722" s="2" t="s">
        <v>30</v>
      </c>
      <c r="G722" s="2" t="s">
        <v>128</v>
      </c>
      <c r="H722" s="2" t="s">
        <v>1612</v>
      </c>
      <c r="I722" s="2" t="s">
        <v>24</v>
      </c>
      <c r="J722" s="2">
        <v>7</v>
      </c>
    </row>
    <row r="723" spans="1:10" ht="14.25" customHeight="1" x14ac:dyDescent="0.3">
      <c r="A723" s="2">
        <v>722</v>
      </c>
      <c r="B723" s="2" t="s">
        <v>1613</v>
      </c>
      <c r="C723" s="2" t="s">
        <v>1605</v>
      </c>
      <c r="D723" s="2" t="s">
        <v>207</v>
      </c>
      <c r="E723" s="10">
        <v>44793</v>
      </c>
      <c r="F723" s="2" t="s">
        <v>31</v>
      </c>
      <c r="G723" s="2" t="s">
        <v>128</v>
      </c>
      <c r="H723" s="2" t="s">
        <v>1614</v>
      </c>
      <c r="I723" s="2" t="s">
        <v>25</v>
      </c>
      <c r="J723" s="2">
        <v>7</v>
      </c>
    </row>
    <row r="724" spans="1:10" ht="14.25" customHeight="1" x14ac:dyDescent="0.3">
      <c r="A724" s="2">
        <v>723</v>
      </c>
      <c r="B724" s="2" t="s">
        <v>1615</v>
      </c>
      <c r="C724" s="2" t="s">
        <v>1607</v>
      </c>
      <c r="D724" s="2" t="s">
        <v>141</v>
      </c>
      <c r="E724" s="10">
        <v>44768</v>
      </c>
      <c r="F724" s="2" t="s">
        <v>31</v>
      </c>
      <c r="G724" s="2" t="s">
        <v>128</v>
      </c>
      <c r="H724" s="2" t="s">
        <v>1616</v>
      </c>
      <c r="I724" s="2" t="s">
        <v>23</v>
      </c>
      <c r="J724" s="2">
        <v>10</v>
      </c>
    </row>
    <row r="725" spans="1:10" ht="14.25" customHeight="1" x14ac:dyDescent="0.3">
      <c r="A725" s="2">
        <v>724</v>
      </c>
      <c r="B725" s="2" t="s">
        <v>1617</v>
      </c>
      <c r="C725" s="2" t="s">
        <v>1609</v>
      </c>
      <c r="D725" s="2" t="s">
        <v>172</v>
      </c>
      <c r="E725" s="10">
        <v>44803</v>
      </c>
      <c r="F725" s="2" t="s">
        <v>30</v>
      </c>
      <c r="G725" s="2" t="s">
        <v>128</v>
      </c>
      <c r="H725" s="2" t="s">
        <v>1618</v>
      </c>
      <c r="I725" s="2" t="s">
        <v>24</v>
      </c>
      <c r="J725" s="2">
        <v>7</v>
      </c>
    </row>
    <row r="726" spans="1:10" ht="14.25" customHeight="1" x14ac:dyDescent="0.3">
      <c r="A726" s="2">
        <v>725</v>
      </c>
      <c r="B726" s="2" t="s">
        <v>1619</v>
      </c>
      <c r="C726" s="2" t="s">
        <v>1611</v>
      </c>
      <c r="D726" s="2" t="s">
        <v>213</v>
      </c>
      <c r="E726" s="10">
        <v>44755</v>
      </c>
      <c r="F726" s="2" t="s">
        <v>31</v>
      </c>
      <c r="G726" s="2" t="s">
        <v>128</v>
      </c>
      <c r="H726" s="2" t="s">
        <v>1620</v>
      </c>
      <c r="I726" s="2" t="s">
        <v>25</v>
      </c>
      <c r="J726" s="2">
        <v>10</v>
      </c>
    </row>
    <row r="727" spans="1:10" ht="14.25" customHeight="1" x14ac:dyDescent="0.3">
      <c r="A727" s="2">
        <v>726</v>
      </c>
      <c r="B727" s="2" t="s">
        <v>1621</v>
      </c>
      <c r="C727" s="2" t="s">
        <v>1613</v>
      </c>
      <c r="D727" s="2" t="s">
        <v>216</v>
      </c>
      <c r="E727" s="10">
        <v>44789</v>
      </c>
      <c r="F727" s="2" t="s">
        <v>31</v>
      </c>
      <c r="G727" s="2" t="s">
        <v>128</v>
      </c>
      <c r="H727" s="2" t="s">
        <v>1622</v>
      </c>
      <c r="I727" s="2" t="s">
        <v>23</v>
      </c>
      <c r="J727" s="2">
        <v>9</v>
      </c>
    </row>
    <row r="728" spans="1:10" ht="14.25" customHeight="1" x14ac:dyDescent="0.3">
      <c r="A728" s="2">
        <v>727</v>
      </c>
      <c r="B728" s="2" t="s">
        <v>1623</v>
      </c>
      <c r="C728" s="2" t="s">
        <v>1615</v>
      </c>
      <c r="D728" s="2" t="s">
        <v>238</v>
      </c>
      <c r="E728" s="10">
        <v>44785</v>
      </c>
      <c r="F728" s="2" t="s">
        <v>30</v>
      </c>
      <c r="G728" s="2" t="s">
        <v>128</v>
      </c>
      <c r="H728" s="2" t="s">
        <v>1624</v>
      </c>
      <c r="I728" s="2" t="s">
        <v>24</v>
      </c>
      <c r="J728" s="2">
        <v>10</v>
      </c>
    </row>
    <row r="729" spans="1:10" ht="14.25" customHeight="1" x14ac:dyDescent="0.3">
      <c r="A729" s="2">
        <v>728</v>
      </c>
      <c r="B729" s="2" t="s">
        <v>1625</v>
      </c>
      <c r="C729" s="2" t="s">
        <v>1617</v>
      </c>
      <c r="D729" s="2" t="s">
        <v>381</v>
      </c>
      <c r="E729" s="10">
        <v>44775</v>
      </c>
      <c r="F729" s="2" t="s">
        <v>31</v>
      </c>
      <c r="G729" s="2" t="s">
        <v>128</v>
      </c>
      <c r="H729" s="2" t="s">
        <v>1626</v>
      </c>
      <c r="I729" s="2" t="s">
        <v>25</v>
      </c>
      <c r="J729" s="2">
        <v>7</v>
      </c>
    </row>
    <row r="730" spans="1:10" ht="14.25" customHeight="1" x14ac:dyDescent="0.3">
      <c r="A730" s="2">
        <v>729</v>
      </c>
      <c r="B730" s="2" t="s">
        <v>1627</v>
      </c>
      <c r="C730" s="2" t="s">
        <v>1619</v>
      </c>
      <c r="D730" s="2" t="s">
        <v>243</v>
      </c>
      <c r="E730" s="10">
        <v>44807</v>
      </c>
      <c r="F730" s="2" t="s">
        <v>30</v>
      </c>
      <c r="G730" s="2" t="s">
        <v>135</v>
      </c>
      <c r="H730" s="2" t="s">
        <v>1628</v>
      </c>
      <c r="I730" s="2" t="s">
        <v>23</v>
      </c>
      <c r="J730" s="2">
        <v>10</v>
      </c>
    </row>
    <row r="731" spans="1:10" ht="14.25" customHeight="1" x14ac:dyDescent="0.3">
      <c r="A731" s="2">
        <v>730</v>
      </c>
      <c r="B731" s="2" t="s">
        <v>1629</v>
      </c>
      <c r="C731" s="2" t="s">
        <v>1621</v>
      </c>
      <c r="D731" s="2" t="s">
        <v>246</v>
      </c>
      <c r="E731" s="10">
        <v>44765</v>
      </c>
      <c r="F731" s="2" t="s">
        <v>31</v>
      </c>
      <c r="G731" s="2" t="s">
        <v>128</v>
      </c>
      <c r="H731" s="2" t="s">
        <v>1630</v>
      </c>
      <c r="I731" s="2" t="s">
        <v>24</v>
      </c>
      <c r="J731" s="2">
        <v>10</v>
      </c>
    </row>
    <row r="732" spans="1:10" ht="14.25" customHeight="1" x14ac:dyDescent="0.3">
      <c r="A732" s="2">
        <v>731</v>
      </c>
      <c r="B732" s="2" t="s">
        <v>1631</v>
      </c>
      <c r="C732" s="2" t="s">
        <v>1623</v>
      </c>
      <c r="D732" s="2" t="s">
        <v>249</v>
      </c>
      <c r="E732" s="10">
        <v>44791</v>
      </c>
      <c r="F732" s="2" t="s">
        <v>30</v>
      </c>
      <c r="G732" s="2" t="s">
        <v>128</v>
      </c>
      <c r="H732" s="2" t="s">
        <v>1632</v>
      </c>
      <c r="I732" s="2" t="s">
        <v>25</v>
      </c>
      <c r="J732" s="2">
        <v>8</v>
      </c>
    </row>
    <row r="733" spans="1:10" ht="14.25" customHeight="1" x14ac:dyDescent="0.3">
      <c r="A733" s="2">
        <v>732</v>
      </c>
      <c r="B733" s="2" t="s">
        <v>1633</v>
      </c>
      <c r="C733" s="2" t="s">
        <v>1625</v>
      </c>
      <c r="D733" s="2" t="s">
        <v>252</v>
      </c>
      <c r="E733" s="10">
        <v>44777</v>
      </c>
      <c r="F733" s="2" t="s">
        <v>31</v>
      </c>
      <c r="G733" s="2" t="s">
        <v>128</v>
      </c>
      <c r="H733" s="2" t="s">
        <v>1634</v>
      </c>
      <c r="I733" s="2" t="s">
        <v>23</v>
      </c>
      <c r="J733" s="2">
        <v>10</v>
      </c>
    </row>
    <row r="734" spans="1:10" ht="14.25" customHeight="1" x14ac:dyDescent="0.3">
      <c r="A734" s="2">
        <v>733</v>
      </c>
      <c r="B734" s="2" t="s">
        <v>1635</v>
      </c>
      <c r="C734" s="2" t="s">
        <v>1627</v>
      </c>
      <c r="D734" s="2" t="s">
        <v>255</v>
      </c>
      <c r="E734" s="10">
        <v>44806</v>
      </c>
      <c r="F734" s="2" t="s">
        <v>31</v>
      </c>
      <c r="G734" s="2" t="s">
        <v>128</v>
      </c>
      <c r="H734" s="2" t="s">
        <v>1636</v>
      </c>
      <c r="I734" s="2" t="s">
        <v>24</v>
      </c>
      <c r="J734" s="2">
        <v>9</v>
      </c>
    </row>
    <row r="735" spans="1:10" ht="14.25" customHeight="1" x14ac:dyDescent="0.3">
      <c r="A735" s="2">
        <v>734</v>
      </c>
      <c r="B735" s="2" t="s">
        <v>1637</v>
      </c>
      <c r="C735" s="2" t="s">
        <v>1629</v>
      </c>
      <c r="D735" s="2" t="s">
        <v>258</v>
      </c>
      <c r="E735" s="10">
        <v>44796</v>
      </c>
      <c r="F735" s="2" t="s">
        <v>30</v>
      </c>
      <c r="G735" s="2" t="s">
        <v>128</v>
      </c>
      <c r="H735" s="2" t="s">
        <v>1638</v>
      </c>
      <c r="I735" s="2" t="s">
        <v>25</v>
      </c>
      <c r="J735" s="2">
        <v>9</v>
      </c>
    </row>
    <row r="736" spans="1:10" ht="14.25" customHeight="1" x14ac:dyDescent="0.3">
      <c r="A736" s="2">
        <v>735</v>
      </c>
      <c r="B736" s="2" t="s">
        <v>1639</v>
      </c>
      <c r="C736" s="2" t="s">
        <v>1631</v>
      </c>
      <c r="D736" s="2" t="s">
        <v>188</v>
      </c>
      <c r="E736" s="10">
        <v>44760</v>
      </c>
      <c r="F736" s="2" t="s">
        <v>31</v>
      </c>
      <c r="G736" s="2" t="s">
        <v>135</v>
      </c>
      <c r="H736" s="2" t="s">
        <v>1640</v>
      </c>
      <c r="I736" s="2" t="s">
        <v>23</v>
      </c>
      <c r="J736" s="2">
        <v>9</v>
      </c>
    </row>
    <row r="737" spans="1:10" ht="14.25" customHeight="1" x14ac:dyDescent="0.3">
      <c r="A737" s="2">
        <v>736</v>
      </c>
      <c r="B737" s="2" t="s">
        <v>1641</v>
      </c>
      <c r="C737" s="2" t="s">
        <v>1633</v>
      </c>
      <c r="D737" s="2" t="s">
        <v>191</v>
      </c>
      <c r="E737" s="10">
        <v>44759</v>
      </c>
      <c r="F737" s="2" t="s">
        <v>30</v>
      </c>
      <c r="G737" s="2" t="s">
        <v>128</v>
      </c>
      <c r="H737" s="2" t="s">
        <v>1642</v>
      </c>
      <c r="I737" s="2" t="s">
        <v>24</v>
      </c>
      <c r="J737" s="2">
        <v>10</v>
      </c>
    </row>
    <row r="738" spans="1:10" ht="14.25" customHeight="1" x14ac:dyDescent="0.3">
      <c r="A738" s="2">
        <v>737</v>
      </c>
      <c r="B738" s="2" t="s">
        <v>1643</v>
      </c>
      <c r="C738" s="2" t="s">
        <v>1635</v>
      </c>
      <c r="D738" s="2" t="s">
        <v>194</v>
      </c>
      <c r="E738" s="10">
        <v>44795</v>
      </c>
      <c r="F738" s="2" t="s">
        <v>31</v>
      </c>
      <c r="G738" s="2" t="s">
        <v>128</v>
      </c>
      <c r="H738" s="2" t="s">
        <v>1644</v>
      </c>
      <c r="I738" s="2" t="s">
        <v>25</v>
      </c>
      <c r="J738" s="2">
        <v>9</v>
      </c>
    </row>
    <row r="739" spans="1:10" ht="14.25" customHeight="1" x14ac:dyDescent="0.3">
      <c r="A739" s="2">
        <v>738</v>
      </c>
      <c r="B739" s="2" t="s">
        <v>1645</v>
      </c>
      <c r="C739" s="2" t="s">
        <v>1637</v>
      </c>
      <c r="D739" s="2" t="s">
        <v>197</v>
      </c>
      <c r="E739" s="10">
        <v>44808</v>
      </c>
      <c r="F739" s="2" t="s">
        <v>30</v>
      </c>
      <c r="G739" s="2" t="s">
        <v>128</v>
      </c>
      <c r="H739" s="2" t="s">
        <v>1646</v>
      </c>
      <c r="I739" s="2" t="s">
        <v>23</v>
      </c>
      <c r="J739" s="2">
        <v>10</v>
      </c>
    </row>
    <row r="740" spans="1:10" ht="14.25" customHeight="1" x14ac:dyDescent="0.3">
      <c r="A740" s="2">
        <v>739</v>
      </c>
      <c r="B740" s="2" t="s">
        <v>1647</v>
      </c>
      <c r="C740" s="2" t="s">
        <v>1639</v>
      </c>
      <c r="D740" s="2" t="s">
        <v>200</v>
      </c>
      <c r="E740" s="10">
        <v>44756</v>
      </c>
      <c r="F740" s="2" t="s">
        <v>31</v>
      </c>
      <c r="G740" s="2" t="s">
        <v>128</v>
      </c>
      <c r="H740" s="2" t="s">
        <v>1648</v>
      </c>
      <c r="I740" s="2" t="s">
        <v>24</v>
      </c>
      <c r="J740" s="2">
        <v>9</v>
      </c>
    </row>
    <row r="741" spans="1:10" ht="14.25" customHeight="1" x14ac:dyDescent="0.3">
      <c r="A741" s="2">
        <v>740</v>
      </c>
      <c r="B741" s="2" t="s">
        <v>1649</v>
      </c>
      <c r="C741" s="2" t="s">
        <v>1641</v>
      </c>
      <c r="D741" s="2" t="s">
        <v>203</v>
      </c>
      <c r="E741" s="10">
        <v>44801</v>
      </c>
      <c r="F741" s="2" t="s">
        <v>29</v>
      </c>
      <c r="G741" s="2" t="s">
        <v>128</v>
      </c>
      <c r="H741" s="2" t="s">
        <v>1650</v>
      </c>
      <c r="I741" s="2" t="s">
        <v>25</v>
      </c>
      <c r="J741" s="2">
        <v>8</v>
      </c>
    </row>
    <row r="742" spans="1:10" ht="14.25" customHeight="1" x14ac:dyDescent="0.3">
      <c r="A742" s="2">
        <v>741</v>
      </c>
      <c r="B742" s="2" t="s">
        <v>1651</v>
      </c>
      <c r="C742" s="2" t="s">
        <v>1643</v>
      </c>
      <c r="D742" s="2" t="s">
        <v>207</v>
      </c>
      <c r="E742" s="10">
        <v>44806</v>
      </c>
      <c r="F742" s="2" t="s">
        <v>30</v>
      </c>
      <c r="G742" s="2" t="s">
        <v>128</v>
      </c>
      <c r="H742" s="2" t="s">
        <v>1652</v>
      </c>
      <c r="I742" s="2" t="s">
        <v>23</v>
      </c>
      <c r="J742" s="2">
        <v>7</v>
      </c>
    </row>
    <row r="743" spans="1:10" ht="14.25" customHeight="1" x14ac:dyDescent="0.3">
      <c r="A743" s="2">
        <v>742</v>
      </c>
      <c r="B743" s="2" t="s">
        <v>1653</v>
      </c>
      <c r="C743" s="2" t="s">
        <v>1645</v>
      </c>
      <c r="D743" s="2" t="s">
        <v>210</v>
      </c>
      <c r="E743" s="10">
        <v>44794</v>
      </c>
      <c r="F743" s="2" t="s">
        <v>31</v>
      </c>
      <c r="G743" s="2" t="s">
        <v>128</v>
      </c>
      <c r="H743" s="2" t="s">
        <v>1654</v>
      </c>
      <c r="I743" s="2" t="s">
        <v>24</v>
      </c>
      <c r="J743" s="2">
        <v>10</v>
      </c>
    </row>
    <row r="744" spans="1:10" ht="14.25" customHeight="1" x14ac:dyDescent="0.3">
      <c r="A744" s="2">
        <v>743</v>
      </c>
      <c r="B744" s="2" t="s">
        <v>1655</v>
      </c>
      <c r="C744" s="2" t="s">
        <v>1647</v>
      </c>
      <c r="D744" s="2" t="s">
        <v>213</v>
      </c>
      <c r="E744" s="10">
        <v>44800</v>
      </c>
      <c r="F744" s="2" t="s">
        <v>31</v>
      </c>
      <c r="G744" s="2" t="s">
        <v>128</v>
      </c>
      <c r="H744" s="2" t="s">
        <v>1656</v>
      </c>
      <c r="I744" s="2" t="s">
        <v>25</v>
      </c>
      <c r="J744" s="2">
        <v>7</v>
      </c>
    </row>
    <row r="745" spans="1:10" ht="14.25" customHeight="1" x14ac:dyDescent="0.3">
      <c r="A745" s="2">
        <v>744</v>
      </c>
      <c r="B745" s="2" t="s">
        <v>1657</v>
      </c>
      <c r="C745" s="2" t="s">
        <v>1649</v>
      </c>
      <c r="D745" s="2" t="s">
        <v>216</v>
      </c>
      <c r="E745" s="10">
        <v>44789</v>
      </c>
      <c r="F745" s="2" t="s">
        <v>30</v>
      </c>
      <c r="G745" s="2" t="s">
        <v>128</v>
      </c>
      <c r="H745" s="2" t="s">
        <v>1658</v>
      </c>
      <c r="I745" s="2" t="s">
        <v>23</v>
      </c>
      <c r="J745" s="2">
        <v>8</v>
      </c>
    </row>
    <row r="746" spans="1:10" ht="14.25" customHeight="1" x14ac:dyDescent="0.3">
      <c r="A746" s="2">
        <v>745</v>
      </c>
      <c r="B746" s="2" t="s">
        <v>1659</v>
      </c>
      <c r="C746" s="2" t="s">
        <v>1651</v>
      </c>
      <c r="D746" s="2" t="s">
        <v>127</v>
      </c>
      <c r="E746" s="10">
        <v>44802</v>
      </c>
      <c r="F746" s="2" t="s">
        <v>31</v>
      </c>
      <c r="G746" s="2" t="s">
        <v>128</v>
      </c>
      <c r="H746" s="2" t="s">
        <v>1660</v>
      </c>
      <c r="I746" s="2" t="s">
        <v>24</v>
      </c>
      <c r="J746" s="2">
        <v>9</v>
      </c>
    </row>
    <row r="747" spans="1:10" ht="14.25" customHeight="1" x14ac:dyDescent="0.3">
      <c r="A747" s="2">
        <v>746</v>
      </c>
      <c r="B747" s="2" t="s">
        <v>1661</v>
      </c>
      <c r="C747" s="2" t="s">
        <v>1653</v>
      </c>
      <c r="D747" s="2" t="s">
        <v>131</v>
      </c>
      <c r="E747" s="10">
        <v>44793</v>
      </c>
      <c r="F747" s="2" t="s">
        <v>30</v>
      </c>
      <c r="G747" s="2" t="s">
        <v>128</v>
      </c>
      <c r="H747" s="2" t="s">
        <v>1662</v>
      </c>
      <c r="I747" s="2" t="s">
        <v>25</v>
      </c>
      <c r="J747" s="2">
        <v>9</v>
      </c>
    </row>
    <row r="748" spans="1:10" ht="14.25" customHeight="1" x14ac:dyDescent="0.3">
      <c r="A748" s="2">
        <v>747</v>
      </c>
      <c r="B748" s="2" t="s">
        <v>1663</v>
      </c>
      <c r="C748" s="2" t="s">
        <v>1655</v>
      </c>
      <c r="D748" s="2" t="s">
        <v>134</v>
      </c>
      <c r="E748" s="10">
        <v>44793</v>
      </c>
      <c r="F748" s="2" t="s">
        <v>31</v>
      </c>
      <c r="G748" s="2" t="s">
        <v>128</v>
      </c>
      <c r="H748" s="2" t="s">
        <v>1664</v>
      </c>
      <c r="I748" s="2" t="s">
        <v>23</v>
      </c>
      <c r="J748" s="2">
        <v>9</v>
      </c>
    </row>
    <row r="749" spans="1:10" ht="14.25" customHeight="1" x14ac:dyDescent="0.3">
      <c r="A749" s="2">
        <v>748</v>
      </c>
      <c r="B749" s="2" t="s">
        <v>1665</v>
      </c>
      <c r="C749" s="2" t="s">
        <v>1657</v>
      </c>
      <c r="D749" s="2" t="s">
        <v>138</v>
      </c>
      <c r="E749" s="10">
        <v>44785</v>
      </c>
      <c r="F749" s="2" t="s">
        <v>31</v>
      </c>
      <c r="G749" s="2" t="s">
        <v>128</v>
      </c>
      <c r="H749" s="2" t="s">
        <v>1666</v>
      </c>
      <c r="I749" s="2" t="s">
        <v>24</v>
      </c>
      <c r="J749" s="2">
        <v>9</v>
      </c>
    </row>
    <row r="750" spans="1:10" ht="14.25" customHeight="1" x14ac:dyDescent="0.3">
      <c r="A750" s="2">
        <v>749</v>
      </c>
      <c r="B750" s="2" t="s">
        <v>1667</v>
      </c>
      <c r="C750" s="2" t="s">
        <v>1659</v>
      </c>
      <c r="D750" s="2" t="s">
        <v>141</v>
      </c>
      <c r="E750" s="10">
        <v>44778</v>
      </c>
      <c r="F750" s="2" t="s">
        <v>30</v>
      </c>
      <c r="G750" s="2" t="s">
        <v>128</v>
      </c>
      <c r="H750" s="2" t="s">
        <v>1668</v>
      </c>
      <c r="I750" s="2" t="s">
        <v>25</v>
      </c>
      <c r="J750" s="2">
        <v>9</v>
      </c>
    </row>
    <row r="751" spans="1:10" ht="14.25" customHeight="1" x14ac:dyDescent="0.3">
      <c r="A751" s="2">
        <v>750</v>
      </c>
      <c r="B751" s="2" t="s">
        <v>1669</v>
      </c>
      <c r="C751" s="2" t="s">
        <v>1661</v>
      </c>
      <c r="D751" s="2" t="s">
        <v>144</v>
      </c>
      <c r="E751" s="10">
        <v>44764</v>
      </c>
      <c r="F751" s="2" t="s">
        <v>31</v>
      </c>
      <c r="G751" s="2" t="s">
        <v>128</v>
      </c>
      <c r="H751" s="2" t="s">
        <v>1670</v>
      </c>
      <c r="I751" s="2" t="s">
        <v>25</v>
      </c>
      <c r="J751" s="2">
        <v>7</v>
      </c>
    </row>
    <row r="752" spans="1:10" ht="14.25" customHeight="1" x14ac:dyDescent="0.3">
      <c r="A752" s="2">
        <v>751</v>
      </c>
      <c r="B752" s="2" t="s">
        <v>1671</v>
      </c>
      <c r="C752" s="2" t="s">
        <v>1663</v>
      </c>
      <c r="D752" s="2" t="s">
        <v>127</v>
      </c>
      <c r="E752" s="10">
        <v>44769</v>
      </c>
      <c r="F752" s="2" t="s">
        <v>30</v>
      </c>
      <c r="G752" s="2" t="s">
        <v>128</v>
      </c>
      <c r="H752" s="2" t="s">
        <v>1672</v>
      </c>
      <c r="I752" s="2" t="s">
        <v>25</v>
      </c>
      <c r="J752" s="2">
        <v>9</v>
      </c>
    </row>
    <row r="753" spans="1:10" ht="14.25" customHeight="1" x14ac:dyDescent="0.3">
      <c r="A753" s="2">
        <v>752</v>
      </c>
      <c r="B753" s="2" t="s">
        <v>1673</v>
      </c>
      <c r="C753" s="2" t="s">
        <v>1665</v>
      </c>
      <c r="D753" s="2" t="s">
        <v>131</v>
      </c>
      <c r="E753" s="10">
        <v>44794</v>
      </c>
      <c r="F753" s="2" t="s">
        <v>31</v>
      </c>
      <c r="G753" s="2" t="s">
        <v>128</v>
      </c>
      <c r="H753" s="2" t="s">
        <v>1674</v>
      </c>
      <c r="I753" s="2" t="s">
        <v>23</v>
      </c>
      <c r="J753" s="2">
        <v>7</v>
      </c>
    </row>
    <row r="754" spans="1:10" ht="14.25" customHeight="1" x14ac:dyDescent="0.3">
      <c r="A754" s="2">
        <v>753</v>
      </c>
      <c r="B754" s="2" t="s">
        <v>1675</v>
      </c>
      <c r="C754" s="2" t="s">
        <v>1667</v>
      </c>
      <c r="D754" s="2" t="s">
        <v>134</v>
      </c>
      <c r="E754" s="10">
        <v>44766</v>
      </c>
      <c r="F754" s="2" t="s">
        <v>29</v>
      </c>
      <c r="G754" s="2" t="s">
        <v>135</v>
      </c>
      <c r="H754" s="2" t="s">
        <v>1676</v>
      </c>
      <c r="I754" s="2" t="s">
        <v>24</v>
      </c>
      <c r="J754" s="2">
        <v>8</v>
      </c>
    </row>
    <row r="755" spans="1:10" ht="14.25" customHeight="1" x14ac:dyDescent="0.3">
      <c r="A755" s="2">
        <v>754</v>
      </c>
      <c r="B755" s="2" t="s">
        <v>1677</v>
      </c>
      <c r="C755" s="2" t="s">
        <v>1669</v>
      </c>
      <c r="D755" s="2" t="s">
        <v>138</v>
      </c>
      <c r="E755" s="10">
        <v>44772</v>
      </c>
      <c r="F755" s="2" t="s">
        <v>30</v>
      </c>
      <c r="G755" s="2" t="s">
        <v>128</v>
      </c>
      <c r="H755" s="2" t="s">
        <v>1678</v>
      </c>
      <c r="I755" s="2" t="s">
        <v>25</v>
      </c>
      <c r="J755" s="2">
        <v>6</v>
      </c>
    </row>
    <row r="756" spans="1:10" ht="14.25" customHeight="1" x14ac:dyDescent="0.3">
      <c r="A756" s="2">
        <v>755</v>
      </c>
      <c r="B756" s="2" t="s">
        <v>1679</v>
      </c>
      <c r="C756" s="2" t="s">
        <v>1671</v>
      </c>
      <c r="D756" s="2" t="s">
        <v>141</v>
      </c>
      <c r="E756" s="10">
        <v>44787</v>
      </c>
      <c r="F756" s="2" t="s">
        <v>31</v>
      </c>
      <c r="G756" s="2" t="s">
        <v>128</v>
      </c>
      <c r="H756" s="2" t="s">
        <v>1680</v>
      </c>
      <c r="I756" s="2" t="s">
        <v>23</v>
      </c>
      <c r="J756" s="2">
        <v>2</v>
      </c>
    </row>
    <row r="757" spans="1:10" ht="14.25" customHeight="1" x14ac:dyDescent="0.3">
      <c r="A757" s="2">
        <v>756</v>
      </c>
      <c r="B757" s="2" t="s">
        <v>1681</v>
      </c>
      <c r="C757" s="2" t="s">
        <v>1673</v>
      </c>
      <c r="D757" s="2" t="s">
        <v>144</v>
      </c>
      <c r="E757" s="10">
        <v>44755</v>
      </c>
      <c r="F757" s="2" t="s">
        <v>31</v>
      </c>
      <c r="G757" s="2" t="s">
        <v>128</v>
      </c>
      <c r="H757" s="2" t="s">
        <v>1682</v>
      </c>
      <c r="I757" s="2" t="s">
        <v>24</v>
      </c>
      <c r="J757" s="2">
        <v>4</v>
      </c>
    </row>
    <row r="758" spans="1:10" ht="14.25" customHeight="1" x14ac:dyDescent="0.3">
      <c r="A758" s="2">
        <v>757</v>
      </c>
      <c r="B758" s="2" t="s">
        <v>1683</v>
      </c>
      <c r="C758" s="2" t="s">
        <v>1675</v>
      </c>
      <c r="D758" s="2" t="s">
        <v>147</v>
      </c>
      <c r="E758" s="10">
        <v>44785</v>
      </c>
      <c r="F758" s="2" t="s">
        <v>30</v>
      </c>
      <c r="G758" s="2" t="s">
        <v>128</v>
      </c>
      <c r="H758" s="2" t="s">
        <v>1684</v>
      </c>
      <c r="I758" s="2" t="s">
        <v>25</v>
      </c>
      <c r="J758" s="2">
        <v>1</v>
      </c>
    </row>
    <row r="759" spans="1:10" ht="14.25" customHeight="1" x14ac:dyDescent="0.3">
      <c r="A759" s="2">
        <v>758</v>
      </c>
      <c r="B759" s="2" t="s">
        <v>1685</v>
      </c>
      <c r="C759" s="2" t="s">
        <v>1677</v>
      </c>
      <c r="D759" s="2" t="s">
        <v>147</v>
      </c>
      <c r="E759" s="10">
        <v>44761</v>
      </c>
      <c r="F759" s="2" t="s">
        <v>31</v>
      </c>
      <c r="G759" s="2" t="s">
        <v>128</v>
      </c>
      <c r="H759" s="2" t="s">
        <v>1686</v>
      </c>
      <c r="I759" s="2" t="s">
        <v>23</v>
      </c>
      <c r="J759" s="2">
        <v>9</v>
      </c>
    </row>
    <row r="760" spans="1:10" ht="14.25" customHeight="1" x14ac:dyDescent="0.3">
      <c r="A760" s="2">
        <v>759</v>
      </c>
      <c r="B760" s="2" t="s">
        <v>1687</v>
      </c>
      <c r="C760" s="2" t="s">
        <v>1679</v>
      </c>
      <c r="D760" s="2" t="s">
        <v>153</v>
      </c>
      <c r="E760" s="10">
        <v>44770</v>
      </c>
      <c r="F760" s="2" t="s">
        <v>31</v>
      </c>
      <c r="G760" s="2" t="s">
        <v>135</v>
      </c>
      <c r="H760" s="2" t="s">
        <v>1688</v>
      </c>
      <c r="I760" s="2" t="s">
        <v>24</v>
      </c>
      <c r="J760" s="2">
        <v>6</v>
      </c>
    </row>
    <row r="761" spans="1:10" ht="14.25" customHeight="1" x14ac:dyDescent="0.3">
      <c r="A761" s="2">
        <v>760</v>
      </c>
      <c r="B761" s="2" t="s">
        <v>1689</v>
      </c>
      <c r="C761" s="2" t="s">
        <v>1681</v>
      </c>
      <c r="D761" s="2" t="s">
        <v>144</v>
      </c>
      <c r="E761" s="10">
        <v>44769</v>
      </c>
      <c r="F761" s="2" t="s">
        <v>30</v>
      </c>
      <c r="G761" s="2" t="s">
        <v>128</v>
      </c>
      <c r="H761" s="2" t="s">
        <v>1690</v>
      </c>
      <c r="I761" s="2" t="s">
        <v>25</v>
      </c>
      <c r="J761" s="2">
        <v>9</v>
      </c>
    </row>
    <row r="762" spans="1:10" ht="14.25" customHeight="1" x14ac:dyDescent="0.3">
      <c r="A762" s="2">
        <v>761</v>
      </c>
      <c r="B762" s="2" t="s">
        <v>1691</v>
      </c>
      <c r="C762" s="2" t="s">
        <v>1683</v>
      </c>
      <c r="D762" s="2" t="s">
        <v>158</v>
      </c>
      <c r="E762" s="10">
        <v>44785</v>
      </c>
      <c r="F762" s="2" t="s">
        <v>31</v>
      </c>
      <c r="G762" s="2" t="s">
        <v>128</v>
      </c>
      <c r="H762" s="2" t="s">
        <v>1692</v>
      </c>
      <c r="I762" s="2" t="s">
        <v>23</v>
      </c>
      <c r="J762" s="2">
        <v>9</v>
      </c>
    </row>
    <row r="763" spans="1:10" ht="14.25" customHeight="1" x14ac:dyDescent="0.3">
      <c r="A763" s="2">
        <v>762</v>
      </c>
      <c r="B763" s="2" t="s">
        <v>1693</v>
      </c>
      <c r="C763" s="2" t="s">
        <v>1685</v>
      </c>
      <c r="D763" s="2" t="s">
        <v>161</v>
      </c>
      <c r="E763" s="10">
        <v>44771</v>
      </c>
      <c r="F763" s="2" t="s">
        <v>29</v>
      </c>
      <c r="G763" s="2" t="s">
        <v>128</v>
      </c>
      <c r="H763" s="2" t="s">
        <v>1694</v>
      </c>
      <c r="I763" s="2" t="s">
        <v>24</v>
      </c>
      <c r="J763" s="2">
        <v>3</v>
      </c>
    </row>
    <row r="764" spans="1:10" ht="14.25" customHeight="1" x14ac:dyDescent="0.3">
      <c r="A764" s="2">
        <v>763</v>
      </c>
      <c r="B764" s="2" t="s">
        <v>1695</v>
      </c>
      <c r="C764" s="2" t="s">
        <v>1687</v>
      </c>
      <c r="D764" s="2" t="s">
        <v>164</v>
      </c>
      <c r="E764" s="10">
        <v>44776</v>
      </c>
      <c r="F764" s="2" t="s">
        <v>30</v>
      </c>
      <c r="G764" s="2" t="s">
        <v>128</v>
      </c>
      <c r="H764" s="2" t="s">
        <v>1696</v>
      </c>
      <c r="I764" s="2" t="s">
        <v>25</v>
      </c>
      <c r="J764" s="2">
        <v>2</v>
      </c>
    </row>
    <row r="765" spans="1:10" ht="14.25" customHeight="1" x14ac:dyDescent="0.3">
      <c r="A765" s="2">
        <v>764</v>
      </c>
      <c r="B765" s="2" t="s">
        <v>1697</v>
      </c>
      <c r="C765" s="2" t="s">
        <v>1689</v>
      </c>
      <c r="D765" s="2" t="s">
        <v>167</v>
      </c>
      <c r="E765" s="10">
        <v>44782</v>
      </c>
      <c r="F765" s="2" t="s">
        <v>31</v>
      </c>
      <c r="G765" s="2" t="s">
        <v>128</v>
      </c>
      <c r="H765" s="2" t="s">
        <v>1698</v>
      </c>
      <c r="I765" s="2" t="s">
        <v>23</v>
      </c>
      <c r="J765" s="2">
        <v>3</v>
      </c>
    </row>
    <row r="766" spans="1:10" ht="14.25" customHeight="1" x14ac:dyDescent="0.3">
      <c r="A766" s="2">
        <v>765</v>
      </c>
      <c r="B766" s="2" t="s">
        <v>1699</v>
      </c>
      <c r="C766" s="2" t="s">
        <v>1691</v>
      </c>
      <c r="D766" s="2" t="s">
        <v>144</v>
      </c>
      <c r="E766" s="10">
        <v>44765</v>
      </c>
      <c r="F766" s="2" t="s">
        <v>29</v>
      </c>
      <c r="G766" s="2" t="s">
        <v>135</v>
      </c>
      <c r="H766" s="2" t="s">
        <v>1700</v>
      </c>
      <c r="I766" s="2" t="s">
        <v>24</v>
      </c>
      <c r="J766" s="2">
        <v>10</v>
      </c>
    </row>
    <row r="767" spans="1:10" ht="14.25" customHeight="1" x14ac:dyDescent="0.3">
      <c r="A767" s="2">
        <v>766</v>
      </c>
      <c r="B767" s="2" t="s">
        <v>1701</v>
      </c>
      <c r="C767" s="2" t="s">
        <v>1693</v>
      </c>
      <c r="D767" s="2" t="s">
        <v>172</v>
      </c>
      <c r="E767" s="10">
        <v>44778</v>
      </c>
      <c r="F767" s="2" t="s">
        <v>30</v>
      </c>
      <c r="G767" s="2" t="s">
        <v>128</v>
      </c>
      <c r="H767" s="2" t="s">
        <v>1702</v>
      </c>
      <c r="I767" s="2" t="s">
        <v>25</v>
      </c>
      <c r="J767" s="2">
        <v>3</v>
      </c>
    </row>
    <row r="768" spans="1:10" ht="14.25" customHeight="1" x14ac:dyDescent="0.3">
      <c r="A768" s="2">
        <v>767</v>
      </c>
      <c r="B768" s="2" t="s">
        <v>1703</v>
      </c>
      <c r="C768" s="2" t="s">
        <v>1695</v>
      </c>
      <c r="D768" s="2" t="s">
        <v>161</v>
      </c>
      <c r="E768" s="10">
        <v>44774</v>
      </c>
      <c r="F768" s="2" t="s">
        <v>31</v>
      </c>
      <c r="G768" s="2" t="s">
        <v>128</v>
      </c>
      <c r="H768" s="2" t="s">
        <v>1704</v>
      </c>
      <c r="I768" s="2" t="s">
        <v>23</v>
      </c>
      <c r="J768" s="2">
        <v>1</v>
      </c>
    </row>
    <row r="769" spans="1:10" ht="14.25" customHeight="1" x14ac:dyDescent="0.3">
      <c r="A769" s="2">
        <v>768</v>
      </c>
      <c r="B769" s="2" t="s">
        <v>1705</v>
      </c>
      <c r="C769" s="2" t="s">
        <v>1697</v>
      </c>
      <c r="D769" s="2" t="s">
        <v>141</v>
      </c>
      <c r="E769" s="10">
        <v>44803</v>
      </c>
      <c r="F769" s="2" t="s">
        <v>29</v>
      </c>
      <c r="G769" s="2" t="s">
        <v>128</v>
      </c>
      <c r="H769" s="2" t="s">
        <v>1706</v>
      </c>
      <c r="I769" s="2" t="s">
        <v>24</v>
      </c>
      <c r="J769" s="2">
        <v>5</v>
      </c>
    </row>
    <row r="770" spans="1:10" ht="14.25" customHeight="1" x14ac:dyDescent="0.3">
      <c r="A770" s="2">
        <v>769</v>
      </c>
      <c r="B770" s="2" t="s">
        <v>1707</v>
      </c>
      <c r="C770" s="2" t="s">
        <v>1699</v>
      </c>
      <c r="D770" s="2" t="s">
        <v>179</v>
      </c>
      <c r="E770" s="10">
        <v>44782</v>
      </c>
      <c r="F770" s="2" t="s">
        <v>30</v>
      </c>
      <c r="G770" s="2" t="s">
        <v>128</v>
      </c>
      <c r="H770" s="2" t="s">
        <v>1708</v>
      </c>
      <c r="I770" s="2" t="s">
        <v>25</v>
      </c>
      <c r="J770" s="2">
        <v>1</v>
      </c>
    </row>
    <row r="771" spans="1:10" ht="14.25" customHeight="1" x14ac:dyDescent="0.3">
      <c r="A771" s="2">
        <v>770</v>
      </c>
      <c r="B771" s="2" t="s">
        <v>1709</v>
      </c>
      <c r="C771" s="2" t="s">
        <v>1701</v>
      </c>
      <c r="D771" s="2" t="s">
        <v>182</v>
      </c>
      <c r="E771" s="10">
        <v>44774</v>
      </c>
      <c r="F771" s="2" t="s">
        <v>31</v>
      </c>
      <c r="G771" s="2" t="s">
        <v>128</v>
      </c>
      <c r="H771" s="2" t="s">
        <v>1710</v>
      </c>
      <c r="I771" s="2" t="s">
        <v>23</v>
      </c>
      <c r="J771" s="2">
        <v>5</v>
      </c>
    </row>
    <row r="772" spans="1:10" ht="14.25" customHeight="1" x14ac:dyDescent="0.3">
      <c r="A772" s="2">
        <v>771</v>
      </c>
      <c r="B772" s="2" t="s">
        <v>1711</v>
      </c>
      <c r="C772" s="2" t="s">
        <v>1703</v>
      </c>
      <c r="D772" s="2" t="s">
        <v>185</v>
      </c>
      <c r="E772" s="10">
        <v>44790</v>
      </c>
      <c r="F772" s="2" t="s">
        <v>31</v>
      </c>
      <c r="G772" s="2" t="s">
        <v>135</v>
      </c>
      <c r="H772" s="2" t="s">
        <v>1712</v>
      </c>
      <c r="I772" s="2" t="s">
        <v>24</v>
      </c>
      <c r="J772" s="2">
        <v>5</v>
      </c>
    </row>
    <row r="773" spans="1:10" ht="14.25" customHeight="1" x14ac:dyDescent="0.3">
      <c r="A773" s="2">
        <v>772</v>
      </c>
      <c r="B773" s="2" t="s">
        <v>1713</v>
      </c>
      <c r="C773" s="2" t="s">
        <v>1705</v>
      </c>
      <c r="D773" s="2" t="s">
        <v>188</v>
      </c>
      <c r="E773" s="10">
        <v>44790</v>
      </c>
      <c r="F773" s="2" t="s">
        <v>30</v>
      </c>
      <c r="G773" s="2" t="s">
        <v>128</v>
      </c>
      <c r="H773" s="2" t="s">
        <v>1714</v>
      </c>
      <c r="I773" s="2" t="s">
        <v>25</v>
      </c>
      <c r="J773" s="2">
        <v>3</v>
      </c>
    </row>
    <row r="774" spans="1:10" ht="14.25" customHeight="1" x14ac:dyDescent="0.3">
      <c r="A774" s="2">
        <v>773</v>
      </c>
      <c r="B774" s="2" t="s">
        <v>1715</v>
      </c>
      <c r="C774" s="2" t="s">
        <v>1707</v>
      </c>
      <c r="D774" s="2" t="s">
        <v>191</v>
      </c>
      <c r="E774" s="10">
        <v>44757</v>
      </c>
      <c r="F774" s="2" t="s">
        <v>31</v>
      </c>
      <c r="G774" s="2" t="s">
        <v>128</v>
      </c>
      <c r="H774" s="2" t="s">
        <v>1716</v>
      </c>
      <c r="I774" s="2" t="s">
        <v>23</v>
      </c>
      <c r="J774" s="2">
        <v>3</v>
      </c>
    </row>
    <row r="775" spans="1:10" ht="14.25" customHeight="1" x14ac:dyDescent="0.3">
      <c r="A775" s="2">
        <v>774</v>
      </c>
      <c r="B775" s="2" t="s">
        <v>1717</v>
      </c>
      <c r="C775" s="2" t="s">
        <v>1709</v>
      </c>
      <c r="D775" s="2" t="s">
        <v>194</v>
      </c>
      <c r="E775" s="10">
        <v>44778</v>
      </c>
      <c r="F775" s="2" t="s">
        <v>29</v>
      </c>
      <c r="G775" s="2" t="s">
        <v>128</v>
      </c>
      <c r="H775" s="2" t="s">
        <v>1718</v>
      </c>
      <c r="I775" s="2" t="s">
        <v>24</v>
      </c>
      <c r="J775" s="2">
        <v>7</v>
      </c>
    </row>
    <row r="776" spans="1:10" ht="14.25" customHeight="1" x14ac:dyDescent="0.3">
      <c r="A776" s="2">
        <v>775</v>
      </c>
      <c r="B776" s="2" t="s">
        <v>1719</v>
      </c>
      <c r="C776" s="2" t="s">
        <v>1711</v>
      </c>
      <c r="D776" s="2" t="s">
        <v>197</v>
      </c>
      <c r="E776" s="10">
        <v>44795</v>
      </c>
      <c r="F776" s="2" t="s">
        <v>30</v>
      </c>
      <c r="G776" s="2" t="s">
        <v>128</v>
      </c>
      <c r="H776" s="2" t="s">
        <v>1720</v>
      </c>
      <c r="I776" s="2" t="s">
        <v>25</v>
      </c>
      <c r="J776" s="2">
        <v>4</v>
      </c>
    </row>
    <row r="777" spans="1:10" ht="14.25" customHeight="1" x14ac:dyDescent="0.3">
      <c r="A777" s="2">
        <v>776</v>
      </c>
      <c r="B777" s="2" t="s">
        <v>1721</v>
      </c>
      <c r="C777" s="2" t="s">
        <v>1713</v>
      </c>
      <c r="D777" s="2" t="s">
        <v>200</v>
      </c>
      <c r="E777" s="10">
        <v>44800</v>
      </c>
      <c r="F777" s="2" t="s">
        <v>31</v>
      </c>
      <c r="G777" s="2" t="s">
        <v>128</v>
      </c>
      <c r="H777" s="2" t="s">
        <v>1722</v>
      </c>
      <c r="I777" s="2" t="s">
        <v>23</v>
      </c>
      <c r="J777" s="2">
        <v>3</v>
      </c>
    </row>
    <row r="778" spans="1:10" ht="14.25" customHeight="1" x14ac:dyDescent="0.3">
      <c r="A778" s="2">
        <v>777</v>
      </c>
      <c r="B778" s="2" t="s">
        <v>1723</v>
      </c>
      <c r="C778" s="2" t="s">
        <v>1715</v>
      </c>
      <c r="D778" s="2" t="s">
        <v>203</v>
      </c>
      <c r="E778" s="10">
        <v>44783</v>
      </c>
      <c r="F778" s="2" t="s">
        <v>29</v>
      </c>
      <c r="G778" s="2" t="s">
        <v>135</v>
      </c>
      <c r="H778" s="2" t="s">
        <v>1724</v>
      </c>
      <c r="I778" s="2" t="s">
        <v>24</v>
      </c>
      <c r="J778" s="2">
        <v>8</v>
      </c>
    </row>
    <row r="779" spans="1:10" ht="14.25" customHeight="1" x14ac:dyDescent="0.3">
      <c r="A779" s="2">
        <v>778</v>
      </c>
      <c r="B779" s="2" t="s">
        <v>1725</v>
      </c>
      <c r="C779" s="2" t="s">
        <v>1717</v>
      </c>
      <c r="D779" s="2" t="s">
        <v>207</v>
      </c>
      <c r="E779" s="10">
        <v>44770</v>
      </c>
      <c r="F779" s="2" t="s">
        <v>30</v>
      </c>
      <c r="G779" s="2" t="s">
        <v>128</v>
      </c>
      <c r="H779" s="2" t="s">
        <v>1726</v>
      </c>
      <c r="I779" s="2" t="s">
        <v>25</v>
      </c>
      <c r="J779" s="2">
        <v>2</v>
      </c>
    </row>
    <row r="780" spans="1:10" ht="14.25" customHeight="1" x14ac:dyDescent="0.3">
      <c r="A780" s="2">
        <v>779</v>
      </c>
      <c r="B780" s="2" t="s">
        <v>1727</v>
      </c>
      <c r="C780" s="2" t="s">
        <v>1719</v>
      </c>
      <c r="D780" s="2" t="s">
        <v>210</v>
      </c>
      <c r="E780" s="10">
        <v>44764</v>
      </c>
      <c r="F780" s="2" t="s">
        <v>31</v>
      </c>
      <c r="G780" s="2" t="s">
        <v>128</v>
      </c>
      <c r="H780" s="2" t="s">
        <v>1728</v>
      </c>
      <c r="I780" s="2" t="s">
        <v>23</v>
      </c>
      <c r="J780" s="2">
        <v>9</v>
      </c>
    </row>
    <row r="781" spans="1:10" ht="14.25" customHeight="1" x14ac:dyDescent="0.3">
      <c r="A781" s="2">
        <v>780</v>
      </c>
      <c r="B781" s="2" t="s">
        <v>1729</v>
      </c>
      <c r="C781" s="2" t="s">
        <v>1721</v>
      </c>
      <c r="D781" s="2" t="s">
        <v>213</v>
      </c>
      <c r="E781" s="10">
        <v>44810</v>
      </c>
      <c r="F781" s="2" t="s">
        <v>29</v>
      </c>
      <c r="G781" s="2" t="s">
        <v>128</v>
      </c>
      <c r="H781" s="2" t="s">
        <v>1730</v>
      </c>
      <c r="I781" s="2" t="s">
        <v>24</v>
      </c>
      <c r="J781" s="2">
        <v>6</v>
      </c>
    </row>
    <row r="782" spans="1:10" ht="14.25" customHeight="1" x14ac:dyDescent="0.3">
      <c r="A782" s="2">
        <v>781</v>
      </c>
      <c r="B782" s="2" t="s">
        <v>1731</v>
      </c>
      <c r="C782" s="2" t="s">
        <v>1723</v>
      </c>
      <c r="D782" s="2" t="s">
        <v>216</v>
      </c>
      <c r="E782" s="10">
        <v>44793</v>
      </c>
      <c r="F782" s="2" t="s">
        <v>30</v>
      </c>
      <c r="G782" s="2" t="s">
        <v>128</v>
      </c>
      <c r="H782" s="2" t="s">
        <v>1732</v>
      </c>
      <c r="I782" s="2" t="s">
        <v>25</v>
      </c>
      <c r="J782" s="2">
        <v>7</v>
      </c>
    </row>
    <row r="783" spans="1:10" ht="14.25" customHeight="1" x14ac:dyDescent="0.3">
      <c r="A783" s="2">
        <v>782</v>
      </c>
      <c r="B783" s="2" t="s">
        <v>1733</v>
      </c>
      <c r="C783" s="2" t="s">
        <v>1725</v>
      </c>
      <c r="D783" s="2" t="s">
        <v>219</v>
      </c>
      <c r="E783" s="10">
        <v>44787</v>
      </c>
      <c r="F783" s="2" t="s">
        <v>31</v>
      </c>
      <c r="G783" s="2" t="s">
        <v>128</v>
      </c>
      <c r="H783" s="2" t="s">
        <v>1734</v>
      </c>
      <c r="I783" s="2" t="s">
        <v>23</v>
      </c>
      <c r="J783" s="2">
        <v>9</v>
      </c>
    </row>
    <row r="784" spans="1:10" ht="14.25" customHeight="1" x14ac:dyDescent="0.3">
      <c r="A784" s="2">
        <v>783</v>
      </c>
      <c r="B784" s="2" t="s">
        <v>1735</v>
      </c>
      <c r="C784" s="2" t="s">
        <v>1727</v>
      </c>
      <c r="D784" s="2" t="s">
        <v>167</v>
      </c>
      <c r="E784" s="10">
        <v>44774</v>
      </c>
      <c r="F784" s="2" t="s">
        <v>31</v>
      </c>
      <c r="G784" s="2" t="s">
        <v>135</v>
      </c>
      <c r="H784" s="2" t="s">
        <v>1736</v>
      </c>
      <c r="I784" s="2" t="s">
        <v>24</v>
      </c>
      <c r="J784" s="2">
        <v>2</v>
      </c>
    </row>
    <row r="785" spans="1:10" ht="14.25" customHeight="1" x14ac:dyDescent="0.3">
      <c r="A785" s="2">
        <v>784</v>
      </c>
      <c r="B785" s="2" t="s">
        <v>1737</v>
      </c>
      <c r="C785" s="2" t="s">
        <v>1729</v>
      </c>
      <c r="D785" s="2" t="s">
        <v>191</v>
      </c>
      <c r="E785" s="10">
        <v>44756</v>
      </c>
      <c r="F785" s="2" t="s">
        <v>30</v>
      </c>
      <c r="G785" s="2" t="s">
        <v>128</v>
      </c>
      <c r="H785" s="2" t="s">
        <v>1738</v>
      </c>
      <c r="I785" s="2" t="s">
        <v>25</v>
      </c>
      <c r="J785" s="2">
        <v>9</v>
      </c>
    </row>
    <row r="786" spans="1:10" ht="14.25" customHeight="1" x14ac:dyDescent="0.3">
      <c r="A786" s="2">
        <v>785</v>
      </c>
      <c r="B786" s="2" t="s">
        <v>1739</v>
      </c>
      <c r="C786" s="2" t="s">
        <v>1731</v>
      </c>
      <c r="D786" s="2" t="s">
        <v>207</v>
      </c>
      <c r="E786" s="10">
        <v>44810</v>
      </c>
      <c r="F786" s="2" t="s">
        <v>31</v>
      </c>
      <c r="G786" s="2" t="s">
        <v>128</v>
      </c>
      <c r="H786" s="2" t="s">
        <v>1740</v>
      </c>
      <c r="I786" s="2" t="s">
        <v>23</v>
      </c>
      <c r="J786" s="2">
        <v>10</v>
      </c>
    </row>
    <row r="787" spans="1:10" ht="14.25" customHeight="1" x14ac:dyDescent="0.3">
      <c r="A787" s="2">
        <v>786</v>
      </c>
      <c r="B787" s="2" t="s">
        <v>1741</v>
      </c>
      <c r="C787" s="2" t="s">
        <v>1733</v>
      </c>
      <c r="D787" s="2" t="s">
        <v>141</v>
      </c>
      <c r="E787" s="10">
        <v>44774</v>
      </c>
      <c r="F787" s="2" t="s">
        <v>29</v>
      </c>
      <c r="G787" s="2" t="s">
        <v>128</v>
      </c>
      <c r="H787" s="2" t="s">
        <v>1742</v>
      </c>
      <c r="I787" s="2" t="s">
        <v>24</v>
      </c>
      <c r="J787" s="2">
        <v>1</v>
      </c>
    </row>
    <row r="788" spans="1:10" ht="14.25" customHeight="1" x14ac:dyDescent="0.3">
      <c r="A788" s="2">
        <v>787</v>
      </c>
      <c r="B788" s="2" t="s">
        <v>1743</v>
      </c>
      <c r="C788" s="2" t="s">
        <v>1735</v>
      </c>
      <c r="D788" s="2" t="s">
        <v>172</v>
      </c>
      <c r="E788" s="10">
        <v>44804</v>
      </c>
      <c r="F788" s="2" t="s">
        <v>30</v>
      </c>
      <c r="G788" s="2" t="s">
        <v>128</v>
      </c>
      <c r="H788" s="2" t="s">
        <v>1744</v>
      </c>
      <c r="I788" s="2" t="s">
        <v>25</v>
      </c>
      <c r="J788" s="2">
        <v>1</v>
      </c>
    </row>
    <row r="789" spans="1:10" ht="14.25" customHeight="1" x14ac:dyDescent="0.3">
      <c r="A789" s="2">
        <v>788</v>
      </c>
      <c r="B789" s="2" t="s">
        <v>1745</v>
      </c>
      <c r="C789" s="2" t="s">
        <v>1737</v>
      </c>
      <c r="D789" s="2" t="s">
        <v>213</v>
      </c>
      <c r="E789" s="10">
        <v>44803</v>
      </c>
      <c r="F789" s="2" t="s">
        <v>31</v>
      </c>
      <c r="G789" s="2" t="s">
        <v>128</v>
      </c>
      <c r="H789" s="2" t="s">
        <v>1746</v>
      </c>
      <c r="I789" s="2" t="s">
        <v>23</v>
      </c>
      <c r="J789" s="2">
        <v>10</v>
      </c>
    </row>
    <row r="790" spans="1:10" ht="14.25" customHeight="1" x14ac:dyDescent="0.3">
      <c r="A790" s="2">
        <v>789</v>
      </c>
      <c r="B790" s="2" t="s">
        <v>1747</v>
      </c>
      <c r="C790" s="2" t="s">
        <v>1739</v>
      </c>
      <c r="D790" s="2" t="s">
        <v>216</v>
      </c>
      <c r="E790" s="10">
        <v>44808</v>
      </c>
      <c r="F790" s="2" t="s">
        <v>31</v>
      </c>
      <c r="G790" s="2" t="s">
        <v>135</v>
      </c>
      <c r="H790" s="2" t="s">
        <v>1748</v>
      </c>
      <c r="I790" s="2" t="s">
        <v>24</v>
      </c>
      <c r="J790" s="2">
        <v>4</v>
      </c>
    </row>
    <row r="791" spans="1:10" ht="14.25" customHeight="1" x14ac:dyDescent="0.3">
      <c r="A791" s="2">
        <v>790</v>
      </c>
      <c r="B791" s="2" t="s">
        <v>1749</v>
      </c>
      <c r="C791" s="2" t="s">
        <v>1741</v>
      </c>
      <c r="D791" s="2" t="s">
        <v>238</v>
      </c>
      <c r="E791" s="10">
        <v>44786</v>
      </c>
      <c r="F791" s="2" t="s">
        <v>30</v>
      </c>
      <c r="G791" s="2" t="s">
        <v>128</v>
      </c>
      <c r="H791" s="2" t="s">
        <v>1750</v>
      </c>
      <c r="I791" s="2" t="s">
        <v>25</v>
      </c>
      <c r="J791" s="2">
        <v>7</v>
      </c>
    </row>
    <row r="792" spans="1:10" ht="14.25" customHeight="1" x14ac:dyDescent="0.3">
      <c r="A792" s="2">
        <v>791</v>
      </c>
      <c r="B792" s="2" t="s">
        <v>1751</v>
      </c>
      <c r="C792" s="2" t="s">
        <v>1743</v>
      </c>
      <c r="D792" s="2" t="s">
        <v>158</v>
      </c>
      <c r="E792" s="10">
        <v>44788</v>
      </c>
      <c r="F792" s="2" t="s">
        <v>31</v>
      </c>
      <c r="G792" s="2" t="s">
        <v>128</v>
      </c>
      <c r="H792" s="2" t="s">
        <v>1752</v>
      </c>
      <c r="I792" s="2" t="s">
        <v>23</v>
      </c>
      <c r="J792" s="2">
        <v>3</v>
      </c>
    </row>
    <row r="793" spans="1:10" ht="14.25" customHeight="1" x14ac:dyDescent="0.3">
      <c r="A793" s="2">
        <v>792</v>
      </c>
      <c r="B793" s="2" t="s">
        <v>1753</v>
      </c>
      <c r="C793" s="2" t="s">
        <v>1745</v>
      </c>
      <c r="D793" s="2" t="s">
        <v>243</v>
      </c>
      <c r="E793" s="10">
        <v>44772</v>
      </c>
      <c r="F793" s="2" t="s">
        <v>29</v>
      </c>
      <c r="G793" s="2" t="s">
        <v>128</v>
      </c>
      <c r="H793" s="2" t="s">
        <v>1754</v>
      </c>
      <c r="I793" s="2" t="s">
        <v>24</v>
      </c>
      <c r="J793" s="2">
        <v>6</v>
      </c>
    </row>
    <row r="794" spans="1:10" ht="14.25" customHeight="1" x14ac:dyDescent="0.3">
      <c r="A794" s="2">
        <v>793</v>
      </c>
      <c r="B794" s="2" t="s">
        <v>1755</v>
      </c>
      <c r="C794" s="2" t="s">
        <v>1747</v>
      </c>
      <c r="D794" s="2" t="s">
        <v>246</v>
      </c>
      <c r="E794" s="10">
        <v>44756</v>
      </c>
      <c r="F794" s="2" t="s">
        <v>30</v>
      </c>
      <c r="G794" s="2" t="s">
        <v>128</v>
      </c>
      <c r="H794" s="2" t="s">
        <v>1756</v>
      </c>
      <c r="I794" s="2" t="s">
        <v>25</v>
      </c>
      <c r="J794" s="2">
        <v>6</v>
      </c>
    </row>
    <row r="795" spans="1:10" ht="14.25" customHeight="1" x14ac:dyDescent="0.3">
      <c r="A795" s="2">
        <v>794</v>
      </c>
      <c r="B795" s="2" t="s">
        <v>1757</v>
      </c>
      <c r="C795" s="2" t="s">
        <v>1749</v>
      </c>
      <c r="D795" s="2" t="s">
        <v>249</v>
      </c>
      <c r="E795" s="10">
        <v>44808</v>
      </c>
      <c r="F795" s="2" t="s">
        <v>31</v>
      </c>
      <c r="G795" s="2" t="s">
        <v>128</v>
      </c>
      <c r="H795" s="2" t="s">
        <v>1758</v>
      </c>
      <c r="I795" s="2" t="s">
        <v>23</v>
      </c>
      <c r="J795" s="2">
        <v>5</v>
      </c>
    </row>
    <row r="796" spans="1:10" ht="14.25" customHeight="1" x14ac:dyDescent="0.3">
      <c r="E796" s="10"/>
    </row>
    <row r="797" spans="1:10" ht="14.25" customHeight="1" x14ac:dyDescent="0.3">
      <c r="E797" s="10"/>
    </row>
    <row r="798" spans="1:10" ht="14.25" customHeight="1" x14ac:dyDescent="0.3">
      <c r="E798" s="10"/>
    </row>
    <row r="799" spans="1:10" ht="14.25" customHeight="1" x14ac:dyDescent="0.3">
      <c r="E799" s="10"/>
    </row>
    <row r="800" spans="1:10" ht="14.25" customHeight="1" x14ac:dyDescent="0.3">
      <c r="E800" s="10"/>
    </row>
    <row r="801" spans="5:5" ht="14.25" customHeight="1" x14ac:dyDescent="0.3">
      <c r="E801" s="10"/>
    </row>
    <row r="802" spans="5:5" ht="14.25" customHeight="1" x14ac:dyDescent="0.3">
      <c r="E802" s="10"/>
    </row>
    <row r="803" spans="5:5" ht="14.25" customHeight="1" x14ac:dyDescent="0.3">
      <c r="E803" s="10"/>
    </row>
    <row r="804" spans="5:5" ht="14.25" customHeight="1" x14ac:dyDescent="0.3">
      <c r="E804" s="10"/>
    </row>
    <row r="805" spans="5:5" ht="14.25" customHeight="1" x14ac:dyDescent="0.3">
      <c r="E805" s="10"/>
    </row>
    <row r="806" spans="5:5" ht="14.25" customHeight="1" x14ac:dyDescent="0.3">
      <c r="E806" s="10"/>
    </row>
    <row r="807" spans="5:5" ht="14.25" customHeight="1" x14ac:dyDescent="0.3">
      <c r="E807" s="10"/>
    </row>
    <row r="808" spans="5:5" ht="14.25" customHeight="1" x14ac:dyDescent="0.3">
      <c r="E808" s="10"/>
    </row>
    <row r="809" spans="5:5" ht="14.25" customHeight="1" x14ac:dyDescent="0.3">
      <c r="E809" s="10"/>
    </row>
    <row r="810" spans="5:5" ht="14.25" customHeight="1" x14ac:dyDescent="0.3">
      <c r="E810" s="10"/>
    </row>
    <row r="811" spans="5:5" ht="14.25" customHeight="1" x14ac:dyDescent="0.3">
      <c r="E811" s="10"/>
    </row>
    <row r="812" spans="5:5" ht="14.25" customHeight="1" x14ac:dyDescent="0.3">
      <c r="E812" s="10"/>
    </row>
    <row r="813" spans="5:5" ht="14.25" customHeight="1" x14ac:dyDescent="0.3">
      <c r="E813" s="10"/>
    </row>
    <row r="814" spans="5:5" ht="14.25" customHeight="1" x14ac:dyDescent="0.3">
      <c r="E814" s="10"/>
    </row>
    <row r="815" spans="5:5" ht="14.25" customHeight="1" x14ac:dyDescent="0.3">
      <c r="E815" s="10"/>
    </row>
    <row r="816" spans="5:5" ht="14.25" customHeight="1" x14ac:dyDescent="0.3">
      <c r="E816" s="10"/>
    </row>
    <row r="817" spans="5:5" ht="14.25" customHeight="1" x14ac:dyDescent="0.3">
      <c r="E817" s="10"/>
    </row>
    <row r="818" spans="5:5" ht="14.25" customHeight="1" x14ac:dyDescent="0.3">
      <c r="E818" s="10"/>
    </row>
    <row r="819" spans="5:5" ht="14.25" customHeight="1" x14ac:dyDescent="0.3">
      <c r="E819" s="10"/>
    </row>
    <row r="820" spans="5:5" ht="14.25" customHeight="1" x14ac:dyDescent="0.3">
      <c r="E820" s="10"/>
    </row>
    <row r="821" spans="5:5" ht="14.25" customHeight="1" x14ac:dyDescent="0.3">
      <c r="E821" s="10"/>
    </row>
    <row r="822" spans="5:5" ht="14.25" customHeight="1" x14ac:dyDescent="0.3">
      <c r="E822" s="10"/>
    </row>
    <row r="823" spans="5:5" ht="14.25" customHeight="1" x14ac:dyDescent="0.3">
      <c r="E823" s="10"/>
    </row>
    <row r="824" spans="5:5" ht="14.25" customHeight="1" x14ac:dyDescent="0.3">
      <c r="E824" s="10"/>
    </row>
    <row r="825" spans="5:5" ht="14.25" customHeight="1" x14ac:dyDescent="0.3">
      <c r="E825" s="10"/>
    </row>
    <row r="826" spans="5:5" ht="14.25" customHeight="1" x14ac:dyDescent="0.3">
      <c r="E826" s="10"/>
    </row>
    <row r="827" spans="5:5" ht="14.25" customHeight="1" x14ac:dyDescent="0.3">
      <c r="E827" s="10"/>
    </row>
    <row r="828" spans="5:5" ht="14.25" customHeight="1" x14ac:dyDescent="0.3">
      <c r="E828" s="10"/>
    </row>
    <row r="829" spans="5:5" ht="14.25" customHeight="1" x14ac:dyDescent="0.3">
      <c r="E829" s="10"/>
    </row>
    <row r="830" spans="5:5" ht="14.25" customHeight="1" x14ac:dyDescent="0.3">
      <c r="E830" s="10"/>
    </row>
    <row r="831" spans="5:5" ht="14.25" customHeight="1" x14ac:dyDescent="0.3">
      <c r="E831" s="10"/>
    </row>
    <row r="832" spans="5:5" ht="14.25" customHeight="1" x14ac:dyDescent="0.3">
      <c r="E832" s="10"/>
    </row>
    <row r="833" spans="5:5" ht="14.25" customHeight="1" x14ac:dyDescent="0.3">
      <c r="E833" s="10"/>
    </row>
    <row r="834" spans="5:5" ht="14.25" customHeight="1" x14ac:dyDescent="0.3">
      <c r="E834" s="10"/>
    </row>
    <row r="835" spans="5:5" ht="14.25" customHeight="1" x14ac:dyDescent="0.3">
      <c r="E835" s="10"/>
    </row>
    <row r="836" spans="5:5" ht="14.25" customHeight="1" x14ac:dyDescent="0.3">
      <c r="E836" s="10"/>
    </row>
    <row r="837" spans="5:5" ht="14.25" customHeight="1" x14ac:dyDescent="0.3">
      <c r="E837" s="10"/>
    </row>
    <row r="838" spans="5:5" ht="14.25" customHeight="1" x14ac:dyDescent="0.3">
      <c r="E838" s="10"/>
    </row>
    <row r="839" spans="5:5" ht="14.25" customHeight="1" x14ac:dyDescent="0.3">
      <c r="E839" s="10"/>
    </row>
    <row r="840" spans="5:5" ht="14.25" customHeight="1" x14ac:dyDescent="0.3">
      <c r="E840" s="10"/>
    </row>
    <row r="841" spans="5:5" ht="14.25" customHeight="1" x14ac:dyDescent="0.3">
      <c r="E841" s="10"/>
    </row>
    <row r="842" spans="5:5" ht="14.25" customHeight="1" x14ac:dyDescent="0.3">
      <c r="E842" s="10"/>
    </row>
    <row r="843" spans="5:5" ht="14.25" customHeight="1" x14ac:dyDescent="0.3">
      <c r="E843" s="10"/>
    </row>
    <row r="844" spans="5:5" ht="14.25" customHeight="1" x14ac:dyDescent="0.3">
      <c r="E844" s="10"/>
    </row>
    <row r="845" spans="5:5" ht="14.25" customHeight="1" x14ac:dyDescent="0.3">
      <c r="E845" s="10"/>
    </row>
    <row r="846" spans="5:5" ht="14.25" customHeight="1" x14ac:dyDescent="0.3">
      <c r="E846" s="10"/>
    </row>
    <row r="847" spans="5:5" ht="14.25" customHeight="1" x14ac:dyDescent="0.3">
      <c r="E847" s="10"/>
    </row>
    <row r="848" spans="5:5" ht="14.25" customHeight="1" x14ac:dyDescent="0.3">
      <c r="E848" s="10"/>
    </row>
    <row r="849" spans="5:5" ht="14.25" customHeight="1" x14ac:dyDescent="0.3">
      <c r="E849" s="10"/>
    </row>
    <row r="850" spans="5:5" ht="14.25" customHeight="1" x14ac:dyDescent="0.3">
      <c r="E850" s="10"/>
    </row>
    <row r="851" spans="5:5" ht="14.25" customHeight="1" x14ac:dyDescent="0.3">
      <c r="E851" s="10"/>
    </row>
    <row r="852" spans="5:5" ht="14.25" customHeight="1" x14ac:dyDescent="0.3">
      <c r="E852" s="10"/>
    </row>
    <row r="853" spans="5:5" ht="14.25" customHeight="1" x14ac:dyDescent="0.3">
      <c r="E853" s="10"/>
    </row>
    <row r="854" spans="5:5" ht="14.25" customHeight="1" x14ac:dyDescent="0.3">
      <c r="E854" s="10"/>
    </row>
    <row r="855" spans="5:5" ht="14.25" customHeight="1" x14ac:dyDescent="0.3">
      <c r="E855" s="10"/>
    </row>
    <row r="856" spans="5:5" ht="14.25" customHeight="1" x14ac:dyDescent="0.3">
      <c r="E856" s="10"/>
    </row>
    <row r="857" spans="5:5" ht="14.25" customHeight="1" x14ac:dyDescent="0.3">
      <c r="E857" s="10"/>
    </row>
    <row r="858" spans="5:5" ht="14.25" customHeight="1" x14ac:dyDescent="0.3">
      <c r="E858" s="10"/>
    </row>
    <row r="859" spans="5:5" ht="14.25" customHeight="1" x14ac:dyDescent="0.3">
      <c r="E859" s="10"/>
    </row>
    <row r="860" spans="5:5" ht="14.25" customHeight="1" x14ac:dyDescent="0.3">
      <c r="E860" s="10"/>
    </row>
    <row r="861" spans="5:5" ht="14.25" customHeight="1" x14ac:dyDescent="0.3">
      <c r="E861" s="10"/>
    </row>
    <row r="862" spans="5:5" ht="14.25" customHeight="1" x14ac:dyDescent="0.3">
      <c r="E862" s="10"/>
    </row>
    <row r="863" spans="5:5" ht="14.25" customHeight="1" x14ac:dyDescent="0.3">
      <c r="E863" s="10"/>
    </row>
    <row r="864" spans="5:5" ht="14.25" customHeight="1" x14ac:dyDescent="0.3">
      <c r="E864" s="10"/>
    </row>
    <row r="865" spans="5:5" ht="14.25" customHeight="1" x14ac:dyDescent="0.3">
      <c r="E865" s="10"/>
    </row>
    <row r="866" spans="5:5" ht="14.25" customHeight="1" x14ac:dyDescent="0.3">
      <c r="E866" s="10"/>
    </row>
    <row r="867" spans="5:5" ht="14.25" customHeight="1" x14ac:dyDescent="0.3">
      <c r="E867" s="10"/>
    </row>
    <row r="868" spans="5:5" ht="14.25" customHeight="1" x14ac:dyDescent="0.3">
      <c r="E868" s="10"/>
    </row>
    <row r="869" spans="5:5" ht="14.25" customHeight="1" x14ac:dyDescent="0.3">
      <c r="E869" s="10"/>
    </row>
    <row r="870" spans="5:5" ht="14.25" customHeight="1" x14ac:dyDescent="0.3">
      <c r="E870" s="10"/>
    </row>
    <row r="871" spans="5:5" ht="14.25" customHeight="1" x14ac:dyDescent="0.3">
      <c r="E871" s="10"/>
    </row>
    <row r="872" spans="5:5" ht="14.25" customHeight="1" x14ac:dyDescent="0.3">
      <c r="E872" s="10"/>
    </row>
    <row r="873" spans="5:5" ht="14.25" customHeight="1" x14ac:dyDescent="0.3">
      <c r="E873" s="10"/>
    </row>
    <row r="874" spans="5:5" ht="14.25" customHeight="1" x14ac:dyDescent="0.3">
      <c r="E874" s="10"/>
    </row>
    <row r="875" spans="5:5" ht="14.25" customHeight="1" x14ac:dyDescent="0.3">
      <c r="E875" s="10"/>
    </row>
    <row r="876" spans="5:5" ht="14.25" customHeight="1" x14ac:dyDescent="0.3">
      <c r="E876" s="10"/>
    </row>
    <row r="877" spans="5:5" ht="14.25" customHeight="1" x14ac:dyDescent="0.3">
      <c r="E877" s="10"/>
    </row>
    <row r="878" spans="5:5" ht="14.25" customHeight="1" x14ac:dyDescent="0.3">
      <c r="E878" s="10"/>
    </row>
    <row r="879" spans="5:5" ht="14.25" customHeight="1" x14ac:dyDescent="0.3">
      <c r="E879" s="10"/>
    </row>
    <row r="880" spans="5:5" ht="14.25" customHeight="1" x14ac:dyDescent="0.3">
      <c r="E880" s="10"/>
    </row>
    <row r="881" spans="5:5" ht="14.25" customHeight="1" x14ac:dyDescent="0.3">
      <c r="E881" s="10"/>
    </row>
    <row r="882" spans="5:5" ht="14.25" customHeight="1" x14ac:dyDescent="0.3">
      <c r="E882" s="10"/>
    </row>
    <row r="883" spans="5:5" ht="14.25" customHeight="1" x14ac:dyDescent="0.3">
      <c r="E883" s="10"/>
    </row>
    <row r="884" spans="5:5" ht="14.25" customHeight="1" x14ac:dyDescent="0.3">
      <c r="E884" s="10"/>
    </row>
    <row r="885" spans="5:5" ht="14.25" customHeight="1" x14ac:dyDescent="0.3">
      <c r="E885" s="10"/>
    </row>
    <row r="886" spans="5:5" ht="14.25" customHeight="1" x14ac:dyDescent="0.3">
      <c r="E886" s="10"/>
    </row>
    <row r="887" spans="5:5" ht="14.25" customHeight="1" x14ac:dyDescent="0.3">
      <c r="E887" s="10"/>
    </row>
    <row r="888" spans="5:5" ht="14.25" customHeight="1" x14ac:dyDescent="0.3">
      <c r="E888" s="10"/>
    </row>
    <row r="889" spans="5:5" ht="14.25" customHeight="1" x14ac:dyDescent="0.3">
      <c r="E889" s="10"/>
    </row>
    <row r="890" spans="5:5" ht="14.25" customHeight="1" x14ac:dyDescent="0.3">
      <c r="E890" s="10"/>
    </row>
    <row r="891" spans="5:5" ht="14.25" customHeight="1" x14ac:dyDescent="0.3">
      <c r="E891" s="10"/>
    </row>
    <row r="892" spans="5:5" ht="14.25" customHeight="1" x14ac:dyDescent="0.3">
      <c r="E892" s="10"/>
    </row>
    <row r="893" spans="5:5" ht="14.25" customHeight="1" x14ac:dyDescent="0.3">
      <c r="E893" s="10"/>
    </row>
    <row r="894" spans="5:5" ht="14.25" customHeight="1" x14ac:dyDescent="0.3">
      <c r="E894" s="10"/>
    </row>
    <row r="895" spans="5:5" ht="14.25" customHeight="1" x14ac:dyDescent="0.3">
      <c r="E895" s="10"/>
    </row>
    <row r="896" spans="5:5" ht="14.25" customHeight="1" x14ac:dyDescent="0.3">
      <c r="E896" s="10"/>
    </row>
    <row r="897" spans="5:5" ht="14.25" customHeight="1" x14ac:dyDescent="0.3">
      <c r="E897" s="10"/>
    </row>
    <row r="898" spans="5:5" ht="14.25" customHeight="1" x14ac:dyDescent="0.3">
      <c r="E898" s="10"/>
    </row>
    <row r="899" spans="5:5" ht="14.25" customHeight="1" x14ac:dyDescent="0.3">
      <c r="E899" s="10"/>
    </row>
    <row r="900" spans="5:5" ht="14.25" customHeight="1" x14ac:dyDescent="0.3">
      <c r="E900" s="10"/>
    </row>
    <row r="901" spans="5:5" ht="14.25" customHeight="1" x14ac:dyDescent="0.3">
      <c r="E901" s="10"/>
    </row>
    <row r="902" spans="5:5" ht="14.25" customHeight="1" x14ac:dyDescent="0.3">
      <c r="E902" s="10"/>
    </row>
    <row r="903" spans="5:5" ht="14.25" customHeight="1" x14ac:dyDescent="0.3">
      <c r="E903" s="10"/>
    </row>
    <row r="904" spans="5:5" ht="14.25" customHeight="1" x14ac:dyDescent="0.3">
      <c r="E904" s="10"/>
    </row>
    <row r="905" spans="5:5" ht="14.25" customHeight="1" x14ac:dyDescent="0.3">
      <c r="E905" s="10"/>
    </row>
    <row r="906" spans="5:5" ht="14.25" customHeight="1" x14ac:dyDescent="0.3">
      <c r="E906" s="10"/>
    </row>
    <row r="907" spans="5:5" ht="14.25" customHeight="1" x14ac:dyDescent="0.3">
      <c r="E907" s="10"/>
    </row>
    <row r="908" spans="5:5" ht="14.25" customHeight="1" x14ac:dyDescent="0.3">
      <c r="E908" s="10"/>
    </row>
    <row r="909" spans="5:5" ht="14.25" customHeight="1" x14ac:dyDescent="0.3">
      <c r="E909" s="10"/>
    </row>
    <row r="910" spans="5:5" ht="14.25" customHeight="1" x14ac:dyDescent="0.3">
      <c r="E910" s="10"/>
    </row>
    <row r="911" spans="5:5" ht="14.25" customHeight="1" x14ac:dyDescent="0.3">
      <c r="E911" s="10"/>
    </row>
    <row r="912" spans="5:5" ht="14.25" customHeight="1" x14ac:dyDescent="0.3">
      <c r="E912" s="10"/>
    </row>
    <row r="913" spans="5:5" ht="14.25" customHeight="1" x14ac:dyDescent="0.3">
      <c r="E913" s="10"/>
    </row>
    <row r="914" spans="5:5" ht="14.25" customHeight="1" x14ac:dyDescent="0.3">
      <c r="E914" s="10"/>
    </row>
    <row r="915" spans="5:5" ht="14.25" customHeight="1" x14ac:dyDescent="0.3">
      <c r="E915" s="10"/>
    </row>
    <row r="916" spans="5:5" ht="14.25" customHeight="1" x14ac:dyDescent="0.3">
      <c r="E916" s="10"/>
    </row>
    <row r="917" spans="5:5" ht="14.25" customHeight="1" x14ac:dyDescent="0.3">
      <c r="E917" s="10"/>
    </row>
    <row r="918" spans="5:5" ht="14.25" customHeight="1" x14ac:dyDescent="0.3">
      <c r="E918" s="10"/>
    </row>
    <row r="919" spans="5:5" ht="14.25" customHeight="1" x14ac:dyDescent="0.3">
      <c r="E919" s="10"/>
    </row>
    <row r="920" spans="5:5" ht="14.25" customHeight="1" x14ac:dyDescent="0.3">
      <c r="E920" s="10"/>
    </row>
    <row r="921" spans="5:5" ht="14.25" customHeight="1" x14ac:dyDescent="0.3">
      <c r="E921" s="10"/>
    </row>
    <row r="922" spans="5:5" ht="14.25" customHeight="1" x14ac:dyDescent="0.3">
      <c r="E922" s="10"/>
    </row>
    <row r="923" spans="5:5" ht="14.25" customHeight="1" x14ac:dyDescent="0.3">
      <c r="E923" s="10"/>
    </row>
    <row r="924" spans="5:5" ht="14.25" customHeight="1" x14ac:dyDescent="0.3">
      <c r="E924" s="10"/>
    </row>
    <row r="925" spans="5:5" ht="14.25" customHeight="1" x14ac:dyDescent="0.3">
      <c r="E925" s="10"/>
    </row>
    <row r="926" spans="5:5" ht="14.25" customHeight="1" x14ac:dyDescent="0.3">
      <c r="E926" s="10"/>
    </row>
    <row r="927" spans="5:5" ht="14.25" customHeight="1" x14ac:dyDescent="0.3">
      <c r="E927" s="10"/>
    </row>
    <row r="928" spans="5:5" ht="14.25" customHeight="1" x14ac:dyDescent="0.3">
      <c r="E928" s="10"/>
    </row>
    <row r="929" spans="5:5" ht="14.25" customHeight="1" x14ac:dyDescent="0.3">
      <c r="E929" s="10"/>
    </row>
    <row r="930" spans="5:5" ht="14.25" customHeight="1" x14ac:dyDescent="0.3">
      <c r="E930" s="10"/>
    </row>
    <row r="931" spans="5:5" ht="14.25" customHeight="1" x14ac:dyDescent="0.3">
      <c r="E931" s="10"/>
    </row>
    <row r="932" spans="5:5" ht="14.25" customHeight="1" x14ac:dyDescent="0.3">
      <c r="E932" s="10"/>
    </row>
    <row r="933" spans="5:5" ht="14.25" customHeight="1" x14ac:dyDescent="0.3">
      <c r="E933" s="10"/>
    </row>
    <row r="934" spans="5:5" ht="14.25" customHeight="1" x14ac:dyDescent="0.3">
      <c r="E934" s="10"/>
    </row>
    <row r="935" spans="5:5" ht="14.25" customHeight="1" x14ac:dyDescent="0.3">
      <c r="E935" s="10"/>
    </row>
    <row r="936" spans="5:5" ht="14.25" customHeight="1" x14ac:dyDescent="0.3">
      <c r="E936" s="10"/>
    </row>
    <row r="937" spans="5:5" ht="14.25" customHeight="1" x14ac:dyDescent="0.3">
      <c r="E937" s="10"/>
    </row>
    <row r="938" spans="5:5" ht="14.25" customHeight="1" x14ac:dyDescent="0.3">
      <c r="E938" s="10"/>
    </row>
    <row r="939" spans="5:5" ht="14.25" customHeight="1" x14ac:dyDescent="0.3">
      <c r="E939" s="10"/>
    </row>
    <row r="940" spans="5:5" ht="14.25" customHeight="1" x14ac:dyDescent="0.3">
      <c r="E940" s="10"/>
    </row>
    <row r="941" spans="5:5" ht="14.25" customHeight="1" x14ac:dyDescent="0.3">
      <c r="E941" s="10"/>
    </row>
    <row r="942" spans="5:5" ht="14.25" customHeight="1" x14ac:dyDescent="0.3">
      <c r="E942" s="10"/>
    </row>
    <row r="943" spans="5:5" ht="14.25" customHeight="1" x14ac:dyDescent="0.3">
      <c r="E943" s="10"/>
    </row>
    <row r="944" spans="5:5" ht="14.25" customHeight="1" x14ac:dyDescent="0.3">
      <c r="E944" s="10"/>
    </row>
    <row r="945" spans="5:5" ht="14.25" customHeight="1" x14ac:dyDescent="0.3">
      <c r="E945" s="10"/>
    </row>
    <row r="946" spans="5:5" ht="14.25" customHeight="1" x14ac:dyDescent="0.3">
      <c r="E946" s="10"/>
    </row>
    <row r="947" spans="5:5" ht="14.25" customHeight="1" x14ac:dyDescent="0.3">
      <c r="E947" s="10"/>
    </row>
    <row r="948" spans="5:5" ht="14.25" customHeight="1" x14ac:dyDescent="0.3">
      <c r="E948" s="10"/>
    </row>
    <row r="949" spans="5:5" ht="14.25" customHeight="1" x14ac:dyDescent="0.3">
      <c r="E949" s="10"/>
    </row>
    <row r="950" spans="5:5" ht="14.25" customHeight="1" x14ac:dyDescent="0.3">
      <c r="E950" s="10"/>
    </row>
    <row r="951" spans="5:5" ht="14.25" customHeight="1" x14ac:dyDescent="0.3">
      <c r="E951" s="10"/>
    </row>
    <row r="952" spans="5:5" ht="14.25" customHeight="1" x14ac:dyDescent="0.3">
      <c r="E952" s="10"/>
    </row>
    <row r="953" spans="5:5" ht="14.25" customHeight="1" x14ac:dyDescent="0.3">
      <c r="E953" s="10"/>
    </row>
    <row r="954" spans="5:5" ht="14.25" customHeight="1" x14ac:dyDescent="0.3">
      <c r="E954" s="10"/>
    </row>
    <row r="955" spans="5:5" ht="14.25" customHeight="1" x14ac:dyDescent="0.3">
      <c r="E955" s="10"/>
    </row>
    <row r="956" spans="5:5" ht="14.25" customHeight="1" x14ac:dyDescent="0.3">
      <c r="E956" s="10"/>
    </row>
    <row r="957" spans="5:5" ht="14.25" customHeight="1" x14ac:dyDescent="0.3">
      <c r="E957" s="10"/>
    </row>
    <row r="958" spans="5:5" ht="14.25" customHeight="1" x14ac:dyDescent="0.3">
      <c r="E958" s="10"/>
    </row>
    <row r="959" spans="5:5" ht="14.25" customHeight="1" x14ac:dyDescent="0.3">
      <c r="E959" s="10"/>
    </row>
    <row r="960" spans="5:5" ht="14.25" customHeight="1" x14ac:dyDescent="0.3">
      <c r="E960" s="10"/>
    </row>
    <row r="961" spans="5:5" ht="14.25" customHeight="1" x14ac:dyDescent="0.3">
      <c r="E961" s="10"/>
    </row>
    <row r="962" spans="5:5" ht="14.25" customHeight="1" x14ac:dyDescent="0.3">
      <c r="E962" s="10"/>
    </row>
    <row r="963" spans="5:5" ht="14.25" customHeight="1" x14ac:dyDescent="0.3">
      <c r="E963" s="10"/>
    </row>
    <row r="964" spans="5:5" ht="14.25" customHeight="1" x14ac:dyDescent="0.3">
      <c r="E964" s="10"/>
    </row>
    <row r="965" spans="5:5" ht="14.25" customHeight="1" x14ac:dyDescent="0.3">
      <c r="E965" s="10"/>
    </row>
    <row r="966" spans="5:5" ht="14.25" customHeight="1" x14ac:dyDescent="0.3">
      <c r="E966" s="10"/>
    </row>
    <row r="967" spans="5:5" ht="14.25" customHeight="1" x14ac:dyDescent="0.3">
      <c r="E967" s="10"/>
    </row>
    <row r="968" spans="5:5" ht="14.25" customHeight="1" x14ac:dyDescent="0.3">
      <c r="E968" s="10"/>
    </row>
    <row r="969" spans="5:5" ht="14.25" customHeight="1" x14ac:dyDescent="0.3">
      <c r="E969" s="10"/>
    </row>
    <row r="970" spans="5:5" ht="14.25" customHeight="1" x14ac:dyDescent="0.3">
      <c r="E970" s="10"/>
    </row>
    <row r="971" spans="5:5" ht="14.25" customHeight="1" x14ac:dyDescent="0.3">
      <c r="E971" s="10"/>
    </row>
    <row r="972" spans="5:5" ht="14.25" customHeight="1" x14ac:dyDescent="0.3">
      <c r="E972" s="10"/>
    </row>
    <row r="973" spans="5:5" ht="14.25" customHeight="1" x14ac:dyDescent="0.3">
      <c r="E973" s="10"/>
    </row>
    <row r="974" spans="5:5" ht="14.25" customHeight="1" x14ac:dyDescent="0.3">
      <c r="E974" s="10"/>
    </row>
    <row r="975" spans="5:5" ht="14.25" customHeight="1" x14ac:dyDescent="0.3">
      <c r="E975" s="10"/>
    </row>
    <row r="976" spans="5:5" ht="14.25" customHeight="1" x14ac:dyDescent="0.3">
      <c r="E976" s="10"/>
    </row>
    <row r="977" spans="5:5" ht="14.25" customHeight="1" x14ac:dyDescent="0.3">
      <c r="E977" s="10"/>
    </row>
    <row r="978" spans="5:5" ht="14.25" customHeight="1" x14ac:dyDescent="0.3">
      <c r="E978" s="10"/>
    </row>
    <row r="979" spans="5:5" ht="14.25" customHeight="1" x14ac:dyDescent="0.3">
      <c r="E979" s="10"/>
    </row>
    <row r="980" spans="5:5" ht="14.25" customHeight="1" x14ac:dyDescent="0.3">
      <c r="E980" s="10"/>
    </row>
    <row r="981" spans="5:5" ht="14.25" customHeight="1" x14ac:dyDescent="0.3">
      <c r="E981" s="10"/>
    </row>
    <row r="982" spans="5:5" ht="14.25" customHeight="1" x14ac:dyDescent="0.3">
      <c r="E982" s="10"/>
    </row>
    <row r="983" spans="5:5" ht="14.25" customHeight="1" x14ac:dyDescent="0.3">
      <c r="E983" s="10"/>
    </row>
    <row r="984" spans="5:5" ht="14.25" customHeight="1" x14ac:dyDescent="0.3">
      <c r="E984" s="10"/>
    </row>
    <row r="985" spans="5:5" ht="14.25" customHeight="1" x14ac:dyDescent="0.3">
      <c r="E985" s="10"/>
    </row>
    <row r="986" spans="5:5" ht="14.25" customHeight="1" x14ac:dyDescent="0.3">
      <c r="E986" s="10"/>
    </row>
    <row r="987" spans="5:5" ht="14.25" customHeight="1" x14ac:dyDescent="0.3">
      <c r="E987" s="10"/>
    </row>
    <row r="988" spans="5:5" ht="14.25" customHeight="1" x14ac:dyDescent="0.3">
      <c r="E988" s="10"/>
    </row>
    <row r="989" spans="5:5" ht="14.25" customHeight="1" x14ac:dyDescent="0.3">
      <c r="E989" s="10"/>
    </row>
    <row r="990" spans="5:5" ht="14.25" customHeight="1" x14ac:dyDescent="0.3">
      <c r="E990" s="10"/>
    </row>
    <row r="991" spans="5:5" ht="14.25" customHeight="1" x14ac:dyDescent="0.3">
      <c r="E991" s="10"/>
    </row>
    <row r="992" spans="5:5" ht="14.25" customHeight="1" x14ac:dyDescent="0.3">
      <c r="E992" s="10"/>
    </row>
    <row r="993" spans="5:5" ht="14.25" customHeight="1" x14ac:dyDescent="0.3">
      <c r="E993" s="10"/>
    </row>
    <row r="994" spans="5:5" ht="14.25" customHeight="1" x14ac:dyDescent="0.3">
      <c r="E994" s="10"/>
    </row>
    <row r="995" spans="5:5" ht="14.25" customHeight="1" x14ac:dyDescent="0.3">
      <c r="E995" s="10"/>
    </row>
    <row r="996" spans="5:5" ht="14.25" customHeight="1" x14ac:dyDescent="0.3">
      <c r="E996" s="10"/>
    </row>
    <row r="997" spans="5:5" ht="14.25" customHeight="1" x14ac:dyDescent="0.3">
      <c r="E997" s="10"/>
    </row>
    <row r="998" spans="5:5" ht="14.25" customHeight="1" x14ac:dyDescent="0.3">
      <c r="E998" s="10"/>
    </row>
    <row r="999" spans="5:5" ht="14.25" customHeight="1" x14ac:dyDescent="0.3">
      <c r="E999" s="10"/>
    </row>
    <row r="1000" spans="5:5" ht="14.25" customHeight="1" x14ac:dyDescent="0.3">
      <c r="E1000" s="10"/>
    </row>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0"/>
  <sheetViews>
    <sheetView topLeftCell="F2" workbookViewId="0">
      <selection activeCell="J32" sqref="J32"/>
    </sheetView>
  </sheetViews>
  <sheetFormatPr defaultColWidth="14.44140625" defaultRowHeight="15" customHeight="1" x14ac:dyDescent="0.3"/>
  <cols>
    <col min="1" max="1" width="10.88671875" customWidth="1"/>
    <col min="2" max="2" width="11.5546875" customWidth="1"/>
    <col min="3" max="3" width="10.88671875" customWidth="1"/>
    <col min="4" max="4" width="16.44140625" customWidth="1"/>
    <col min="5" max="5" width="17.6640625" customWidth="1"/>
    <col min="6" max="6" width="8.6640625" customWidth="1"/>
    <col min="7" max="7" width="12.77734375" bestFit="1" customWidth="1"/>
    <col min="8" max="9" width="8.6640625" customWidth="1"/>
    <col min="10" max="10" width="12.44140625" bestFit="1" customWidth="1"/>
    <col min="11" max="11" width="23.44140625" bestFit="1" customWidth="1"/>
    <col min="12" max="12" width="17.33203125" bestFit="1" customWidth="1"/>
    <col min="13" max="13" width="19.109375" bestFit="1" customWidth="1"/>
    <col min="14" max="14" width="20.21875" bestFit="1" customWidth="1"/>
    <col min="15" max="26" width="8.6640625" customWidth="1"/>
  </cols>
  <sheetData>
    <row r="1" spans="1:12" ht="14.25" customHeight="1" x14ac:dyDescent="0.3">
      <c r="A1" s="11" t="s">
        <v>118</v>
      </c>
      <c r="B1" s="11" t="s">
        <v>1759</v>
      </c>
      <c r="C1" s="11" t="s">
        <v>1760</v>
      </c>
      <c r="D1" s="11" t="s">
        <v>1761</v>
      </c>
      <c r="E1" s="11" t="s">
        <v>1762</v>
      </c>
      <c r="F1" s="11" t="s">
        <v>1763</v>
      </c>
      <c r="G1" s="30" t="s">
        <v>1826</v>
      </c>
    </row>
    <row r="2" spans="1:12" ht="14.25" customHeight="1" x14ac:dyDescent="0.3">
      <c r="A2" s="2" t="s">
        <v>126</v>
      </c>
      <c r="B2" s="2" t="s">
        <v>1764</v>
      </c>
      <c r="C2" s="12">
        <v>44739</v>
      </c>
      <c r="D2" s="2">
        <v>597</v>
      </c>
      <c r="E2" s="2">
        <v>8.1999999999999993</v>
      </c>
      <c r="F2" s="2" t="s">
        <v>1765</v>
      </c>
      <c r="G2">
        <f>MROUND(Table_2[[#This Row],[Amount in Sales]],5)</f>
        <v>595</v>
      </c>
    </row>
    <row r="3" spans="1:12" ht="14.25" customHeight="1" x14ac:dyDescent="0.3">
      <c r="A3" s="2" t="s">
        <v>130</v>
      </c>
      <c r="B3" s="2" t="s">
        <v>1766</v>
      </c>
      <c r="C3" s="12">
        <v>44740</v>
      </c>
      <c r="D3" s="2">
        <v>462</v>
      </c>
      <c r="E3" s="2">
        <v>10.209999999999999</v>
      </c>
      <c r="F3" s="2" t="s">
        <v>1767</v>
      </c>
      <c r="G3">
        <f>MROUND(Table_2[[#This Row],[Amount in Sales]],5)</f>
        <v>460</v>
      </c>
    </row>
    <row r="4" spans="1:12" ht="14.25" customHeight="1" x14ac:dyDescent="0.3">
      <c r="A4" s="2" t="s">
        <v>133</v>
      </c>
      <c r="B4" s="2" t="s">
        <v>1768</v>
      </c>
      <c r="C4" s="12">
        <v>44734</v>
      </c>
      <c r="D4" s="2">
        <v>766</v>
      </c>
      <c r="E4" s="2">
        <v>711.18</v>
      </c>
      <c r="F4" s="2" t="s">
        <v>1769</v>
      </c>
      <c r="G4">
        <f>MROUND(Table_2[[#This Row],[Amount in Sales]],5)</f>
        <v>765</v>
      </c>
    </row>
    <row r="5" spans="1:12" ht="14.25" customHeight="1" x14ac:dyDescent="0.3">
      <c r="A5" s="2" t="s">
        <v>137</v>
      </c>
      <c r="B5" s="2" t="s">
        <v>1770</v>
      </c>
      <c r="C5" s="12">
        <v>44737</v>
      </c>
      <c r="D5" s="2">
        <v>631</v>
      </c>
      <c r="E5" s="2">
        <v>132.44999999999999</v>
      </c>
      <c r="F5" s="2" t="s">
        <v>1771</v>
      </c>
      <c r="G5">
        <f>MROUND(Table_2[[#This Row],[Amount in Sales]],5)</f>
        <v>630</v>
      </c>
    </row>
    <row r="6" spans="1:12" ht="14.25" customHeight="1" x14ac:dyDescent="0.3">
      <c r="A6" s="2" t="s">
        <v>140</v>
      </c>
      <c r="B6" s="2" t="s">
        <v>1764</v>
      </c>
      <c r="C6" s="12">
        <v>44735</v>
      </c>
      <c r="D6" s="2">
        <v>318</v>
      </c>
      <c r="E6" s="2">
        <v>58.629999999999995</v>
      </c>
      <c r="F6" s="2" t="s">
        <v>1765</v>
      </c>
      <c r="G6">
        <f>MROUND(Table_2[[#This Row],[Amount in Sales]],5)</f>
        <v>320</v>
      </c>
    </row>
    <row r="7" spans="1:12" ht="14.25" customHeight="1" x14ac:dyDescent="0.3">
      <c r="A7" s="2" t="s">
        <v>143</v>
      </c>
      <c r="B7" s="2" t="s">
        <v>1766</v>
      </c>
      <c r="C7" s="12">
        <v>44727</v>
      </c>
      <c r="D7" s="2">
        <v>543</v>
      </c>
      <c r="E7" s="2">
        <v>60.519999999999996</v>
      </c>
      <c r="F7" s="2" t="s">
        <v>1767</v>
      </c>
      <c r="G7">
        <f>MROUND(Table_2[[#This Row],[Amount in Sales]],5)</f>
        <v>545</v>
      </c>
    </row>
    <row r="8" spans="1:12" ht="14.25" customHeight="1" x14ac:dyDescent="0.3">
      <c r="A8" s="2" t="s">
        <v>146</v>
      </c>
      <c r="B8" s="2" t="s">
        <v>1768</v>
      </c>
      <c r="C8" s="12">
        <v>44740</v>
      </c>
      <c r="D8" s="2">
        <v>828</v>
      </c>
      <c r="E8" s="2">
        <v>466.06</v>
      </c>
      <c r="F8" s="2" t="s">
        <v>1769</v>
      </c>
      <c r="G8">
        <f>MROUND(Table_2[[#This Row],[Amount in Sales]],5)</f>
        <v>830</v>
      </c>
      <c r="L8" s="1" t="s">
        <v>1</v>
      </c>
    </row>
    <row r="9" spans="1:12" ht="14.25" customHeight="1" x14ac:dyDescent="0.3">
      <c r="A9" s="2" t="s">
        <v>149</v>
      </c>
      <c r="B9" s="2" t="s">
        <v>1770</v>
      </c>
      <c r="C9" s="12">
        <v>44725</v>
      </c>
      <c r="D9" s="2">
        <v>824</v>
      </c>
      <c r="E9" s="2">
        <v>25.87</v>
      </c>
      <c r="F9" s="2" t="s">
        <v>1771</v>
      </c>
      <c r="G9">
        <f>MROUND(Table_2[[#This Row],[Amount in Sales]],5)</f>
        <v>825</v>
      </c>
      <c r="L9" s="2" t="s">
        <v>3</v>
      </c>
    </row>
    <row r="10" spans="1:12" ht="14.25" customHeight="1" x14ac:dyDescent="0.3">
      <c r="A10" s="2" t="s">
        <v>152</v>
      </c>
      <c r="B10" s="2" t="s">
        <v>1772</v>
      </c>
      <c r="C10" s="12">
        <v>44736</v>
      </c>
      <c r="D10" s="2">
        <v>430</v>
      </c>
      <c r="E10" s="2">
        <v>102.34</v>
      </c>
      <c r="F10" s="2" t="s">
        <v>1765</v>
      </c>
      <c r="G10">
        <f>MROUND(Table_2[[#This Row],[Amount in Sales]],5)</f>
        <v>430</v>
      </c>
      <c r="L10" s="2" t="s">
        <v>5</v>
      </c>
    </row>
    <row r="11" spans="1:12" ht="14.25" customHeight="1" x14ac:dyDescent="0.3">
      <c r="A11" s="2" t="s">
        <v>155</v>
      </c>
      <c r="B11" s="2" t="s">
        <v>1764</v>
      </c>
      <c r="C11" s="12">
        <v>44725</v>
      </c>
      <c r="D11" s="2">
        <v>668</v>
      </c>
      <c r="E11" s="2">
        <v>131.67999999999998</v>
      </c>
      <c r="F11" s="2" t="s">
        <v>1767</v>
      </c>
      <c r="G11">
        <f>MROUND(Table_2[[#This Row],[Amount in Sales]],5)</f>
        <v>670</v>
      </c>
      <c r="L11" s="2" t="s">
        <v>7</v>
      </c>
    </row>
    <row r="12" spans="1:12" ht="14.25" customHeight="1" x14ac:dyDescent="0.3">
      <c r="A12" s="2" t="s">
        <v>157</v>
      </c>
      <c r="B12" s="2" t="s">
        <v>1766</v>
      </c>
      <c r="C12" s="12">
        <v>44734</v>
      </c>
      <c r="D12" s="2">
        <v>255</v>
      </c>
      <c r="E12" s="2">
        <v>17.420000000000002</v>
      </c>
      <c r="F12" s="2" t="s">
        <v>1769</v>
      </c>
      <c r="G12">
        <f>MROUND(Table_2[[#This Row],[Amount in Sales]],5)</f>
        <v>255</v>
      </c>
      <c r="L12" s="2" t="s">
        <v>9</v>
      </c>
    </row>
    <row r="13" spans="1:12" ht="14.25" customHeight="1" x14ac:dyDescent="0.3">
      <c r="A13" s="2" t="s">
        <v>160</v>
      </c>
      <c r="B13" s="2" t="s">
        <v>1768</v>
      </c>
      <c r="C13" s="12">
        <v>44731</v>
      </c>
      <c r="D13" s="2">
        <v>638</v>
      </c>
      <c r="E13" s="2">
        <v>10.74</v>
      </c>
      <c r="F13" s="2" t="s">
        <v>1771</v>
      </c>
      <c r="G13">
        <f>MROUND(Table_2[[#This Row],[Amount in Sales]],5)</f>
        <v>640</v>
      </c>
      <c r="L13" s="2" t="s">
        <v>11</v>
      </c>
    </row>
    <row r="14" spans="1:12" ht="14.25" customHeight="1" x14ac:dyDescent="0.3">
      <c r="A14" s="2" t="s">
        <v>163</v>
      </c>
      <c r="B14" s="2" t="s">
        <v>1770</v>
      </c>
      <c r="C14" s="12">
        <v>44730</v>
      </c>
      <c r="D14" s="2">
        <v>614</v>
      </c>
      <c r="E14" s="2">
        <v>163.70999999999998</v>
      </c>
      <c r="F14" s="2" t="s">
        <v>1765</v>
      </c>
      <c r="G14">
        <f>MROUND(Table_2[[#This Row],[Amount in Sales]],5)</f>
        <v>615</v>
      </c>
      <c r="L14" s="2" t="s">
        <v>13</v>
      </c>
    </row>
    <row r="15" spans="1:12" ht="14.25" customHeight="1" x14ac:dyDescent="0.3">
      <c r="A15" s="2" t="s">
        <v>166</v>
      </c>
      <c r="B15" s="2" t="s">
        <v>1764</v>
      </c>
      <c r="C15" s="12">
        <v>44735</v>
      </c>
      <c r="D15" s="2">
        <v>867</v>
      </c>
      <c r="E15" s="2">
        <v>184.25</v>
      </c>
      <c r="F15" s="2" t="s">
        <v>1767</v>
      </c>
      <c r="G15">
        <f>MROUND(Table_2[[#This Row],[Amount in Sales]],5)</f>
        <v>865</v>
      </c>
    </row>
    <row r="16" spans="1:12" ht="14.25" customHeight="1" x14ac:dyDescent="0.3">
      <c r="A16" s="2" t="s">
        <v>169</v>
      </c>
      <c r="B16" s="2" t="s">
        <v>1766</v>
      </c>
      <c r="C16" s="12">
        <v>44738</v>
      </c>
      <c r="D16" s="2">
        <v>253</v>
      </c>
      <c r="E16" s="2">
        <v>27.82</v>
      </c>
      <c r="F16" s="2" t="s">
        <v>1769</v>
      </c>
      <c r="G16">
        <f>MROUND(Table_2[[#This Row],[Amount in Sales]],5)</f>
        <v>255</v>
      </c>
    </row>
    <row r="17" spans="1:7" ht="14.25" customHeight="1" x14ac:dyDescent="0.3">
      <c r="A17" s="2" t="s">
        <v>171</v>
      </c>
      <c r="B17" s="2" t="s">
        <v>1768</v>
      </c>
      <c r="C17" s="12">
        <v>44738</v>
      </c>
      <c r="D17" s="2">
        <v>671</v>
      </c>
      <c r="E17" s="2">
        <v>359.71</v>
      </c>
      <c r="F17" s="2" t="s">
        <v>1771</v>
      </c>
      <c r="G17">
        <f>MROUND(Table_2[[#This Row],[Amount in Sales]],5)</f>
        <v>670</v>
      </c>
    </row>
    <row r="18" spans="1:7" ht="14.25" customHeight="1" x14ac:dyDescent="0.3">
      <c r="A18" s="2" t="s">
        <v>174</v>
      </c>
      <c r="B18" s="2" t="s">
        <v>1770</v>
      </c>
      <c r="C18" s="12">
        <v>44725</v>
      </c>
      <c r="D18" s="2">
        <v>641</v>
      </c>
      <c r="E18" s="2">
        <v>24.05</v>
      </c>
      <c r="F18" s="2" t="s">
        <v>1765</v>
      </c>
      <c r="G18">
        <f>MROUND(Table_2[[#This Row],[Amount in Sales]],5)</f>
        <v>640</v>
      </c>
    </row>
    <row r="19" spans="1:7" ht="14.25" customHeight="1" x14ac:dyDescent="0.3">
      <c r="A19" s="2" t="s">
        <v>176</v>
      </c>
      <c r="B19" s="2" t="s">
        <v>1772</v>
      </c>
      <c r="C19" s="12">
        <v>44730</v>
      </c>
      <c r="D19" s="2">
        <v>796</v>
      </c>
      <c r="E19" s="2">
        <v>19.860000000000003</v>
      </c>
      <c r="F19" s="2" t="s">
        <v>1767</v>
      </c>
      <c r="G19">
        <f>MROUND(Table_2[[#This Row],[Amount in Sales]],5)</f>
        <v>795</v>
      </c>
    </row>
    <row r="20" spans="1:7" ht="14.25" customHeight="1" x14ac:dyDescent="0.3">
      <c r="A20" s="2" t="s">
        <v>178</v>
      </c>
      <c r="B20" s="2" t="s">
        <v>1773</v>
      </c>
      <c r="C20" s="12">
        <v>44738</v>
      </c>
      <c r="D20" s="2">
        <v>480</v>
      </c>
      <c r="E20" s="2">
        <v>4.8599999999999994</v>
      </c>
      <c r="F20" s="2" t="s">
        <v>1769</v>
      </c>
      <c r="G20">
        <f>MROUND(Table_2[[#This Row],[Amount in Sales]],5)</f>
        <v>480</v>
      </c>
    </row>
    <row r="21" spans="1:7" ht="14.25" customHeight="1" x14ac:dyDescent="0.3">
      <c r="A21" s="2" t="s">
        <v>181</v>
      </c>
      <c r="B21" s="2" t="s">
        <v>1764</v>
      </c>
      <c r="C21" s="12">
        <v>44730</v>
      </c>
      <c r="D21" s="2">
        <v>352</v>
      </c>
      <c r="E21" s="2">
        <v>46.08</v>
      </c>
      <c r="F21" s="2" t="s">
        <v>1771</v>
      </c>
      <c r="G21">
        <f>MROUND(Table_2[[#This Row],[Amount in Sales]],5)</f>
        <v>350</v>
      </c>
    </row>
    <row r="22" spans="1:7" ht="14.25" customHeight="1" x14ac:dyDescent="0.3">
      <c r="A22" s="2" t="s">
        <v>184</v>
      </c>
      <c r="B22" s="2" t="s">
        <v>1766</v>
      </c>
      <c r="C22" s="12">
        <v>44738</v>
      </c>
      <c r="D22" s="2">
        <v>289</v>
      </c>
      <c r="E22" s="2">
        <v>19.360000000000003</v>
      </c>
      <c r="F22" s="2" t="s">
        <v>1765</v>
      </c>
      <c r="G22">
        <f>MROUND(Table_2[[#This Row],[Amount in Sales]],5)</f>
        <v>290</v>
      </c>
    </row>
    <row r="23" spans="1:7" ht="14.25" customHeight="1" x14ac:dyDescent="0.3">
      <c r="A23" s="2" t="s">
        <v>187</v>
      </c>
      <c r="B23" s="2" t="s">
        <v>1768</v>
      </c>
      <c r="C23" s="12">
        <v>44734</v>
      </c>
      <c r="D23" s="2">
        <v>702</v>
      </c>
      <c r="E23" s="2">
        <v>255.19</v>
      </c>
      <c r="F23" s="2" t="s">
        <v>1767</v>
      </c>
      <c r="G23">
        <f>MROUND(Table_2[[#This Row],[Amount in Sales]],5)</f>
        <v>700</v>
      </c>
    </row>
    <row r="24" spans="1:7" ht="14.25" customHeight="1" x14ac:dyDescent="0.3">
      <c r="A24" s="2" t="s">
        <v>190</v>
      </c>
      <c r="B24" s="2" t="s">
        <v>1770</v>
      </c>
      <c r="C24" s="12">
        <v>44729</v>
      </c>
      <c r="D24" s="2">
        <v>783</v>
      </c>
      <c r="E24" s="2">
        <v>241.48999999999998</v>
      </c>
      <c r="F24" s="2" t="s">
        <v>1769</v>
      </c>
      <c r="G24">
        <f>MROUND(Table_2[[#This Row],[Amount in Sales]],5)</f>
        <v>785</v>
      </c>
    </row>
    <row r="25" spans="1:7" ht="14.25" customHeight="1" x14ac:dyDescent="0.3">
      <c r="A25" s="2" t="s">
        <v>193</v>
      </c>
      <c r="B25" s="2" t="s">
        <v>1764</v>
      </c>
      <c r="C25" s="12">
        <v>44730</v>
      </c>
      <c r="D25" s="2">
        <v>541</v>
      </c>
      <c r="E25" s="2">
        <v>115.17</v>
      </c>
      <c r="F25" s="2" t="s">
        <v>1771</v>
      </c>
      <c r="G25">
        <f>MROUND(Table_2[[#This Row],[Amount in Sales]],5)</f>
        <v>540</v>
      </c>
    </row>
    <row r="26" spans="1:7" ht="14.25" customHeight="1" x14ac:dyDescent="0.3">
      <c r="A26" s="2" t="s">
        <v>196</v>
      </c>
      <c r="B26" s="2" t="s">
        <v>1766</v>
      </c>
      <c r="C26" s="12">
        <v>44728</v>
      </c>
      <c r="D26" s="2">
        <v>326</v>
      </c>
      <c r="E26" s="2">
        <v>36.019999999999996</v>
      </c>
      <c r="F26" s="2" t="s">
        <v>1765</v>
      </c>
      <c r="G26">
        <f>MROUND(Table_2[[#This Row],[Amount in Sales]],5)</f>
        <v>325</v>
      </c>
    </row>
    <row r="27" spans="1:7" ht="14.25" customHeight="1" x14ac:dyDescent="0.3">
      <c r="A27" s="2" t="s">
        <v>199</v>
      </c>
      <c r="B27" s="2" t="s">
        <v>1768</v>
      </c>
      <c r="C27" s="12">
        <v>44735</v>
      </c>
      <c r="D27" s="2">
        <v>592</v>
      </c>
      <c r="E27" s="2">
        <v>28.89</v>
      </c>
      <c r="F27" s="2" t="s">
        <v>1767</v>
      </c>
      <c r="G27">
        <f>MROUND(Table_2[[#This Row],[Amount in Sales]],5)</f>
        <v>590</v>
      </c>
    </row>
    <row r="28" spans="1:7" ht="14.25" customHeight="1" x14ac:dyDescent="0.3">
      <c r="A28" s="2" t="s">
        <v>202</v>
      </c>
      <c r="B28" s="2" t="s">
        <v>1770</v>
      </c>
      <c r="C28" s="12">
        <v>44738</v>
      </c>
      <c r="D28" s="2">
        <v>362</v>
      </c>
      <c r="E28" s="2">
        <v>100.93</v>
      </c>
      <c r="F28" s="2" t="s">
        <v>1769</v>
      </c>
      <c r="G28">
        <f>MROUND(Table_2[[#This Row],[Amount in Sales]],5)</f>
        <v>360</v>
      </c>
    </row>
    <row r="29" spans="1:7" ht="14.25" customHeight="1" x14ac:dyDescent="0.3">
      <c r="A29" s="2" t="s">
        <v>205</v>
      </c>
      <c r="B29" s="2" t="s">
        <v>1772</v>
      </c>
      <c r="C29" s="12">
        <v>44738</v>
      </c>
      <c r="D29" s="2">
        <v>839</v>
      </c>
      <c r="E29" s="2">
        <v>63.809999999999995</v>
      </c>
      <c r="F29" s="2" t="s">
        <v>1771</v>
      </c>
      <c r="G29">
        <f>MROUND(Table_2[[#This Row],[Amount in Sales]],5)</f>
        <v>840</v>
      </c>
    </row>
    <row r="30" spans="1:7" ht="14.25" customHeight="1" x14ac:dyDescent="0.3">
      <c r="A30" s="2" t="s">
        <v>209</v>
      </c>
      <c r="B30" s="2" t="s">
        <v>1764</v>
      </c>
      <c r="C30" s="12">
        <v>44734</v>
      </c>
      <c r="D30" s="2">
        <v>847</v>
      </c>
      <c r="E30" s="2">
        <v>102.12</v>
      </c>
      <c r="F30" s="2" t="s">
        <v>1765</v>
      </c>
      <c r="G30">
        <f>MROUND(Table_2[[#This Row],[Amount in Sales]],5)</f>
        <v>845</v>
      </c>
    </row>
    <row r="31" spans="1:7" ht="14.25" customHeight="1" x14ac:dyDescent="0.3">
      <c r="A31" s="2" t="s">
        <v>212</v>
      </c>
      <c r="B31" s="2" t="s">
        <v>1766</v>
      </c>
      <c r="C31" s="12">
        <v>44727</v>
      </c>
      <c r="D31" s="2">
        <v>295</v>
      </c>
      <c r="E31" s="2">
        <v>89.34</v>
      </c>
      <c r="F31" s="2" t="s">
        <v>1767</v>
      </c>
      <c r="G31">
        <f>MROUND(Table_2[[#This Row],[Amount in Sales]],5)</f>
        <v>295</v>
      </c>
    </row>
    <row r="32" spans="1:7" ht="14.25" customHeight="1" x14ac:dyDescent="0.3">
      <c r="A32" s="2" t="s">
        <v>215</v>
      </c>
      <c r="B32" s="2" t="s">
        <v>1768</v>
      </c>
      <c r="C32" s="12">
        <v>44729</v>
      </c>
      <c r="D32" s="2">
        <v>337</v>
      </c>
      <c r="E32" s="2">
        <v>139.53</v>
      </c>
      <c r="F32" s="2" t="s">
        <v>1769</v>
      </c>
      <c r="G32">
        <f>MROUND(Table_2[[#This Row],[Amount in Sales]],5)</f>
        <v>335</v>
      </c>
    </row>
    <row r="33" spans="1:7" ht="14.25" customHeight="1" x14ac:dyDescent="0.3">
      <c r="A33" s="2" t="s">
        <v>218</v>
      </c>
      <c r="B33" s="2" t="s">
        <v>1770</v>
      </c>
      <c r="C33" s="12">
        <v>44726</v>
      </c>
      <c r="D33" s="2">
        <v>550</v>
      </c>
      <c r="E33" s="2">
        <v>3.3899999999999997</v>
      </c>
      <c r="F33" s="2" t="s">
        <v>1771</v>
      </c>
      <c r="G33">
        <f>MROUND(Table_2[[#This Row],[Amount in Sales]],5)</f>
        <v>550</v>
      </c>
    </row>
    <row r="34" spans="1:7" ht="14.25" customHeight="1" x14ac:dyDescent="0.3">
      <c r="A34" s="2" t="s">
        <v>221</v>
      </c>
      <c r="B34" s="2" t="s">
        <v>1764</v>
      </c>
      <c r="C34" s="12">
        <v>44733</v>
      </c>
      <c r="D34" s="2">
        <v>591</v>
      </c>
      <c r="E34" s="2">
        <v>62.04</v>
      </c>
      <c r="F34" s="2" t="s">
        <v>1765</v>
      </c>
      <c r="G34">
        <f>MROUND(Table_2[[#This Row],[Amount in Sales]],5)</f>
        <v>590</v>
      </c>
    </row>
    <row r="35" spans="1:7" ht="14.25" customHeight="1" x14ac:dyDescent="0.3">
      <c r="A35" s="2" t="s">
        <v>223</v>
      </c>
      <c r="B35" s="2" t="s">
        <v>1766</v>
      </c>
      <c r="C35" s="12">
        <v>44730</v>
      </c>
      <c r="D35" s="2">
        <v>788</v>
      </c>
      <c r="E35" s="2">
        <v>231.5</v>
      </c>
      <c r="F35" s="2" t="s">
        <v>1767</v>
      </c>
      <c r="G35">
        <f>MROUND(Table_2[[#This Row],[Amount in Sales]],5)</f>
        <v>790</v>
      </c>
    </row>
    <row r="36" spans="1:7" ht="14.25" customHeight="1" x14ac:dyDescent="0.3">
      <c r="A36" s="2" t="s">
        <v>226</v>
      </c>
      <c r="B36" s="2" t="s">
        <v>1768</v>
      </c>
      <c r="C36" s="12">
        <v>44736</v>
      </c>
      <c r="D36" s="2">
        <v>695</v>
      </c>
      <c r="E36" s="2">
        <v>393.09999999999997</v>
      </c>
      <c r="F36" s="2" t="s">
        <v>1769</v>
      </c>
      <c r="G36">
        <f>MROUND(Table_2[[#This Row],[Amount in Sales]],5)</f>
        <v>695</v>
      </c>
    </row>
    <row r="37" spans="1:7" ht="14.25" customHeight="1" x14ac:dyDescent="0.3">
      <c r="A37" s="2" t="s">
        <v>228</v>
      </c>
      <c r="B37" s="2" t="s">
        <v>1770</v>
      </c>
      <c r="C37" s="12">
        <v>44732</v>
      </c>
      <c r="D37" s="2">
        <v>395</v>
      </c>
      <c r="E37" s="2">
        <v>56.019999999999996</v>
      </c>
      <c r="F37" s="2" t="s">
        <v>1771</v>
      </c>
      <c r="G37">
        <f>MROUND(Table_2[[#This Row],[Amount in Sales]],5)</f>
        <v>395</v>
      </c>
    </row>
    <row r="38" spans="1:7" ht="14.25" customHeight="1" x14ac:dyDescent="0.3">
      <c r="A38" s="2" t="s">
        <v>230</v>
      </c>
      <c r="B38" s="2" t="s">
        <v>1772</v>
      </c>
      <c r="C38" s="12">
        <v>44732</v>
      </c>
      <c r="D38" s="2">
        <v>655</v>
      </c>
      <c r="E38" s="2">
        <v>129.22</v>
      </c>
      <c r="F38" s="2" t="s">
        <v>1765</v>
      </c>
      <c r="G38">
        <f>MROUND(Table_2[[#This Row],[Amount in Sales]],5)</f>
        <v>655</v>
      </c>
    </row>
    <row r="39" spans="1:7" ht="14.25" customHeight="1" x14ac:dyDescent="0.3">
      <c r="A39" s="2" t="s">
        <v>232</v>
      </c>
      <c r="B39" s="2" t="s">
        <v>1773</v>
      </c>
      <c r="C39" s="12">
        <v>44731</v>
      </c>
      <c r="D39" s="2">
        <v>725</v>
      </c>
      <c r="E39" s="2">
        <v>116.2</v>
      </c>
      <c r="F39" s="2" t="s">
        <v>1767</v>
      </c>
      <c r="G39">
        <f>MROUND(Table_2[[#This Row],[Amount in Sales]],5)</f>
        <v>725</v>
      </c>
    </row>
    <row r="40" spans="1:7" ht="14.25" customHeight="1" x14ac:dyDescent="0.3">
      <c r="A40" s="2" t="s">
        <v>234</v>
      </c>
      <c r="B40" s="2" t="s">
        <v>1764</v>
      </c>
      <c r="C40" s="12">
        <v>44735</v>
      </c>
      <c r="D40" s="2">
        <v>358</v>
      </c>
      <c r="E40" s="2">
        <v>13.16</v>
      </c>
      <c r="F40" s="2" t="s">
        <v>1769</v>
      </c>
      <c r="G40">
        <f>MROUND(Table_2[[#This Row],[Amount in Sales]],5)</f>
        <v>360</v>
      </c>
    </row>
    <row r="41" spans="1:7" ht="14.25" customHeight="1" x14ac:dyDescent="0.3">
      <c r="A41" s="2" t="s">
        <v>237</v>
      </c>
      <c r="B41" s="2" t="s">
        <v>1766</v>
      </c>
      <c r="C41" s="12">
        <v>44728</v>
      </c>
      <c r="D41" s="2">
        <v>368</v>
      </c>
      <c r="E41" s="2">
        <v>44.339999999999996</v>
      </c>
      <c r="F41" s="2" t="s">
        <v>1771</v>
      </c>
      <c r="G41">
        <f>MROUND(Table_2[[#This Row],[Amount in Sales]],5)</f>
        <v>370</v>
      </c>
    </row>
    <row r="42" spans="1:7" ht="14.25" customHeight="1" x14ac:dyDescent="0.3">
      <c r="A42" s="2" t="s">
        <v>240</v>
      </c>
      <c r="B42" s="2" t="s">
        <v>1768</v>
      </c>
      <c r="C42" s="12">
        <v>44727</v>
      </c>
      <c r="D42" s="2">
        <v>359</v>
      </c>
      <c r="E42" s="2">
        <v>138.70999999999998</v>
      </c>
      <c r="F42" s="2" t="s">
        <v>1765</v>
      </c>
      <c r="G42">
        <f>MROUND(Table_2[[#This Row],[Amount in Sales]],5)</f>
        <v>360</v>
      </c>
    </row>
    <row r="43" spans="1:7" ht="14.25" customHeight="1" x14ac:dyDescent="0.3">
      <c r="A43" s="2" t="s">
        <v>242</v>
      </c>
      <c r="B43" s="2" t="s">
        <v>1770</v>
      </c>
      <c r="C43" s="12">
        <v>44731</v>
      </c>
      <c r="D43" s="2">
        <v>847</v>
      </c>
      <c r="E43" s="2">
        <v>212.7</v>
      </c>
      <c r="F43" s="2" t="s">
        <v>1767</v>
      </c>
      <c r="G43">
        <f>MROUND(Table_2[[#This Row],[Amount in Sales]],5)</f>
        <v>845</v>
      </c>
    </row>
    <row r="44" spans="1:7" ht="14.25" customHeight="1" x14ac:dyDescent="0.3">
      <c r="A44" s="2" t="s">
        <v>245</v>
      </c>
      <c r="B44" s="2" t="s">
        <v>1764</v>
      </c>
      <c r="C44" s="12">
        <v>44732</v>
      </c>
      <c r="D44" s="2">
        <v>497</v>
      </c>
      <c r="E44" s="2">
        <v>89.960000000000008</v>
      </c>
      <c r="F44" s="2" t="s">
        <v>1769</v>
      </c>
      <c r="G44">
        <f>MROUND(Table_2[[#This Row],[Amount in Sales]],5)</f>
        <v>495</v>
      </c>
    </row>
    <row r="45" spans="1:7" ht="14.25" customHeight="1" x14ac:dyDescent="0.3">
      <c r="A45" s="2" t="s">
        <v>248</v>
      </c>
      <c r="B45" s="2" t="s">
        <v>1766</v>
      </c>
      <c r="C45" s="12">
        <v>44738</v>
      </c>
      <c r="D45" s="2">
        <v>206</v>
      </c>
      <c r="E45" s="2">
        <v>35.769999999999996</v>
      </c>
      <c r="F45" s="2" t="s">
        <v>1771</v>
      </c>
      <c r="G45">
        <f>MROUND(Table_2[[#This Row],[Amount in Sales]],5)</f>
        <v>205</v>
      </c>
    </row>
    <row r="46" spans="1:7" ht="14.25" customHeight="1" x14ac:dyDescent="0.3">
      <c r="A46" s="2" t="s">
        <v>251</v>
      </c>
      <c r="B46" s="2" t="s">
        <v>1768</v>
      </c>
      <c r="C46" s="12">
        <v>44730</v>
      </c>
      <c r="D46" s="2">
        <v>211</v>
      </c>
      <c r="E46" s="2">
        <v>159.29</v>
      </c>
      <c r="F46" s="2" t="s">
        <v>1765</v>
      </c>
      <c r="G46">
        <f>MROUND(Table_2[[#This Row],[Amount in Sales]],5)</f>
        <v>210</v>
      </c>
    </row>
    <row r="47" spans="1:7" ht="14.25" customHeight="1" x14ac:dyDescent="0.3">
      <c r="A47" s="2" t="s">
        <v>254</v>
      </c>
      <c r="B47" s="2" t="s">
        <v>1770</v>
      </c>
      <c r="C47" s="12">
        <v>44736</v>
      </c>
      <c r="D47" s="2">
        <v>763</v>
      </c>
      <c r="E47" s="2">
        <v>319.14</v>
      </c>
      <c r="F47" s="2" t="s">
        <v>1767</v>
      </c>
      <c r="G47">
        <f>MROUND(Table_2[[#This Row],[Amount in Sales]],5)</f>
        <v>765</v>
      </c>
    </row>
    <row r="48" spans="1:7" ht="14.25" customHeight="1" x14ac:dyDescent="0.3">
      <c r="A48" s="2" t="s">
        <v>257</v>
      </c>
      <c r="B48" s="2" t="s">
        <v>1764</v>
      </c>
      <c r="C48" s="12">
        <v>44733</v>
      </c>
      <c r="D48" s="2">
        <v>277</v>
      </c>
      <c r="E48" s="2">
        <v>3.8099999999999996</v>
      </c>
      <c r="F48" s="2" t="s">
        <v>1769</v>
      </c>
      <c r="G48">
        <f>MROUND(Table_2[[#This Row],[Amount in Sales]],5)</f>
        <v>275</v>
      </c>
    </row>
    <row r="49" spans="1:7" ht="14.25" customHeight="1" x14ac:dyDescent="0.3">
      <c r="A49" s="2" t="s">
        <v>260</v>
      </c>
      <c r="B49" s="2" t="s">
        <v>1766</v>
      </c>
      <c r="C49" s="12">
        <v>44746</v>
      </c>
      <c r="D49" s="2">
        <v>365</v>
      </c>
      <c r="E49" s="2">
        <v>8.07</v>
      </c>
      <c r="F49" s="2" t="s">
        <v>1771</v>
      </c>
      <c r="G49">
        <f>MROUND(Table_2[[#This Row],[Amount in Sales]],5)</f>
        <v>365</v>
      </c>
    </row>
    <row r="50" spans="1:7" ht="14.25" customHeight="1" x14ac:dyDescent="0.3">
      <c r="A50" s="2" t="s">
        <v>263</v>
      </c>
      <c r="B50" s="2" t="s">
        <v>1768</v>
      </c>
      <c r="C50" s="12">
        <v>44755</v>
      </c>
      <c r="D50" s="2">
        <v>737</v>
      </c>
      <c r="E50" s="2">
        <v>684.25</v>
      </c>
      <c r="F50" s="2" t="s">
        <v>1765</v>
      </c>
      <c r="G50">
        <f>MROUND(Table_2[[#This Row],[Amount in Sales]],5)</f>
        <v>735</v>
      </c>
    </row>
    <row r="51" spans="1:7" ht="14.25" customHeight="1" x14ac:dyDescent="0.3">
      <c r="A51" s="2" t="s">
        <v>266</v>
      </c>
      <c r="B51" s="2" t="s">
        <v>1770</v>
      </c>
      <c r="C51" s="12">
        <v>44755</v>
      </c>
      <c r="D51" s="2">
        <v>271</v>
      </c>
      <c r="E51" s="2">
        <v>56.89</v>
      </c>
      <c r="F51" s="2" t="s">
        <v>1767</v>
      </c>
      <c r="G51">
        <f>MROUND(Table_2[[#This Row],[Amount in Sales]],5)</f>
        <v>270</v>
      </c>
    </row>
    <row r="52" spans="1:7" ht="14.25" customHeight="1" x14ac:dyDescent="0.3">
      <c r="A52" s="2" t="s">
        <v>269</v>
      </c>
      <c r="B52" s="2" t="s">
        <v>1764</v>
      </c>
      <c r="C52" s="12">
        <v>44727</v>
      </c>
      <c r="D52" s="2">
        <v>375</v>
      </c>
      <c r="E52" s="2">
        <v>69.13000000000001</v>
      </c>
      <c r="F52" s="2" t="s">
        <v>1769</v>
      </c>
      <c r="G52">
        <f>MROUND(Table_2[[#This Row],[Amount in Sales]],5)</f>
        <v>375</v>
      </c>
    </row>
    <row r="53" spans="1:7" ht="14.25" customHeight="1" x14ac:dyDescent="0.3">
      <c r="A53" s="2" t="s">
        <v>271</v>
      </c>
      <c r="B53" s="2" t="s">
        <v>1766</v>
      </c>
      <c r="C53" s="12">
        <v>44746</v>
      </c>
      <c r="D53" s="2">
        <v>497</v>
      </c>
      <c r="E53" s="2">
        <v>55.39</v>
      </c>
      <c r="F53" s="2" t="s">
        <v>1771</v>
      </c>
      <c r="G53">
        <f>MROUND(Table_2[[#This Row],[Amount in Sales]],5)</f>
        <v>495</v>
      </c>
    </row>
    <row r="54" spans="1:7" ht="14.25" customHeight="1" x14ac:dyDescent="0.3">
      <c r="A54" s="2" t="s">
        <v>273</v>
      </c>
      <c r="B54" s="2" t="s">
        <v>1768</v>
      </c>
      <c r="C54" s="12">
        <v>44740</v>
      </c>
      <c r="D54" s="2">
        <v>625</v>
      </c>
      <c r="E54" s="2">
        <v>351.8</v>
      </c>
      <c r="F54" s="2" t="s">
        <v>1765</v>
      </c>
      <c r="G54">
        <f>MROUND(Table_2[[#This Row],[Amount in Sales]],5)</f>
        <v>625</v>
      </c>
    </row>
    <row r="55" spans="1:7" ht="14.25" customHeight="1" x14ac:dyDescent="0.3">
      <c r="A55" s="2" t="s">
        <v>275</v>
      </c>
      <c r="B55" s="2" t="s">
        <v>1770</v>
      </c>
      <c r="C55" s="12">
        <v>44743</v>
      </c>
      <c r="D55" s="2">
        <v>427</v>
      </c>
      <c r="E55" s="2">
        <v>13.41</v>
      </c>
      <c r="F55" s="2" t="s">
        <v>1767</v>
      </c>
      <c r="G55">
        <f>MROUND(Table_2[[#This Row],[Amount in Sales]],5)</f>
        <v>425</v>
      </c>
    </row>
    <row r="56" spans="1:7" ht="14.25" customHeight="1" x14ac:dyDescent="0.3">
      <c r="A56" s="2" t="s">
        <v>277</v>
      </c>
      <c r="B56" s="2" t="s">
        <v>1772</v>
      </c>
      <c r="C56" s="12">
        <v>44737</v>
      </c>
      <c r="D56" s="2">
        <v>804</v>
      </c>
      <c r="E56" s="2">
        <v>191.34</v>
      </c>
      <c r="F56" s="2" t="s">
        <v>1769</v>
      </c>
      <c r="G56">
        <f>MROUND(Table_2[[#This Row],[Amount in Sales]],5)</f>
        <v>805</v>
      </c>
    </row>
    <row r="57" spans="1:7" ht="14.25" customHeight="1" x14ac:dyDescent="0.3">
      <c r="A57" s="2" t="s">
        <v>279</v>
      </c>
      <c r="B57" s="2" t="s">
        <v>1764</v>
      </c>
      <c r="C57" s="12">
        <v>44757</v>
      </c>
      <c r="D57" s="2">
        <v>359</v>
      </c>
      <c r="E57" s="2">
        <v>70.77000000000001</v>
      </c>
      <c r="F57" s="2" t="s">
        <v>1771</v>
      </c>
      <c r="G57">
        <f>MROUND(Table_2[[#This Row],[Amount in Sales]],5)</f>
        <v>360</v>
      </c>
    </row>
    <row r="58" spans="1:7" ht="14.25" customHeight="1" x14ac:dyDescent="0.3">
      <c r="A58" s="2" t="s">
        <v>281</v>
      </c>
      <c r="B58" s="2" t="s">
        <v>1766</v>
      </c>
      <c r="C58" s="12">
        <v>44745</v>
      </c>
      <c r="D58" s="2">
        <v>444</v>
      </c>
      <c r="E58" s="2">
        <v>30.330000000000002</v>
      </c>
      <c r="F58" s="2" t="s">
        <v>1765</v>
      </c>
      <c r="G58">
        <f>MROUND(Table_2[[#This Row],[Amount in Sales]],5)</f>
        <v>445</v>
      </c>
    </row>
    <row r="59" spans="1:7" ht="14.25" customHeight="1" x14ac:dyDescent="0.3">
      <c r="A59" s="2" t="s">
        <v>283</v>
      </c>
      <c r="B59" s="2" t="s">
        <v>1768</v>
      </c>
      <c r="C59" s="12">
        <v>44760</v>
      </c>
      <c r="D59" s="2">
        <v>801</v>
      </c>
      <c r="E59" s="2">
        <v>13.48</v>
      </c>
      <c r="F59" s="2" t="s">
        <v>1767</v>
      </c>
      <c r="G59">
        <f>MROUND(Table_2[[#This Row],[Amount in Sales]],5)</f>
        <v>800</v>
      </c>
    </row>
    <row r="60" spans="1:7" ht="14.25" customHeight="1" x14ac:dyDescent="0.3">
      <c r="A60" s="2" t="s">
        <v>285</v>
      </c>
      <c r="B60" s="2" t="s">
        <v>1770</v>
      </c>
      <c r="C60" s="12">
        <v>44750</v>
      </c>
      <c r="D60" s="2">
        <v>742</v>
      </c>
      <c r="E60" s="2">
        <v>197.82999999999998</v>
      </c>
      <c r="F60" s="2" t="s">
        <v>1769</v>
      </c>
      <c r="G60">
        <f>MROUND(Table_2[[#This Row],[Amount in Sales]],5)</f>
        <v>740</v>
      </c>
    </row>
    <row r="61" spans="1:7" ht="14.25" customHeight="1" x14ac:dyDescent="0.3">
      <c r="A61" s="2" t="s">
        <v>287</v>
      </c>
      <c r="B61" s="2" t="s">
        <v>1764</v>
      </c>
      <c r="C61" s="12">
        <v>44742</v>
      </c>
      <c r="D61" s="2">
        <v>789</v>
      </c>
      <c r="E61" s="2">
        <v>167.67999999999998</v>
      </c>
      <c r="F61" s="2" t="s">
        <v>1771</v>
      </c>
      <c r="G61">
        <f>MROUND(Table_2[[#This Row],[Amount in Sales]],5)</f>
        <v>790</v>
      </c>
    </row>
    <row r="62" spans="1:7" ht="14.25" customHeight="1" x14ac:dyDescent="0.3">
      <c r="A62" s="2" t="s">
        <v>290</v>
      </c>
      <c r="B62" s="2" t="s">
        <v>1766</v>
      </c>
      <c r="C62" s="12">
        <v>44754</v>
      </c>
      <c r="D62" s="2">
        <v>783</v>
      </c>
      <c r="E62" s="2">
        <v>86.09</v>
      </c>
      <c r="F62" s="2" t="s">
        <v>1765</v>
      </c>
      <c r="G62">
        <f>MROUND(Table_2[[#This Row],[Amount in Sales]],5)</f>
        <v>785</v>
      </c>
    </row>
    <row r="63" spans="1:7" ht="14.25" customHeight="1" x14ac:dyDescent="0.3">
      <c r="A63" s="2" t="s">
        <v>292</v>
      </c>
      <c r="B63" s="2" t="s">
        <v>1768</v>
      </c>
      <c r="C63" s="12">
        <v>44746</v>
      </c>
      <c r="D63" s="2">
        <v>523</v>
      </c>
      <c r="E63" s="2">
        <v>280.37</v>
      </c>
      <c r="F63" s="2" t="s">
        <v>1767</v>
      </c>
      <c r="G63">
        <f>MROUND(Table_2[[#This Row],[Amount in Sales]],5)</f>
        <v>525</v>
      </c>
    </row>
    <row r="64" spans="1:7" ht="14.25" customHeight="1" x14ac:dyDescent="0.3">
      <c r="A64" s="2" t="s">
        <v>294</v>
      </c>
      <c r="B64" s="2" t="s">
        <v>1770</v>
      </c>
      <c r="C64" s="12">
        <v>44752</v>
      </c>
      <c r="D64" s="2">
        <v>737</v>
      </c>
      <c r="E64" s="2">
        <v>27.650000000000002</v>
      </c>
      <c r="F64" s="2" t="s">
        <v>1769</v>
      </c>
      <c r="G64">
        <f>MROUND(Table_2[[#This Row],[Amount in Sales]],5)</f>
        <v>735</v>
      </c>
    </row>
    <row r="65" spans="1:7" ht="14.25" customHeight="1" x14ac:dyDescent="0.3">
      <c r="A65" s="2" t="s">
        <v>296</v>
      </c>
      <c r="B65" s="2" t="s">
        <v>1772</v>
      </c>
      <c r="C65" s="12">
        <v>44725</v>
      </c>
      <c r="D65" s="2">
        <v>879</v>
      </c>
      <c r="E65" s="2">
        <v>21.930000000000003</v>
      </c>
      <c r="F65" s="2" t="s">
        <v>1771</v>
      </c>
      <c r="G65">
        <f>MROUND(Table_2[[#This Row],[Amount in Sales]],5)</f>
        <v>880</v>
      </c>
    </row>
    <row r="66" spans="1:7" ht="14.25" customHeight="1" x14ac:dyDescent="0.3">
      <c r="A66" s="2" t="s">
        <v>298</v>
      </c>
      <c r="B66" s="2" t="s">
        <v>1773</v>
      </c>
      <c r="C66" s="12">
        <v>44734</v>
      </c>
      <c r="D66" s="2">
        <v>865</v>
      </c>
      <c r="E66" s="2">
        <v>8.76</v>
      </c>
      <c r="F66" s="2" t="s">
        <v>1765</v>
      </c>
      <c r="G66">
        <f>MROUND(Table_2[[#This Row],[Amount in Sales]],5)</f>
        <v>865</v>
      </c>
    </row>
    <row r="67" spans="1:7" ht="14.25" customHeight="1" x14ac:dyDescent="0.3">
      <c r="A67" s="2" t="s">
        <v>300</v>
      </c>
      <c r="B67" s="2" t="s">
        <v>1764</v>
      </c>
      <c r="C67" s="12">
        <v>44761</v>
      </c>
      <c r="D67" s="2">
        <v>855</v>
      </c>
      <c r="E67" s="2">
        <v>111.91000000000001</v>
      </c>
      <c r="F67" s="2" t="s">
        <v>1767</v>
      </c>
      <c r="G67">
        <f>MROUND(Table_2[[#This Row],[Amount in Sales]],5)</f>
        <v>855</v>
      </c>
    </row>
    <row r="68" spans="1:7" ht="14.25" customHeight="1" x14ac:dyDescent="0.3">
      <c r="A68" s="2" t="s">
        <v>302</v>
      </c>
      <c r="B68" s="2" t="s">
        <v>1766</v>
      </c>
      <c r="C68" s="12">
        <v>44735</v>
      </c>
      <c r="D68" s="2">
        <v>429</v>
      </c>
      <c r="E68" s="2">
        <v>28.73</v>
      </c>
      <c r="F68" s="2" t="s">
        <v>1769</v>
      </c>
      <c r="G68">
        <f>MROUND(Table_2[[#This Row],[Amount in Sales]],5)</f>
        <v>430</v>
      </c>
    </row>
    <row r="69" spans="1:7" ht="14.25" customHeight="1" x14ac:dyDescent="0.3">
      <c r="A69" s="2" t="s">
        <v>304</v>
      </c>
      <c r="B69" s="2" t="s">
        <v>1768</v>
      </c>
      <c r="C69" s="12">
        <v>44753</v>
      </c>
      <c r="D69" s="2">
        <v>865</v>
      </c>
      <c r="E69" s="2">
        <v>314.44</v>
      </c>
      <c r="F69" s="2" t="s">
        <v>1771</v>
      </c>
      <c r="G69">
        <f>MROUND(Table_2[[#This Row],[Amount in Sales]],5)</f>
        <v>865</v>
      </c>
    </row>
    <row r="70" spans="1:7" ht="14.25" customHeight="1" x14ac:dyDescent="0.3">
      <c r="A70" s="2" t="s">
        <v>306</v>
      </c>
      <c r="B70" s="2" t="s">
        <v>1770</v>
      </c>
      <c r="C70" s="12">
        <v>44732</v>
      </c>
      <c r="D70" s="2">
        <v>724</v>
      </c>
      <c r="E70" s="2">
        <v>223.29999999999998</v>
      </c>
      <c r="F70" s="2" t="s">
        <v>1765</v>
      </c>
      <c r="G70">
        <f>MROUND(Table_2[[#This Row],[Amount in Sales]],5)</f>
        <v>725</v>
      </c>
    </row>
    <row r="71" spans="1:7" ht="14.25" customHeight="1" x14ac:dyDescent="0.3">
      <c r="A71" s="2" t="s">
        <v>308</v>
      </c>
      <c r="B71" s="2" t="s">
        <v>1764</v>
      </c>
      <c r="C71" s="12">
        <v>44748</v>
      </c>
      <c r="D71" s="2">
        <v>661</v>
      </c>
      <c r="E71" s="2">
        <v>140.70999999999998</v>
      </c>
      <c r="F71" s="2" t="s">
        <v>1767</v>
      </c>
      <c r="G71">
        <f>MROUND(Table_2[[#This Row],[Amount in Sales]],5)</f>
        <v>660</v>
      </c>
    </row>
    <row r="72" spans="1:7" ht="14.25" customHeight="1" x14ac:dyDescent="0.3">
      <c r="A72" s="2" t="s">
        <v>310</v>
      </c>
      <c r="B72" s="2" t="s">
        <v>1766</v>
      </c>
      <c r="C72" s="12">
        <v>44731</v>
      </c>
      <c r="D72" s="2">
        <v>265</v>
      </c>
      <c r="E72" s="2">
        <v>29.28</v>
      </c>
      <c r="F72" s="2" t="s">
        <v>1769</v>
      </c>
      <c r="G72">
        <f>MROUND(Table_2[[#This Row],[Amount in Sales]],5)</f>
        <v>265</v>
      </c>
    </row>
    <row r="73" spans="1:7" ht="14.25" customHeight="1" x14ac:dyDescent="0.3">
      <c r="A73" s="2" t="s">
        <v>312</v>
      </c>
      <c r="B73" s="2" t="s">
        <v>1768</v>
      </c>
      <c r="C73" s="12">
        <v>44725</v>
      </c>
      <c r="D73" s="2">
        <v>429</v>
      </c>
      <c r="E73" s="2">
        <v>20.94</v>
      </c>
      <c r="F73" s="2" t="s">
        <v>1771</v>
      </c>
      <c r="G73">
        <f>MROUND(Table_2[[#This Row],[Amount in Sales]],5)</f>
        <v>430</v>
      </c>
    </row>
    <row r="74" spans="1:7" ht="14.25" customHeight="1" x14ac:dyDescent="0.3">
      <c r="A74" s="2" t="s">
        <v>314</v>
      </c>
      <c r="B74" s="2" t="s">
        <v>1770</v>
      </c>
      <c r="C74" s="12">
        <v>44753</v>
      </c>
      <c r="D74" s="2">
        <v>756</v>
      </c>
      <c r="E74" s="2">
        <v>210.76999999999998</v>
      </c>
      <c r="F74" s="2" t="s">
        <v>1765</v>
      </c>
      <c r="G74">
        <f>MROUND(Table_2[[#This Row],[Amount in Sales]],5)</f>
        <v>755</v>
      </c>
    </row>
    <row r="75" spans="1:7" ht="14.25" customHeight="1" x14ac:dyDescent="0.3">
      <c r="A75" s="2" t="s">
        <v>316</v>
      </c>
      <c r="B75" s="2" t="s">
        <v>1772</v>
      </c>
      <c r="C75" s="12">
        <v>44738</v>
      </c>
      <c r="D75" s="2">
        <v>535</v>
      </c>
      <c r="E75" s="2">
        <v>40.69</v>
      </c>
      <c r="F75" s="2" t="s">
        <v>1767</v>
      </c>
      <c r="G75">
        <f>MROUND(Table_2[[#This Row],[Amount in Sales]],5)</f>
        <v>535</v>
      </c>
    </row>
    <row r="76" spans="1:7" ht="14.25" customHeight="1" x14ac:dyDescent="0.3">
      <c r="A76" s="2" t="s">
        <v>318</v>
      </c>
      <c r="B76" s="2" t="s">
        <v>1764</v>
      </c>
      <c r="C76" s="12">
        <v>44762</v>
      </c>
      <c r="D76" s="2">
        <v>763</v>
      </c>
      <c r="E76" s="2">
        <v>91.990000000000009</v>
      </c>
      <c r="F76" s="2" t="s">
        <v>1769</v>
      </c>
      <c r="G76">
        <f>MROUND(Table_2[[#This Row],[Amount in Sales]],5)</f>
        <v>765</v>
      </c>
    </row>
    <row r="77" spans="1:7" ht="14.25" customHeight="1" x14ac:dyDescent="0.3">
      <c r="A77" s="2" t="s">
        <v>320</v>
      </c>
      <c r="B77" s="2" t="s">
        <v>1766</v>
      </c>
      <c r="C77" s="12">
        <v>44756</v>
      </c>
      <c r="D77" s="2">
        <v>817</v>
      </c>
      <c r="E77" s="2">
        <v>247.42</v>
      </c>
      <c r="F77" s="2" t="s">
        <v>1771</v>
      </c>
      <c r="G77">
        <f>MROUND(Table_2[[#This Row],[Amount in Sales]],5)</f>
        <v>815</v>
      </c>
    </row>
    <row r="78" spans="1:7" ht="14.25" customHeight="1" x14ac:dyDescent="0.3">
      <c r="A78" s="2" t="s">
        <v>322</v>
      </c>
      <c r="B78" s="2" t="s">
        <v>1768</v>
      </c>
      <c r="C78" s="12">
        <v>44744</v>
      </c>
      <c r="D78" s="2">
        <v>580</v>
      </c>
      <c r="E78" s="2">
        <v>240.14</v>
      </c>
      <c r="F78" s="2" t="s">
        <v>1765</v>
      </c>
      <c r="G78">
        <f>MROUND(Table_2[[#This Row],[Amount in Sales]],5)</f>
        <v>580</v>
      </c>
    </row>
    <row r="79" spans="1:7" ht="14.25" customHeight="1" x14ac:dyDescent="0.3">
      <c r="A79" s="2" t="s">
        <v>324</v>
      </c>
      <c r="B79" s="2" t="s">
        <v>1770</v>
      </c>
      <c r="C79" s="12">
        <v>44753</v>
      </c>
      <c r="D79" s="2">
        <v>824</v>
      </c>
      <c r="E79" s="2">
        <v>5.08</v>
      </c>
      <c r="F79" s="2" t="s">
        <v>1767</v>
      </c>
      <c r="G79">
        <f>MROUND(Table_2[[#This Row],[Amount in Sales]],5)</f>
        <v>825</v>
      </c>
    </row>
    <row r="80" spans="1:7" ht="14.25" customHeight="1" x14ac:dyDescent="0.3">
      <c r="A80" s="2" t="s">
        <v>326</v>
      </c>
      <c r="B80" s="2" t="s">
        <v>1764</v>
      </c>
      <c r="C80" s="12">
        <v>44762</v>
      </c>
      <c r="D80" s="2">
        <v>849</v>
      </c>
      <c r="E80" s="2">
        <v>89.12</v>
      </c>
      <c r="F80" s="2" t="s">
        <v>1769</v>
      </c>
      <c r="G80">
        <f>MROUND(Table_2[[#This Row],[Amount in Sales]],5)</f>
        <v>850</v>
      </c>
    </row>
    <row r="81" spans="1:7" ht="14.25" customHeight="1" x14ac:dyDescent="0.3">
      <c r="A81" s="2" t="s">
        <v>328</v>
      </c>
      <c r="B81" s="2" t="s">
        <v>1766</v>
      </c>
      <c r="C81" s="12">
        <v>44740</v>
      </c>
      <c r="D81" s="2">
        <v>739</v>
      </c>
      <c r="E81" s="2">
        <v>217.1</v>
      </c>
      <c r="F81" s="2" t="s">
        <v>1771</v>
      </c>
      <c r="G81">
        <f>MROUND(Table_2[[#This Row],[Amount in Sales]],5)</f>
        <v>740</v>
      </c>
    </row>
    <row r="82" spans="1:7" ht="14.25" customHeight="1" x14ac:dyDescent="0.3">
      <c r="A82" s="2" t="s">
        <v>330</v>
      </c>
      <c r="B82" s="2" t="s">
        <v>1768</v>
      </c>
      <c r="C82" s="12">
        <v>44729</v>
      </c>
      <c r="D82" s="2">
        <v>755</v>
      </c>
      <c r="E82" s="2">
        <v>427.03</v>
      </c>
      <c r="F82" s="2" t="s">
        <v>1765</v>
      </c>
      <c r="G82">
        <f>MROUND(Table_2[[#This Row],[Amount in Sales]],5)</f>
        <v>755</v>
      </c>
    </row>
    <row r="83" spans="1:7" ht="14.25" customHeight="1" x14ac:dyDescent="0.3">
      <c r="A83" s="2" t="s">
        <v>332</v>
      </c>
      <c r="B83" s="2" t="s">
        <v>1770</v>
      </c>
      <c r="C83" s="12">
        <v>44727</v>
      </c>
      <c r="D83" s="2">
        <v>535</v>
      </c>
      <c r="E83" s="2">
        <v>75.87</v>
      </c>
      <c r="F83" s="2" t="s">
        <v>1767</v>
      </c>
      <c r="G83">
        <f>MROUND(Table_2[[#This Row],[Amount in Sales]],5)</f>
        <v>535</v>
      </c>
    </row>
    <row r="84" spans="1:7" ht="14.25" customHeight="1" x14ac:dyDescent="0.3">
      <c r="A84" s="2" t="s">
        <v>334</v>
      </c>
      <c r="B84" s="2" t="s">
        <v>1772</v>
      </c>
      <c r="C84" s="12">
        <v>44734</v>
      </c>
      <c r="D84" s="2">
        <v>819</v>
      </c>
      <c r="E84" s="2">
        <v>161.57</v>
      </c>
      <c r="F84" s="2" t="s">
        <v>1769</v>
      </c>
      <c r="G84">
        <f>MROUND(Table_2[[#This Row],[Amount in Sales]],5)</f>
        <v>820</v>
      </c>
    </row>
    <row r="85" spans="1:7" ht="14.25" customHeight="1" x14ac:dyDescent="0.3">
      <c r="A85" s="2" t="s">
        <v>336</v>
      </c>
      <c r="B85" s="2" t="s">
        <v>1773</v>
      </c>
      <c r="C85" s="12">
        <v>44744</v>
      </c>
      <c r="D85" s="2">
        <v>237</v>
      </c>
      <c r="E85" s="2">
        <v>37.989999999999995</v>
      </c>
      <c r="F85" s="2" t="s">
        <v>1771</v>
      </c>
      <c r="G85">
        <f>MROUND(Table_2[[#This Row],[Amount in Sales]],5)</f>
        <v>235</v>
      </c>
    </row>
    <row r="86" spans="1:7" ht="14.25" customHeight="1" x14ac:dyDescent="0.3">
      <c r="A86" s="2" t="s">
        <v>338</v>
      </c>
      <c r="B86" s="2" t="s">
        <v>1764</v>
      </c>
      <c r="C86" s="12">
        <v>44737</v>
      </c>
      <c r="D86" s="2">
        <v>277</v>
      </c>
      <c r="E86" s="2">
        <v>10.19</v>
      </c>
      <c r="F86" s="2" t="s">
        <v>1765</v>
      </c>
      <c r="G86">
        <f>MROUND(Table_2[[#This Row],[Amount in Sales]],5)</f>
        <v>275</v>
      </c>
    </row>
    <row r="87" spans="1:7" ht="14.25" customHeight="1" x14ac:dyDescent="0.3">
      <c r="A87" s="2" t="s">
        <v>340</v>
      </c>
      <c r="B87" s="2" t="s">
        <v>1766</v>
      </c>
      <c r="C87" s="12">
        <v>44752</v>
      </c>
      <c r="D87" s="2">
        <v>362</v>
      </c>
      <c r="E87" s="2">
        <v>43.62</v>
      </c>
      <c r="F87" s="2" t="s">
        <v>1767</v>
      </c>
      <c r="G87">
        <f>MROUND(Table_2[[#This Row],[Amount in Sales]],5)</f>
        <v>360</v>
      </c>
    </row>
    <row r="88" spans="1:7" ht="14.25" customHeight="1" x14ac:dyDescent="0.3">
      <c r="A88" s="2" t="s">
        <v>342</v>
      </c>
      <c r="B88" s="2" t="s">
        <v>1768</v>
      </c>
      <c r="C88" s="12">
        <v>44736</v>
      </c>
      <c r="D88" s="2">
        <v>511</v>
      </c>
      <c r="E88" s="2">
        <v>197.44</v>
      </c>
      <c r="F88" s="2" t="s">
        <v>1769</v>
      </c>
      <c r="G88">
        <f>MROUND(Table_2[[#This Row],[Amount in Sales]],5)</f>
        <v>510</v>
      </c>
    </row>
    <row r="89" spans="1:7" ht="14.25" customHeight="1" x14ac:dyDescent="0.3">
      <c r="A89" s="2" t="s">
        <v>344</v>
      </c>
      <c r="B89" s="2" t="s">
        <v>1770</v>
      </c>
      <c r="C89" s="12">
        <v>44752</v>
      </c>
      <c r="D89" s="2">
        <v>658</v>
      </c>
      <c r="E89" s="2">
        <v>165.23999999999998</v>
      </c>
      <c r="F89" s="2" t="s">
        <v>1771</v>
      </c>
      <c r="G89">
        <f>MROUND(Table_2[[#This Row],[Amount in Sales]],5)</f>
        <v>660</v>
      </c>
    </row>
    <row r="90" spans="1:7" ht="14.25" customHeight="1" x14ac:dyDescent="0.3">
      <c r="A90" s="2" t="s">
        <v>346</v>
      </c>
      <c r="B90" s="2" t="s">
        <v>1764</v>
      </c>
      <c r="C90" s="12">
        <v>44759</v>
      </c>
      <c r="D90" s="2">
        <v>412</v>
      </c>
      <c r="E90" s="2">
        <v>74.570000000000007</v>
      </c>
      <c r="F90" s="2" t="s">
        <v>1765</v>
      </c>
      <c r="G90">
        <f>MROUND(Table_2[[#This Row],[Amount in Sales]],5)</f>
        <v>410</v>
      </c>
    </row>
    <row r="91" spans="1:7" ht="14.25" customHeight="1" x14ac:dyDescent="0.3">
      <c r="A91" s="2" t="s">
        <v>348</v>
      </c>
      <c r="B91" s="2" t="s">
        <v>1766</v>
      </c>
      <c r="C91" s="12">
        <v>44763</v>
      </c>
      <c r="D91" s="2">
        <v>401</v>
      </c>
      <c r="E91" s="2">
        <v>69.63000000000001</v>
      </c>
      <c r="F91" s="2" t="s">
        <v>1767</v>
      </c>
      <c r="G91">
        <f>MROUND(Table_2[[#This Row],[Amount in Sales]],5)</f>
        <v>400</v>
      </c>
    </row>
    <row r="92" spans="1:7" ht="14.25" customHeight="1" x14ac:dyDescent="0.3">
      <c r="A92" s="2" t="s">
        <v>350</v>
      </c>
      <c r="B92" s="2" t="s">
        <v>1768</v>
      </c>
      <c r="C92" s="12">
        <v>44763</v>
      </c>
      <c r="D92" s="2">
        <v>871</v>
      </c>
      <c r="E92" s="2">
        <v>657.52</v>
      </c>
      <c r="F92" s="2" t="s">
        <v>1769</v>
      </c>
      <c r="G92">
        <f>MROUND(Table_2[[#This Row],[Amount in Sales]],5)</f>
        <v>870</v>
      </c>
    </row>
    <row r="93" spans="1:7" ht="14.25" customHeight="1" x14ac:dyDescent="0.3">
      <c r="A93" s="2" t="s">
        <v>352</v>
      </c>
      <c r="B93" s="2" t="s">
        <v>1770</v>
      </c>
      <c r="C93" s="12">
        <v>44750</v>
      </c>
      <c r="D93" s="2">
        <v>564</v>
      </c>
      <c r="E93" s="2">
        <v>235.89999999999998</v>
      </c>
      <c r="F93" s="2" t="s">
        <v>1771</v>
      </c>
      <c r="G93">
        <f>MROUND(Table_2[[#This Row],[Amount in Sales]],5)</f>
        <v>565</v>
      </c>
    </row>
    <row r="94" spans="1:7" ht="14.25" customHeight="1" x14ac:dyDescent="0.3">
      <c r="A94" s="2" t="s">
        <v>354</v>
      </c>
      <c r="B94" s="2" t="s">
        <v>1764</v>
      </c>
      <c r="C94" s="12">
        <v>44751</v>
      </c>
      <c r="D94" s="2">
        <v>780</v>
      </c>
      <c r="E94" s="2">
        <v>407.03999999999996</v>
      </c>
      <c r="F94" s="2" t="s">
        <v>1765</v>
      </c>
      <c r="G94">
        <f>MROUND(Table_2[[#This Row],[Amount in Sales]],5)</f>
        <v>780</v>
      </c>
    </row>
    <row r="95" spans="1:7" ht="14.25" customHeight="1" x14ac:dyDescent="0.3">
      <c r="A95" s="2" t="s">
        <v>356</v>
      </c>
      <c r="B95" s="2" t="s">
        <v>1766</v>
      </c>
      <c r="C95" s="12">
        <v>44736</v>
      </c>
      <c r="D95" s="2">
        <v>789</v>
      </c>
      <c r="E95" s="2">
        <v>347.74</v>
      </c>
      <c r="F95" s="2" t="s">
        <v>1767</v>
      </c>
      <c r="G95">
        <f>MROUND(Table_2[[#This Row],[Amount in Sales]],5)</f>
        <v>790</v>
      </c>
    </row>
    <row r="96" spans="1:7" ht="14.25" customHeight="1" x14ac:dyDescent="0.3">
      <c r="A96" s="2" t="s">
        <v>358</v>
      </c>
      <c r="B96" s="2" t="s">
        <v>1768</v>
      </c>
      <c r="C96" s="12">
        <v>44737</v>
      </c>
      <c r="D96" s="2">
        <v>697</v>
      </c>
      <c r="E96" s="2">
        <v>209.97</v>
      </c>
      <c r="F96" s="2" t="s">
        <v>1769</v>
      </c>
      <c r="G96">
        <f>MROUND(Table_2[[#This Row],[Amount in Sales]],5)</f>
        <v>695</v>
      </c>
    </row>
    <row r="97" spans="1:7" ht="14.25" customHeight="1" x14ac:dyDescent="0.3">
      <c r="A97" s="2" t="s">
        <v>360</v>
      </c>
      <c r="B97" s="2" t="s">
        <v>1770</v>
      </c>
      <c r="C97" s="12">
        <v>44744</v>
      </c>
      <c r="D97" s="2">
        <v>546</v>
      </c>
      <c r="E97" s="2">
        <v>229.44</v>
      </c>
      <c r="F97" s="2" t="s">
        <v>1771</v>
      </c>
      <c r="G97">
        <f>MROUND(Table_2[[#This Row],[Amount in Sales]],5)</f>
        <v>545</v>
      </c>
    </row>
    <row r="98" spans="1:7" ht="14.25" customHeight="1" x14ac:dyDescent="0.3">
      <c r="A98" s="2" t="s">
        <v>362</v>
      </c>
      <c r="B98" s="2" t="s">
        <v>1764</v>
      </c>
      <c r="C98" s="12">
        <v>44735</v>
      </c>
      <c r="D98" s="2">
        <v>689</v>
      </c>
      <c r="E98" s="2">
        <v>263.06</v>
      </c>
      <c r="F98" s="2" t="s">
        <v>1765</v>
      </c>
      <c r="G98">
        <f>MROUND(Table_2[[#This Row],[Amount in Sales]],5)</f>
        <v>690</v>
      </c>
    </row>
    <row r="99" spans="1:7" ht="14.25" customHeight="1" x14ac:dyDescent="0.3">
      <c r="A99" s="2" t="s">
        <v>364</v>
      </c>
      <c r="B99" s="2" t="s">
        <v>1766</v>
      </c>
      <c r="C99" s="12">
        <v>44751</v>
      </c>
      <c r="D99" s="2">
        <v>298</v>
      </c>
      <c r="E99" s="2">
        <v>1.45</v>
      </c>
      <c r="F99" s="2" t="s">
        <v>1767</v>
      </c>
      <c r="G99">
        <f>MROUND(Table_2[[#This Row],[Amount in Sales]],5)</f>
        <v>300</v>
      </c>
    </row>
    <row r="100" spans="1:7" ht="14.25" customHeight="1" x14ac:dyDescent="0.3">
      <c r="A100" s="2" t="s">
        <v>366</v>
      </c>
      <c r="B100" s="2" t="s">
        <v>1768</v>
      </c>
      <c r="C100" s="12">
        <v>44726</v>
      </c>
      <c r="D100" s="2">
        <v>570</v>
      </c>
      <c r="E100" s="2">
        <v>363.99</v>
      </c>
      <c r="F100" s="2" t="s">
        <v>1769</v>
      </c>
      <c r="G100">
        <f>MROUND(Table_2[[#This Row],[Amount in Sales]],5)</f>
        <v>570</v>
      </c>
    </row>
    <row r="101" spans="1:7" ht="14.25" customHeight="1" x14ac:dyDescent="0.3">
      <c r="A101" s="2" t="s">
        <v>368</v>
      </c>
      <c r="B101" s="2" t="s">
        <v>1770</v>
      </c>
      <c r="C101" s="12">
        <v>44749</v>
      </c>
      <c r="D101" s="2">
        <v>884</v>
      </c>
      <c r="E101" s="2">
        <v>818.1</v>
      </c>
      <c r="F101" s="2" t="s">
        <v>1771</v>
      </c>
      <c r="G101">
        <f>MROUND(Table_2[[#This Row],[Amount in Sales]],5)</f>
        <v>885</v>
      </c>
    </row>
    <row r="102" spans="1:7" ht="14.25" customHeight="1" x14ac:dyDescent="0.3">
      <c r="A102" s="2" t="s">
        <v>370</v>
      </c>
      <c r="B102" s="2" t="s">
        <v>1772</v>
      </c>
      <c r="C102" s="12">
        <v>44734</v>
      </c>
      <c r="D102" s="2">
        <v>607</v>
      </c>
      <c r="E102" s="2">
        <v>29.790000000000003</v>
      </c>
      <c r="F102" s="2" t="s">
        <v>1765</v>
      </c>
      <c r="G102">
        <f>MROUND(Table_2[[#This Row],[Amount in Sales]],5)</f>
        <v>605</v>
      </c>
    </row>
    <row r="103" spans="1:7" ht="14.25" customHeight="1" x14ac:dyDescent="0.3">
      <c r="A103" s="2" t="s">
        <v>372</v>
      </c>
      <c r="B103" s="2" t="s">
        <v>1764</v>
      </c>
      <c r="C103" s="12">
        <v>44726</v>
      </c>
      <c r="D103" s="2">
        <v>805</v>
      </c>
      <c r="E103" s="2">
        <v>634.01</v>
      </c>
      <c r="F103" s="2" t="s">
        <v>1767</v>
      </c>
      <c r="G103">
        <f>MROUND(Table_2[[#This Row],[Amount in Sales]],5)</f>
        <v>805</v>
      </c>
    </row>
    <row r="104" spans="1:7" ht="14.25" customHeight="1" x14ac:dyDescent="0.3">
      <c r="A104" s="2" t="s">
        <v>374</v>
      </c>
      <c r="B104" s="2" t="s">
        <v>1766</v>
      </c>
      <c r="C104" s="12">
        <v>44743</v>
      </c>
      <c r="D104" s="2">
        <v>842</v>
      </c>
      <c r="E104" s="2">
        <v>376.26</v>
      </c>
      <c r="F104" s="2" t="s">
        <v>1769</v>
      </c>
      <c r="G104">
        <f>MROUND(Table_2[[#This Row],[Amount in Sales]],5)</f>
        <v>840</v>
      </c>
    </row>
    <row r="105" spans="1:7" ht="14.25" customHeight="1" x14ac:dyDescent="0.3">
      <c r="A105" s="2" t="s">
        <v>376</v>
      </c>
      <c r="B105" s="2" t="s">
        <v>1768</v>
      </c>
      <c r="C105" s="12">
        <v>44742</v>
      </c>
      <c r="D105" s="2">
        <v>508</v>
      </c>
      <c r="E105" s="2">
        <v>455.55</v>
      </c>
      <c r="F105" s="2" t="s">
        <v>1771</v>
      </c>
      <c r="G105">
        <f>MROUND(Table_2[[#This Row],[Amount in Sales]],5)</f>
        <v>510</v>
      </c>
    </row>
    <row r="106" spans="1:7" ht="14.25" customHeight="1" x14ac:dyDescent="0.3">
      <c r="A106" s="2" t="s">
        <v>378</v>
      </c>
      <c r="B106" s="2" t="s">
        <v>1770</v>
      </c>
      <c r="C106" s="12">
        <v>44747</v>
      </c>
      <c r="D106" s="2">
        <v>819</v>
      </c>
      <c r="E106" s="2">
        <v>26.520000000000003</v>
      </c>
      <c r="F106" s="2" t="s">
        <v>1765</v>
      </c>
      <c r="G106">
        <f>MROUND(Table_2[[#This Row],[Amount in Sales]],5)</f>
        <v>820</v>
      </c>
    </row>
    <row r="107" spans="1:7" ht="14.25" customHeight="1" x14ac:dyDescent="0.3">
      <c r="A107" s="2" t="s">
        <v>380</v>
      </c>
      <c r="B107" s="2" t="s">
        <v>1764</v>
      </c>
      <c r="C107" s="12">
        <v>44764</v>
      </c>
      <c r="D107" s="2">
        <v>818</v>
      </c>
      <c r="E107" s="2">
        <v>770.95</v>
      </c>
      <c r="F107" s="2" t="s">
        <v>1767</v>
      </c>
      <c r="G107">
        <f>MROUND(Table_2[[#This Row],[Amount in Sales]],5)</f>
        <v>820</v>
      </c>
    </row>
    <row r="108" spans="1:7" ht="14.25" customHeight="1" x14ac:dyDescent="0.3">
      <c r="A108" s="2" t="s">
        <v>383</v>
      </c>
      <c r="B108" s="2" t="s">
        <v>1766</v>
      </c>
      <c r="C108" s="12">
        <v>44735</v>
      </c>
      <c r="D108" s="2">
        <v>482</v>
      </c>
      <c r="E108" s="2">
        <v>119.85000000000001</v>
      </c>
      <c r="F108" s="2" t="s">
        <v>1769</v>
      </c>
      <c r="G108">
        <f>MROUND(Table_2[[#This Row],[Amount in Sales]],5)</f>
        <v>480</v>
      </c>
    </row>
    <row r="109" spans="1:7" ht="14.25" customHeight="1" x14ac:dyDescent="0.3">
      <c r="A109" s="2" t="s">
        <v>385</v>
      </c>
      <c r="B109" s="2" t="s">
        <v>1768</v>
      </c>
      <c r="C109" s="12">
        <v>44737</v>
      </c>
      <c r="D109" s="2">
        <v>302</v>
      </c>
      <c r="E109" s="2">
        <v>15.07</v>
      </c>
      <c r="F109" s="2" t="s">
        <v>1771</v>
      </c>
      <c r="G109">
        <f>MROUND(Table_2[[#This Row],[Amount in Sales]],5)</f>
        <v>300</v>
      </c>
    </row>
    <row r="110" spans="1:7" ht="14.25" customHeight="1" x14ac:dyDescent="0.3">
      <c r="A110" s="2" t="s">
        <v>387</v>
      </c>
      <c r="B110" s="2" t="s">
        <v>1770</v>
      </c>
      <c r="C110" s="12">
        <v>44749</v>
      </c>
      <c r="D110" s="2">
        <v>861</v>
      </c>
      <c r="E110" s="2">
        <v>427.21999999999997</v>
      </c>
      <c r="F110" s="2" t="s">
        <v>1765</v>
      </c>
      <c r="G110">
        <f>MROUND(Table_2[[#This Row],[Amount in Sales]],5)</f>
        <v>860</v>
      </c>
    </row>
    <row r="111" spans="1:7" ht="14.25" customHeight="1" x14ac:dyDescent="0.3">
      <c r="A111" s="2" t="s">
        <v>389</v>
      </c>
      <c r="B111" s="2" t="s">
        <v>1772</v>
      </c>
      <c r="C111" s="12">
        <v>44729</v>
      </c>
      <c r="D111" s="2">
        <v>756</v>
      </c>
      <c r="E111" s="2">
        <v>475.45</v>
      </c>
      <c r="F111" s="2" t="s">
        <v>1767</v>
      </c>
      <c r="G111">
        <f>MROUND(Table_2[[#This Row],[Amount in Sales]],5)</f>
        <v>755</v>
      </c>
    </row>
    <row r="112" spans="1:7" ht="14.25" customHeight="1" x14ac:dyDescent="0.3">
      <c r="A112" s="2" t="s">
        <v>391</v>
      </c>
      <c r="B112" s="2" t="s">
        <v>1773</v>
      </c>
      <c r="C112" s="12">
        <v>44738</v>
      </c>
      <c r="D112" s="2">
        <v>756</v>
      </c>
      <c r="E112" s="2">
        <v>662.11</v>
      </c>
      <c r="F112" s="2" t="s">
        <v>1769</v>
      </c>
      <c r="G112">
        <f>MROUND(Table_2[[#This Row],[Amount in Sales]],5)</f>
        <v>755</v>
      </c>
    </row>
    <row r="113" spans="1:7" ht="14.25" customHeight="1" x14ac:dyDescent="0.3">
      <c r="A113" s="2" t="s">
        <v>393</v>
      </c>
      <c r="B113" s="2" t="s">
        <v>1764</v>
      </c>
      <c r="C113" s="12">
        <v>44740</v>
      </c>
      <c r="D113" s="2">
        <v>807</v>
      </c>
      <c r="E113" s="2">
        <v>299.15999999999997</v>
      </c>
      <c r="F113" s="2" t="s">
        <v>1771</v>
      </c>
      <c r="G113">
        <f>MROUND(Table_2[[#This Row],[Amount in Sales]],5)</f>
        <v>805</v>
      </c>
    </row>
    <row r="114" spans="1:7" ht="14.25" customHeight="1" x14ac:dyDescent="0.3">
      <c r="A114" s="2" t="s">
        <v>395</v>
      </c>
      <c r="B114" s="2" t="s">
        <v>1766</v>
      </c>
      <c r="C114" s="12">
        <v>44755</v>
      </c>
      <c r="D114" s="2">
        <v>628</v>
      </c>
      <c r="E114" s="2">
        <v>404.58</v>
      </c>
      <c r="F114" s="2" t="s">
        <v>1765</v>
      </c>
      <c r="G114">
        <f>MROUND(Table_2[[#This Row],[Amount in Sales]],5)</f>
        <v>630</v>
      </c>
    </row>
    <row r="115" spans="1:7" ht="14.25" customHeight="1" x14ac:dyDescent="0.3">
      <c r="A115" s="2" t="s">
        <v>397</v>
      </c>
      <c r="B115" s="2" t="s">
        <v>1768</v>
      </c>
      <c r="C115" s="12">
        <v>44755</v>
      </c>
      <c r="D115" s="2">
        <v>509</v>
      </c>
      <c r="E115" s="2">
        <v>390.17</v>
      </c>
      <c r="F115" s="2" t="s">
        <v>1767</v>
      </c>
      <c r="G115">
        <f>MROUND(Table_2[[#This Row],[Amount in Sales]],5)</f>
        <v>510</v>
      </c>
    </row>
    <row r="116" spans="1:7" ht="14.25" customHeight="1" x14ac:dyDescent="0.3">
      <c r="A116" s="2" t="s">
        <v>399</v>
      </c>
      <c r="B116" s="2" t="s">
        <v>1770</v>
      </c>
      <c r="C116" s="12">
        <v>44764</v>
      </c>
      <c r="D116" s="2">
        <v>241</v>
      </c>
      <c r="E116" s="2">
        <v>179.35</v>
      </c>
      <c r="F116" s="2" t="s">
        <v>1769</v>
      </c>
      <c r="G116">
        <f>MROUND(Table_2[[#This Row],[Amount in Sales]],5)</f>
        <v>240</v>
      </c>
    </row>
    <row r="117" spans="1:7" ht="14.25" customHeight="1" x14ac:dyDescent="0.3">
      <c r="A117" s="2" t="s">
        <v>401</v>
      </c>
      <c r="B117" s="2" t="s">
        <v>1764</v>
      </c>
      <c r="C117" s="12">
        <v>44735</v>
      </c>
      <c r="D117" s="2">
        <v>567</v>
      </c>
      <c r="E117" s="2">
        <v>274.90999999999997</v>
      </c>
      <c r="F117" s="2" t="s">
        <v>1771</v>
      </c>
      <c r="G117">
        <f>MROUND(Table_2[[#This Row],[Amount in Sales]],5)</f>
        <v>565</v>
      </c>
    </row>
    <row r="118" spans="1:7" ht="14.25" customHeight="1" x14ac:dyDescent="0.3">
      <c r="A118" s="2" t="s">
        <v>403</v>
      </c>
      <c r="B118" s="2" t="s">
        <v>1766</v>
      </c>
      <c r="C118" s="12">
        <v>44734</v>
      </c>
      <c r="D118" s="2">
        <v>509</v>
      </c>
      <c r="E118" s="2">
        <v>53.739999999999995</v>
      </c>
      <c r="F118" s="2" t="s">
        <v>1765</v>
      </c>
      <c r="G118">
        <f>MROUND(Table_2[[#This Row],[Amount in Sales]],5)</f>
        <v>510</v>
      </c>
    </row>
    <row r="119" spans="1:7" ht="14.25" customHeight="1" x14ac:dyDescent="0.3">
      <c r="A119" s="2" t="s">
        <v>405</v>
      </c>
      <c r="B119" s="2" t="s">
        <v>1768</v>
      </c>
      <c r="C119" s="12">
        <v>44728</v>
      </c>
      <c r="D119" s="2">
        <v>326</v>
      </c>
      <c r="E119" s="2">
        <v>116.33</v>
      </c>
      <c r="F119" s="2" t="s">
        <v>1767</v>
      </c>
      <c r="G119">
        <f>MROUND(Table_2[[#This Row],[Amount in Sales]],5)</f>
        <v>325</v>
      </c>
    </row>
    <row r="120" spans="1:7" ht="14.25" customHeight="1" x14ac:dyDescent="0.3">
      <c r="A120" s="2" t="s">
        <v>407</v>
      </c>
      <c r="B120" s="2" t="s">
        <v>1770</v>
      </c>
      <c r="C120" s="12">
        <v>44739</v>
      </c>
      <c r="D120" s="2">
        <v>287</v>
      </c>
      <c r="E120" s="2">
        <v>111.84</v>
      </c>
      <c r="F120" s="2" t="s">
        <v>1769</v>
      </c>
      <c r="G120">
        <f>MROUND(Table_2[[#This Row],[Amount in Sales]],5)</f>
        <v>285</v>
      </c>
    </row>
    <row r="121" spans="1:7" ht="14.25" customHeight="1" x14ac:dyDescent="0.3">
      <c r="A121" s="2" t="s">
        <v>409</v>
      </c>
      <c r="B121" s="2" t="s">
        <v>1772</v>
      </c>
      <c r="C121" s="12">
        <v>44765</v>
      </c>
      <c r="D121" s="2">
        <v>374</v>
      </c>
      <c r="E121" s="2">
        <v>102.27000000000001</v>
      </c>
      <c r="F121" s="2" t="s">
        <v>1771</v>
      </c>
      <c r="G121">
        <f>MROUND(Table_2[[#This Row],[Amount in Sales]],5)</f>
        <v>375</v>
      </c>
    </row>
    <row r="122" spans="1:7" ht="14.25" customHeight="1" x14ac:dyDescent="0.3">
      <c r="A122" s="2" t="s">
        <v>411</v>
      </c>
      <c r="B122" s="2" t="s">
        <v>1764</v>
      </c>
      <c r="C122" s="12">
        <v>44740</v>
      </c>
      <c r="D122" s="2">
        <v>826</v>
      </c>
      <c r="E122" s="2">
        <v>565.02</v>
      </c>
      <c r="F122" s="2" t="s">
        <v>1765</v>
      </c>
      <c r="G122">
        <f>MROUND(Table_2[[#This Row],[Amount in Sales]],5)</f>
        <v>825</v>
      </c>
    </row>
    <row r="123" spans="1:7" ht="14.25" customHeight="1" x14ac:dyDescent="0.3">
      <c r="A123" s="2" t="s">
        <v>413</v>
      </c>
      <c r="B123" s="2" t="s">
        <v>1766</v>
      </c>
      <c r="C123" s="12">
        <v>44734</v>
      </c>
      <c r="D123" s="2">
        <v>276</v>
      </c>
      <c r="E123" s="2">
        <v>84.22</v>
      </c>
      <c r="F123" s="2" t="s">
        <v>1767</v>
      </c>
      <c r="G123">
        <f>MROUND(Table_2[[#This Row],[Amount in Sales]],5)</f>
        <v>275</v>
      </c>
    </row>
    <row r="124" spans="1:7" ht="14.25" customHeight="1" x14ac:dyDescent="0.3">
      <c r="A124" s="2" t="s">
        <v>415</v>
      </c>
      <c r="B124" s="2" t="s">
        <v>1768</v>
      </c>
      <c r="C124" s="12">
        <v>44727</v>
      </c>
      <c r="D124" s="2">
        <v>831</v>
      </c>
      <c r="E124" s="2">
        <v>221.34</v>
      </c>
      <c r="F124" s="2" t="s">
        <v>1769</v>
      </c>
      <c r="G124">
        <f>MROUND(Table_2[[#This Row],[Amount in Sales]],5)</f>
        <v>830</v>
      </c>
    </row>
    <row r="125" spans="1:7" ht="14.25" customHeight="1" x14ac:dyDescent="0.3">
      <c r="A125" s="2" t="s">
        <v>417</v>
      </c>
      <c r="B125" s="2" t="s">
        <v>1770</v>
      </c>
      <c r="C125" s="12">
        <v>44737</v>
      </c>
      <c r="D125" s="2">
        <v>260</v>
      </c>
      <c r="E125" s="2">
        <v>248.56</v>
      </c>
      <c r="F125" s="2" t="s">
        <v>1771</v>
      </c>
      <c r="G125">
        <f>MROUND(Table_2[[#This Row],[Amount in Sales]],5)</f>
        <v>260</v>
      </c>
    </row>
    <row r="126" spans="1:7" ht="14.25" customHeight="1" x14ac:dyDescent="0.3">
      <c r="A126" s="2" t="s">
        <v>419</v>
      </c>
      <c r="B126" s="2" t="s">
        <v>1764</v>
      </c>
      <c r="C126" s="12">
        <v>44747</v>
      </c>
      <c r="D126" s="2">
        <v>250</v>
      </c>
      <c r="E126" s="2">
        <v>196.17</v>
      </c>
      <c r="F126" s="2" t="s">
        <v>1765</v>
      </c>
      <c r="G126">
        <f>MROUND(Table_2[[#This Row],[Amount in Sales]],5)</f>
        <v>250</v>
      </c>
    </row>
    <row r="127" spans="1:7" ht="14.25" customHeight="1" x14ac:dyDescent="0.3">
      <c r="A127" s="2" t="s">
        <v>421</v>
      </c>
      <c r="B127" s="2" t="s">
        <v>1766</v>
      </c>
      <c r="C127" s="12">
        <v>44754</v>
      </c>
      <c r="D127" s="2">
        <v>245</v>
      </c>
      <c r="E127" s="2">
        <v>226.70999999999998</v>
      </c>
      <c r="F127" s="2" t="s">
        <v>1767</v>
      </c>
      <c r="G127">
        <f>MROUND(Table_2[[#This Row],[Amount in Sales]],5)</f>
        <v>245</v>
      </c>
    </row>
    <row r="128" spans="1:7" ht="14.25" customHeight="1" x14ac:dyDescent="0.3">
      <c r="A128" s="2" t="s">
        <v>423</v>
      </c>
      <c r="B128" s="2" t="s">
        <v>1768</v>
      </c>
      <c r="C128" s="12">
        <v>44760</v>
      </c>
      <c r="D128" s="2">
        <v>833</v>
      </c>
      <c r="E128" s="2">
        <v>760.66</v>
      </c>
      <c r="F128" s="2" t="s">
        <v>1769</v>
      </c>
      <c r="G128">
        <f>MROUND(Table_2[[#This Row],[Amount in Sales]],5)</f>
        <v>835</v>
      </c>
    </row>
    <row r="129" spans="1:7" ht="14.25" customHeight="1" x14ac:dyDescent="0.3">
      <c r="A129" s="2" t="s">
        <v>425</v>
      </c>
      <c r="B129" s="2" t="s">
        <v>1770</v>
      </c>
      <c r="C129" s="12">
        <v>44759</v>
      </c>
      <c r="D129" s="2">
        <v>258</v>
      </c>
      <c r="E129" s="2">
        <v>21.830000000000002</v>
      </c>
      <c r="F129" s="2" t="s">
        <v>1771</v>
      </c>
      <c r="G129">
        <f>MROUND(Table_2[[#This Row],[Amount in Sales]],5)</f>
        <v>260</v>
      </c>
    </row>
    <row r="130" spans="1:7" ht="14.25" customHeight="1" x14ac:dyDescent="0.3">
      <c r="A130" s="2" t="s">
        <v>427</v>
      </c>
      <c r="B130" s="2" t="s">
        <v>1772</v>
      </c>
      <c r="C130" s="12">
        <v>44735</v>
      </c>
      <c r="D130" s="2">
        <v>393</v>
      </c>
      <c r="E130" s="2">
        <v>365.43</v>
      </c>
      <c r="F130" s="2" t="s">
        <v>1765</v>
      </c>
      <c r="G130">
        <f>MROUND(Table_2[[#This Row],[Amount in Sales]],5)</f>
        <v>395</v>
      </c>
    </row>
    <row r="131" spans="1:7" ht="14.25" customHeight="1" x14ac:dyDescent="0.3">
      <c r="A131" s="2" t="s">
        <v>429</v>
      </c>
      <c r="B131" s="2" t="s">
        <v>1773</v>
      </c>
      <c r="C131" s="12">
        <v>44734</v>
      </c>
      <c r="D131" s="2">
        <v>614</v>
      </c>
      <c r="E131" s="2">
        <v>80.010000000000005</v>
      </c>
      <c r="F131" s="2" t="s">
        <v>1767</v>
      </c>
      <c r="G131">
        <f>MROUND(Table_2[[#This Row],[Amount in Sales]],5)</f>
        <v>615</v>
      </c>
    </row>
    <row r="132" spans="1:7" ht="14.25" customHeight="1" x14ac:dyDescent="0.3">
      <c r="A132" s="2" t="s">
        <v>431</v>
      </c>
      <c r="B132" s="2" t="s">
        <v>1764</v>
      </c>
      <c r="C132" s="12">
        <v>44753</v>
      </c>
      <c r="D132" s="2">
        <v>467</v>
      </c>
      <c r="E132" s="2">
        <v>193.60999999999999</v>
      </c>
      <c r="F132" s="2" t="s">
        <v>1769</v>
      </c>
      <c r="G132">
        <f>MROUND(Table_2[[#This Row],[Amount in Sales]],5)</f>
        <v>465</v>
      </c>
    </row>
    <row r="133" spans="1:7" ht="14.25" customHeight="1" x14ac:dyDescent="0.3">
      <c r="A133" s="2" t="s">
        <v>433</v>
      </c>
      <c r="B133" s="2" t="s">
        <v>1766</v>
      </c>
      <c r="C133" s="12">
        <v>44739</v>
      </c>
      <c r="D133" s="2">
        <v>489</v>
      </c>
      <c r="E133" s="2">
        <v>381.2</v>
      </c>
      <c r="F133" s="2" t="s">
        <v>1771</v>
      </c>
      <c r="G133">
        <f>MROUND(Table_2[[#This Row],[Amount in Sales]],5)</f>
        <v>490</v>
      </c>
    </row>
    <row r="134" spans="1:7" ht="14.25" customHeight="1" x14ac:dyDescent="0.3">
      <c r="A134" s="2" t="s">
        <v>435</v>
      </c>
      <c r="B134" s="2" t="s">
        <v>1768</v>
      </c>
      <c r="C134" s="12">
        <v>44740</v>
      </c>
      <c r="D134" s="2">
        <v>868</v>
      </c>
      <c r="E134" s="2">
        <v>491.31</v>
      </c>
      <c r="F134" s="2" t="s">
        <v>1765</v>
      </c>
      <c r="G134">
        <f>MROUND(Table_2[[#This Row],[Amount in Sales]],5)</f>
        <v>870</v>
      </c>
    </row>
    <row r="135" spans="1:7" ht="14.25" customHeight="1" x14ac:dyDescent="0.3">
      <c r="A135" s="2" t="s">
        <v>437</v>
      </c>
      <c r="B135" s="2" t="s">
        <v>1770</v>
      </c>
      <c r="C135" s="12">
        <v>44748</v>
      </c>
      <c r="D135" s="2">
        <v>317</v>
      </c>
      <c r="E135" s="2">
        <v>251.16</v>
      </c>
      <c r="F135" s="2" t="s">
        <v>1767</v>
      </c>
      <c r="G135">
        <f>MROUND(Table_2[[#This Row],[Amount in Sales]],5)</f>
        <v>315</v>
      </c>
    </row>
    <row r="136" spans="1:7" ht="14.25" customHeight="1" x14ac:dyDescent="0.3">
      <c r="A136" s="2" t="s">
        <v>439</v>
      </c>
      <c r="B136" s="2" t="s">
        <v>1764</v>
      </c>
      <c r="C136" s="12">
        <v>44731</v>
      </c>
      <c r="D136" s="2">
        <v>643</v>
      </c>
      <c r="E136" s="2">
        <v>62.25</v>
      </c>
      <c r="F136" s="2" t="s">
        <v>1769</v>
      </c>
      <c r="G136">
        <f>MROUND(Table_2[[#This Row],[Amount in Sales]],5)</f>
        <v>645</v>
      </c>
    </row>
    <row r="137" spans="1:7" ht="14.25" customHeight="1" x14ac:dyDescent="0.3">
      <c r="A137" s="2" t="s">
        <v>441</v>
      </c>
      <c r="B137" s="2" t="s">
        <v>1766</v>
      </c>
      <c r="C137" s="12">
        <v>44763</v>
      </c>
      <c r="D137" s="2">
        <v>508</v>
      </c>
      <c r="E137" s="2">
        <v>54.55</v>
      </c>
      <c r="F137" s="2" t="s">
        <v>1771</v>
      </c>
      <c r="G137">
        <f>MROUND(Table_2[[#This Row],[Amount in Sales]],5)</f>
        <v>510</v>
      </c>
    </row>
    <row r="138" spans="1:7" ht="14.25" customHeight="1" x14ac:dyDescent="0.3">
      <c r="A138" s="2" t="s">
        <v>443</v>
      </c>
      <c r="B138" s="2" t="s">
        <v>1768</v>
      </c>
      <c r="C138" s="12">
        <v>44733</v>
      </c>
      <c r="D138" s="2">
        <v>272</v>
      </c>
      <c r="E138" s="2">
        <v>185.78</v>
      </c>
      <c r="F138" s="2" t="s">
        <v>1765</v>
      </c>
      <c r="G138">
        <f>MROUND(Table_2[[#This Row],[Amount in Sales]],5)</f>
        <v>270</v>
      </c>
    </row>
    <row r="139" spans="1:7" ht="14.25" customHeight="1" x14ac:dyDescent="0.3">
      <c r="A139" s="2" t="s">
        <v>445</v>
      </c>
      <c r="B139" s="2" t="s">
        <v>1770</v>
      </c>
      <c r="C139" s="12">
        <v>44746</v>
      </c>
      <c r="D139" s="2">
        <v>301</v>
      </c>
      <c r="E139" s="2">
        <v>26.64</v>
      </c>
      <c r="F139" s="2" t="s">
        <v>1767</v>
      </c>
      <c r="G139">
        <f>MROUND(Table_2[[#This Row],[Amount in Sales]],5)</f>
        <v>300</v>
      </c>
    </row>
    <row r="140" spans="1:7" ht="14.25" customHeight="1" x14ac:dyDescent="0.3">
      <c r="A140" s="2" t="s">
        <v>447</v>
      </c>
      <c r="B140" s="2" t="s">
        <v>1764</v>
      </c>
      <c r="C140" s="12">
        <v>44755</v>
      </c>
      <c r="D140" s="2">
        <v>637</v>
      </c>
      <c r="E140" s="2">
        <v>78.12</v>
      </c>
      <c r="F140" s="2" t="s">
        <v>1769</v>
      </c>
      <c r="G140">
        <f>MROUND(Table_2[[#This Row],[Amount in Sales]],5)</f>
        <v>635</v>
      </c>
    </row>
    <row r="141" spans="1:7" ht="14.25" customHeight="1" x14ac:dyDescent="0.3">
      <c r="A141" s="2" t="s">
        <v>449</v>
      </c>
      <c r="B141" s="2" t="s">
        <v>1766</v>
      </c>
      <c r="C141" s="12">
        <v>44755</v>
      </c>
      <c r="D141" s="2">
        <v>427</v>
      </c>
      <c r="E141" s="2">
        <v>91.160000000000011</v>
      </c>
      <c r="F141" s="2" t="s">
        <v>1771</v>
      </c>
      <c r="G141">
        <f>MROUND(Table_2[[#This Row],[Amount in Sales]],5)</f>
        <v>425</v>
      </c>
    </row>
    <row r="142" spans="1:7" ht="14.25" customHeight="1" x14ac:dyDescent="0.3">
      <c r="A142" s="2" t="s">
        <v>451</v>
      </c>
      <c r="B142" s="2" t="s">
        <v>1768</v>
      </c>
      <c r="C142" s="12">
        <v>44727</v>
      </c>
      <c r="D142" s="2">
        <v>677</v>
      </c>
      <c r="E142" s="2">
        <v>350.53999999999996</v>
      </c>
      <c r="F142" s="2" t="s">
        <v>1765</v>
      </c>
      <c r="G142">
        <f>MROUND(Table_2[[#This Row],[Amount in Sales]],5)</f>
        <v>675</v>
      </c>
    </row>
    <row r="143" spans="1:7" ht="14.25" customHeight="1" x14ac:dyDescent="0.3">
      <c r="A143" s="2" t="s">
        <v>453</v>
      </c>
      <c r="B143" s="2" t="s">
        <v>1770</v>
      </c>
      <c r="C143" s="12">
        <v>44746</v>
      </c>
      <c r="D143" s="2">
        <v>382</v>
      </c>
      <c r="E143" s="2">
        <v>94.410000000000011</v>
      </c>
      <c r="F143" s="2" t="s">
        <v>1767</v>
      </c>
      <c r="G143">
        <f>MROUND(Table_2[[#This Row],[Amount in Sales]],5)</f>
        <v>380</v>
      </c>
    </row>
    <row r="144" spans="1:7" ht="14.25" customHeight="1" x14ac:dyDescent="0.3">
      <c r="A144" s="2" t="s">
        <v>455</v>
      </c>
      <c r="B144" s="2" t="s">
        <v>1764</v>
      </c>
      <c r="C144" s="12">
        <v>44740</v>
      </c>
      <c r="D144" s="2">
        <v>281</v>
      </c>
      <c r="E144" s="2">
        <v>208.25</v>
      </c>
      <c r="F144" s="2" t="s">
        <v>1769</v>
      </c>
      <c r="G144">
        <f>MROUND(Table_2[[#This Row],[Amount in Sales]],5)</f>
        <v>280</v>
      </c>
    </row>
    <row r="145" spans="1:7" ht="14.25" customHeight="1" x14ac:dyDescent="0.3">
      <c r="A145" s="2" t="s">
        <v>457</v>
      </c>
      <c r="B145" s="2" t="s">
        <v>1766</v>
      </c>
      <c r="C145" s="12">
        <v>44743</v>
      </c>
      <c r="D145" s="2">
        <v>301</v>
      </c>
      <c r="E145" s="2">
        <v>228.45</v>
      </c>
      <c r="F145" s="2" t="s">
        <v>1771</v>
      </c>
      <c r="G145">
        <f>MROUND(Table_2[[#This Row],[Amount in Sales]],5)</f>
        <v>300</v>
      </c>
    </row>
    <row r="146" spans="1:7" ht="14.25" customHeight="1" x14ac:dyDescent="0.3">
      <c r="A146" s="2" t="s">
        <v>459</v>
      </c>
      <c r="B146" s="2" t="s">
        <v>1768</v>
      </c>
      <c r="C146" s="12">
        <v>44737</v>
      </c>
      <c r="D146" s="2">
        <v>888</v>
      </c>
      <c r="E146" s="2">
        <v>350.94</v>
      </c>
      <c r="F146" s="2" t="s">
        <v>1765</v>
      </c>
      <c r="G146">
        <f>MROUND(Table_2[[#This Row],[Amount in Sales]],5)</f>
        <v>890</v>
      </c>
    </row>
    <row r="147" spans="1:7" ht="14.25" customHeight="1" x14ac:dyDescent="0.3">
      <c r="A147" s="2" t="s">
        <v>461</v>
      </c>
      <c r="B147" s="2" t="s">
        <v>1770</v>
      </c>
      <c r="C147" s="12">
        <v>44757</v>
      </c>
      <c r="D147" s="2">
        <v>595</v>
      </c>
      <c r="E147" s="2">
        <v>15.39</v>
      </c>
      <c r="F147" s="2" t="s">
        <v>1767</v>
      </c>
      <c r="G147">
        <f>MROUND(Table_2[[#This Row],[Amount in Sales]],5)</f>
        <v>595</v>
      </c>
    </row>
    <row r="148" spans="1:7" ht="14.25" customHeight="1" x14ac:dyDescent="0.3">
      <c r="A148" s="2" t="s">
        <v>463</v>
      </c>
      <c r="B148" s="2" t="s">
        <v>1772</v>
      </c>
      <c r="C148" s="12">
        <v>44745</v>
      </c>
      <c r="D148" s="2">
        <v>597</v>
      </c>
      <c r="E148" s="2">
        <v>210.29</v>
      </c>
      <c r="F148" s="2" t="s">
        <v>1769</v>
      </c>
      <c r="G148">
        <f>MROUND(Table_2[[#This Row],[Amount in Sales]],5)</f>
        <v>595</v>
      </c>
    </row>
    <row r="149" spans="1:7" ht="14.25" customHeight="1" x14ac:dyDescent="0.3">
      <c r="A149" s="2" t="s">
        <v>465</v>
      </c>
      <c r="B149" s="2" t="s">
        <v>1764</v>
      </c>
      <c r="C149" s="12">
        <v>44760</v>
      </c>
      <c r="D149" s="2">
        <v>837</v>
      </c>
      <c r="E149" s="2">
        <v>35.94</v>
      </c>
      <c r="F149" s="2" t="s">
        <v>1771</v>
      </c>
      <c r="G149">
        <f>MROUND(Table_2[[#This Row],[Amount in Sales]],5)</f>
        <v>835</v>
      </c>
    </row>
    <row r="150" spans="1:7" ht="14.25" customHeight="1" x14ac:dyDescent="0.3">
      <c r="A150" s="2" t="s">
        <v>467</v>
      </c>
      <c r="B150" s="2" t="s">
        <v>1766</v>
      </c>
      <c r="C150" s="12">
        <v>44750</v>
      </c>
      <c r="D150" s="2">
        <v>794</v>
      </c>
      <c r="E150" s="2">
        <v>5.47</v>
      </c>
      <c r="F150" s="2" t="s">
        <v>1765</v>
      </c>
      <c r="G150">
        <f>MROUND(Table_2[[#This Row],[Amount in Sales]],5)</f>
        <v>795</v>
      </c>
    </row>
    <row r="151" spans="1:7" ht="14.25" customHeight="1" x14ac:dyDescent="0.3">
      <c r="A151" s="2" t="s">
        <v>469</v>
      </c>
      <c r="B151" s="2" t="s">
        <v>1768</v>
      </c>
      <c r="C151" s="12">
        <v>44742</v>
      </c>
      <c r="D151" s="2">
        <v>356</v>
      </c>
      <c r="E151" s="2">
        <v>304.51</v>
      </c>
      <c r="F151" s="2" t="s">
        <v>1767</v>
      </c>
      <c r="G151">
        <f>MROUND(Table_2[[#This Row],[Amount in Sales]],5)</f>
        <v>355</v>
      </c>
    </row>
    <row r="152" spans="1:7" ht="14.25" customHeight="1" x14ac:dyDescent="0.3">
      <c r="A152" s="2" t="s">
        <v>471</v>
      </c>
      <c r="B152" s="2" t="s">
        <v>1770</v>
      </c>
      <c r="C152" s="12">
        <v>44754</v>
      </c>
      <c r="D152" s="2">
        <v>742</v>
      </c>
      <c r="E152" s="2">
        <v>460.84</v>
      </c>
      <c r="F152" s="2" t="s">
        <v>1769</v>
      </c>
      <c r="G152">
        <f>MROUND(Table_2[[#This Row],[Amount in Sales]],5)</f>
        <v>740</v>
      </c>
    </row>
    <row r="153" spans="1:7" ht="14.25" customHeight="1" x14ac:dyDescent="0.3">
      <c r="A153" s="2" t="s">
        <v>473</v>
      </c>
      <c r="B153" s="2" t="s">
        <v>1764</v>
      </c>
      <c r="C153" s="12">
        <v>44746</v>
      </c>
      <c r="D153" s="2">
        <v>214</v>
      </c>
      <c r="E153" s="2">
        <v>200.78</v>
      </c>
      <c r="F153" s="2" t="s">
        <v>1771</v>
      </c>
      <c r="G153">
        <f>MROUND(Table_2[[#This Row],[Amount in Sales]],5)</f>
        <v>215</v>
      </c>
    </row>
    <row r="154" spans="1:7" ht="14.25" customHeight="1" x14ac:dyDescent="0.3">
      <c r="A154" s="2" t="s">
        <v>475</v>
      </c>
      <c r="B154" s="2" t="s">
        <v>1766</v>
      </c>
      <c r="C154" s="12">
        <v>44752</v>
      </c>
      <c r="D154" s="2">
        <v>797</v>
      </c>
      <c r="E154" s="2">
        <v>778.93</v>
      </c>
      <c r="F154" s="2" t="s">
        <v>1765</v>
      </c>
      <c r="G154">
        <f>MROUND(Table_2[[#This Row],[Amount in Sales]],5)</f>
        <v>795</v>
      </c>
    </row>
    <row r="155" spans="1:7" ht="14.25" customHeight="1" x14ac:dyDescent="0.3">
      <c r="A155" s="2" t="s">
        <v>477</v>
      </c>
      <c r="B155" s="2" t="s">
        <v>1768</v>
      </c>
      <c r="C155" s="12">
        <v>44725</v>
      </c>
      <c r="D155" s="2">
        <v>871</v>
      </c>
      <c r="E155" s="2">
        <v>815.42</v>
      </c>
      <c r="F155" s="2" t="s">
        <v>1767</v>
      </c>
      <c r="G155">
        <f>MROUND(Table_2[[#This Row],[Amount in Sales]],5)</f>
        <v>870</v>
      </c>
    </row>
    <row r="156" spans="1:7" ht="14.25" customHeight="1" x14ac:dyDescent="0.3">
      <c r="A156" s="2" t="s">
        <v>479</v>
      </c>
      <c r="B156" s="2" t="s">
        <v>1770</v>
      </c>
      <c r="C156" s="12">
        <v>44734</v>
      </c>
      <c r="D156" s="2">
        <v>603</v>
      </c>
      <c r="E156" s="2">
        <v>559.27</v>
      </c>
      <c r="F156" s="2" t="s">
        <v>1769</v>
      </c>
      <c r="G156">
        <f>MROUND(Table_2[[#This Row],[Amount in Sales]],5)</f>
        <v>605</v>
      </c>
    </row>
    <row r="157" spans="1:7" ht="14.25" customHeight="1" x14ac:dyDescent="0.3">
      <c r="A157" s="2" t="s">
        <v>481</v>
      </c>
      <c r="B157" s="2" t="s">
        <v>1772</v>
      </c>
      <c r="C157" s="12">
        <v>44761</v>
      </c>
      <c r="D157" s="2">
        <v>489</v>
      </c>
      <c r="E157" s="2">
        <v>48.089999999999996</v>
      </c>
      <c r="F157" s="2" t="s">
        <v>1771</v>
      </c>
      <c r="G157">
        <f>MROUND(Table_2[[#This Row],[Amount in Sales]],5)</f>
        <v>490</v>
      </c>
    </row>
    <row r="158" spans="1:7" ht="14.25" customHeight="1" x14ac:dyDescent="0.3">
      <c r="A158" s="2" t="s">
        <v>483</v>
      </c>
      <c r="B158" s="2" t="s">
        <v>1773</v>
      </c>
      <c r="C158" s="12">
        <v>44735</v>
      </c>
      <c r="D158" s="2">
        <v>432</v>
      </c>
      <c r="E158" s="2">
        <v>1.95</v>
      </c>
      <c r="F158" s="2" t="s">
        <v>1765</v>
      </c>
      <c r="G158">
        <f>MROUND(Table_2[[#This Row],[Amount in Sales]],5)</f>
        <v>430</v>
      </c>
    </row>
    <row r="159" spans="1:7" ht="14.25" customHeight="1" x14ac:dyDescent="0.3">
      <c r="A159" s="2" t="s">
        <v>485</v>
      </c>
      <c r="B159" s="2" t="s">
        <v>1764</v>
      </c>
      <c r="C159" s="12">
        <v>44753</v>
      </c>
      <c r="D159" s="2">
        <v>680</v>
      </c>
      <c r="E159" s="2">
        <v>150.76</v>
      </c>
      <c r="F159" s="2" t="s">
        <v>1767</v>
      </c>
      <c r="G159">
        <f>MROUND(Table_2[[#This Row],[Amount in Sales]],5)</f>
        <v>680</v>
      </c>
    </row>
    <row r="160" spans="1:7" ht="14.25" customHeight="1" x14ac:dyDescent="0.3">
      <c r="A160" s="2" t="s">
        <v>487</v>
      </c>
      <c r="B160" s="2" t="s">
        <v>1766</v>
      </c>
      <c r="C160" s="12">
        <v>44732</v>
      </c>
      <c r="D160" s="2">
        <v>422</v>
      </c>
      <c r="E160" s="2">
        <v>386.65999999999997</v>
      </c>
      <c r="F160" s="2" t="s">
        <v>1769</v>
      </c>
      <c r="G160">
        <f>MROUND(Table_2[[#This Row],[Amount in Sales]],5)</f>
        <v>420</v>
      </c>
    </row>
    <row r="161" spans="1:7" ht="14.25" customHeight="1" x14ac:dyDescent="0.3">
      <c r="A161" s="2" t="s">
        <v>489</v>
      </c>
      <c r="B161" s="2" t="s">
        <v>1768</v>
      </c>
      <c r="C161" s="12">
        <v>44748</v>
      </c>
      <c r="D161" s="2">
        <v>718</v>
      </c>
      <c r="E161" s="2">
        <v>440.59</v>
      </c>
      <c r="F161" s="2" t="s">
        <v>1771</v>
      </c>
      <c r="G161">
        <f>MROUND(Table_2[[#This Row],[Amount in Sales]],5)</f>
        <v>720</v>
      </c>
    </row>
    <row r="162" spans="1:7" ht="14.25" customHeight="1" x14ac:dyDescent="0.3">
      <c r="A162" s="2" t="s">
        <v>491</v>
      </c>
      <c r="B162" s="2" t="s">
        <v>1770</v>
      </c>
      <c r="C162" s="12">
        <v>44731</v>
      </c>
      <c r="D162" s="2">
        <v>495</v>
      </c>
      <c r="E162" s="2">
        <v>403.78999999999996</v>
      </c>
      <c r="F162" s="2" t="s">
        <v>1765</v>
      </c>
      <c r="G162">
        <f>MROUND(Table_2[[#This Row],[Amount in Sales]],5)</f>
        <v>495</v>
      </c>
    </row>
    <row r="163" spans="1:7" ht="14.25" customHeight="1" x14ac:dyDescent="0.3">
      <c r="A163" s="2" t="s">
        <v>493</v>
      </c>
      <c r="B163" s="2" t="s">
        <v>1764</v>
      </c>
      <c r="C163" s="12">
        <v>44725</v>
      </c>
      <c r="D163" s="2">
        <v>777</v>
      </c>
      <c r="E163" s="2">
        <v>469.27</v>
      </c>
      <c r="F163" s="2" t="s">
        <v>1767</v>
      </c>
      <c r="G163">
        <f>MROUND(Table_2[[#This Row],[Amount in Sales]],5)</f>
        <v>775</v>
      </c>
    </row>
    <row r="164" spans="1:7" ht="14.25" customHeight="1" x14ac:dyDescent="0.3">
      <c r="A164" s="2" t="s">
        <v>495</v>
      </c>
      <c r="B164" s="2" t="s">
        <v>1766</v>
      </c>
      <c r="C164" s="12">
        <v>44753</v>
      </c>
      <c r="D164" s="2">
        <v>484</v>
      </c>
      <c r="E164" s="2">
        <v>131.48999999999998</v>
      </c>
      <c r="F164" s="2" t="s">
        <v>1769</v>
      </c>
      <c r="G164">
        <f>MROUND(Table_2[[#This Row],[Amount in Sales]],5)</f>
        <v>485</v>
      </c>
    </row>
    <row r="165" spans="1:7" ht="14.25" customHeight="1" x14ac:dyDescent="0.3">
      <c r="A165" s="2" t="s">
        <v>497</v>
      </c>
      <c r="B165" s="2" t="s">
        <v>1768</v>
      </c>
      <c r="C165" s="12">
        <v>44738</v>
      </c>
      <c r="D165" s="2">
        <v>607</v>
      </c>
      <c r="E165" s="2">
        <v>341.7</v>
      </c>
      <c r="F165" s="2" t="s">
        <v>1771</v>
      </c>
      <c r="G165">
        <f>MROUND(Table_2[[#This Row],[Amount in Sales]],5)</f>
        <v>605</v>
      </c>
    </row>
    <row r="166" spans="1:7" ht="14.25" customHeight="1" x14ac:dyDescent="0.3">
      <c r="A166" s="2" t="s">
        <v>499</v>
      </c>
      <c r="B166" s="2" t="s">
        <v>1770</v>
      </c>
      <c r="C166" s="12">
        <v>44762</v>
      </c>
      <c r="D166" s="2">
        <v>494</v>
      </c>
      <c r="E166" s="2">
        <v>363.49</v>
      </c>
      <c r="F166" s="2" t="s">
        <v>1765</v>
      </c>
      <c r="G166">
        <f>MROUND(Table_2[[#This Row],[Amount in Sales]],5)</f>
        <v>495</v>
      </c>
    </row>
    <row r="167" spans="1:7" ht="14.25" customHeight="1" x14ac:dyDescent="0.3">
      <c r="A167" s="2" t="s">
        <v>501</v>
      </c>
      <c r="B167" s="2" t="s">
        <v>1772</v>
      </c>
      <c r="C167" s="12">
        <v>44756</v>
      </c>
      <c r="D167" s="2">
        <v>707</v>
      </c>
      <c r="E167" s="2">
        <v>311.88</v>
      </c>
      <c r="F167" s="2" t="s">
        <v>1767</v>
      </c>
      <c r="G167">
        <f>MROUND(Table_2[[#This Row],[Amount in Sales]],5)</f>
        <v>705</v>
      </c>
    </row>
    <row r="168" spans="1:7" ht="14.25" customHeight="1" x14ac:dyDescent="0.3">
      <c r="A168" s="2" t="s">
        <v>503</v>
      </c>
      <c r="B168" s="2" t="s">
        <v>1764</v>
      </c>
      <c r="C168" s="12">
        <v>44744</v>
      </c>
      <c r="D168" s="2">
        <v>806</v>
      </c>
      <c r="E168" s="2">
        <v>540.24</v>
      </c>
      <c r="F168" s="2" t="s">
        <v>1769</v>
      </c>
      <c r="G168">
        <f>MROUND(Table_2[[#This Row],[Amount in Sales]],5)</f>
        <v>805</v>
      </c>
    </row>
    <row r="169" spans="1:7" ht="14.25" customHeight="1" x14ac:dyDescent="0.3">
      <c r="A169" s="2" t="s">
        <v>505</v>
      </c>
      <c r="B169" s="2" t="s">
        <v>1766</v>
      </c>
      <c r="C169" s="12">
        <v>44753</v>
      </c>
      <c r="D169" s="2">
        <v>581</v>
      </c>
      <c r="E169" s="2">
        <v>124.93</v>
      </c>
      <c r="F169" s="2" t="s">
        <v>1771</v>
      </c>
      <c r="G169">
        <f>MROUND(Table_2[[#This Row],[Amount in Sales]],5)</f>
        <v>580</v>
      </c>
    </row>
    <row r="170" spans="1:7" ht="14.25" customHeight="1" x14ac:dyDescent="0.3">
      <c r="A170" s="2" t="s">
        <v>507</v>
      </c>
      <c r="B170" s="2" t="s">
        <v>1768</v>
      </c>
      <c r="C170" s="12">
        <v>44762</v>
      </c>
      <c r="D170" s="2">
        <v>835</v>
      </c>
      <c r="E170" s="2">
        <v>647.37</v>
      </c>
      <c r="F170" s="2" t="s">
        <v>1765</v>
      </c>
      <c r="G170">
        <f>MROUND(Table_2[[#This Row],[Amount in Sales]],5)</f>
        <v>835</v>
      </c>
    </row>
    <row r="171" spans="1:7" ht="14.25" customHeight="1" x14ac:dyDescent="0.3">
      <c r="A171" s="2" t="s">
        <v>509</v>
      </c>
      <c r="B171" s="2" t="s">
        <v>1770</v>
      </c>
      <c r="C171" s="12">
        <v>44740</v>
      </c>
      <c r="D171" s="2">
        <v>444</v>
      </c>
      <c r="E171" s="2">
        <v>143.57</v>
      </c>
      <c r="F171" s="2" t="s">
        <v>1767</v>
      </c>
      <c r="G171">
        <f>MROUND(Table_2[[#This Row],[Amount in Sales]],5)</f>
        <v>445</v>
      </c>
    </row>
    <row r="172" spans="1:7" ht="14.25" customHeight="1" x14ac:dyDescent="0.3">
      <c r="A172" s="2" t="s">
        <v>511</v>
      </c>
      <c r="B172" s="2" t="s">
        <v>1764</v>
      </c>
      <c r="C172" s="12">
        <v>44729</v>
      </c>
      <c r="D172" s="2">
        <v>353</v>
      </c>
      <c r="E172" s="2">
        <v>74.740000000000009</v>
      </c>
      <c r="F172" s="2" t="s">
        <v>1769</v>
      </c>
      <c r="G172">
        <f>MROUND(Table_2[[#This Row],[Amount in Sales]],5)</f>
        <v>355</v>
      </c>
    </row>
    <row r="173" spans="1:7" ht="14.25" customHeight="1" x14ac:dyDescent="0.3">
      <c r="A173" s="2" t="s">
        <v>513</v>
      </c>
      <c r="B173" s="2" t="s">
        <v>1766</v>
      </c>
      <c r="C173" s="12">
        <v>44727</v>
      </c>
      <c r="D173" s="2">
        <v>643</v>
      </c>
      <c r="E173" s="2">
        <v>641.83000000000004</v>
      </c>
      <c r="F173" s="2" t="s">
        <v>1771</v>
      </c>
      <c r="G173">
        <f>MROUND(Table_2[[#This Row],[Amount in Sales]],5)</f>
        <v>645</v>
      </c>
    </row>
    <row r="174" spans="1:7" ht="14.25" customHeight="1" x14ac:dyDescent="0.3">
      <c r="A174" s="2" t="s">
        <v>515</v>
      </c>
      <c r="B174" s="2" t="s">
        <v>1768</v>
      </c>
      <c r="C174" s="12">
        <v>44734</v>
      </c>
      <c r="D174" s="2">
        <v>791</v>
      </c>
      <c r="E174" s="2">
        <v>271.49</v>
      </c>
      <c r="F174" s="2" t="s">
        <v>1765</v>
      </c>
      <c r="G174">
        <f>MROUND(Table_2[[#This Row],[Amount in Sales]],5)</f>
        <v>790</v>
      </c>
    </row>
    <row r="175" spans="1:7" ht="14.25" customHeight="1" x14ac:dyDescent="0.3">
      <c r="A175" s="2" t="s">
        <v>517</v>
      </c>
      <c r="B175" s="2" t="s">
        <v>1770</v>
      </c>
      <c r="C175" s="12">
        <v>44744</v>
      </c>
      <c r="D175" s="2">
        <v>842</v>
      </c>
      <c r="E175" s="2">
        <v>148.94</v>
      </c>
      <c r="F175" s="2" t="s">
        <v>1767</v>
      </c>
      <c r="G175">
        <f>MROUND(Table_2[[#This Row],[Amount in Sales]],5)</f>
        <v>840</v>
      </c>
    </row>
    <row r="176" spans="1:7" ht="14.25" customHeight="1" x14ac:dyDescent="0.3">
      <c r="A176" s="2" t="s">
        <v>519</v>
      </c>
      <c r="B176" s="2" t="s">
        <v>1772</v>
      </c>
      <c r="C176" s="12">
        <v>44737</v>
      </c>
      <c r="D176" s="2">
        <v>692</v>
      </c>
      <c r="E176" s="2">
        <v>379.59</v>
      </c>
      <c r="F176" s="2" t="s">
        <v>1769</v>
      </c>
      <c r="G176">
        <f>MROUND(Table_2[[#This Row],[Amount in Sales]],5)</f>
        <v>690</v>
      </c>
    </row>
    <row r="177" spans="1:7" ht="14.25" customHeight="1" x14ac:dyDescent="0.3">
      <c r="A177" s="2" t="s">
        <v>521</v>
      </c>
      <c r="B177" s="2" t="s">
        <v>1773</v>
      </c>
      <c r="C177" s="12">
        <v>44752</v>
      </c>
      <c r="D177" s="2">
        <v>707</v>
      </c>
      <c r="E177" s="2">
        <v>287.14</v>
      </c>
      <c r="F177" s="2" t="s">
        <v>1771</v>
      </c>
      <c r="G177">
        <f>MROUND(Table_2[[#This Row],[Amount in Sales]],5)</f>
        <v>705</v>
      </c>
    </row>
    <row r="178" spans="1:7" ht="14.25" customHeight="1" x14ac:dyDescent="0.3">
      <c r="A178" s="2" t="s">
        <v>523</v>
      </c>
      <c r="B178" s="2" t="s">
        <v>1764</v>
      </c>
      <c r="C178" s="12">
        <v>44736</v>
      </c>
      <c r="D178" s="2">
        <v>396</v>
      </c>
      <c r="E178" s="2">
        <v>66.45</v>
      </c>
      <c r="F178" s="2" t="s">
        <v>1765</v>
      </c>
      <c r="G178">
        <f>MROUND(Table_2[[#This Row],[Amount in Sales]],5)</f>
        <v>395</v>
      </c>
    </row>
    <row r="179" spans="1:7" ht="14.25" customHeight="1" x14ac:dyDescent="0.3">
      <c r="A179" s="2" t="s">
        <v>525</v>
      </c>
      <c r="B179" s="2" t="s">
        <v>1766</v>
      </c>
      <c r="C179" s="12">
        <v>44752</v>
      </c>
      <c r="D179" s="2">
        <v>671</v>
      </c>
      <c r="E179" s="2">
        <v>611.20000000000005</v>
      </c>
      <c r="F179" s="2" t="s">
        <v>1767</v>
      </c>
      <c r="G179">
        <f>MROUND(Table_2[[#This Row],[Amount in Sales]],5)</f>
        <v>670</v>
      </c>
    </row>
    <row r="180" spans="1:7" ht="14.25" customHeight="1" x14ac:dyDescent="0.3">
      <c r="A180" s="2" t="s">
        <v>527</v>
      </c>
      <c r="B180" s="2" t="s">
        <v>1768</v>
      </c>
      <c r="C180" s="12">
        <v>44759</v>
      </c>
      <c r="D180" s="2">
        <v>813</v>
      </c>
      <c r="E180" s="2">
        <v>222.12</v>
      </c>
      <c r="F180" s="2" t="s">
        <v>1769</v>
      </c>
      <c r="G180">
        <f>MROUND(Table_2[[#This Row],[Amount in Sales]],5)</f>
        <v>815</v>
      </c>
    </row>
    <row r="181" spans="1:7" ht="14.25" customHeight="1" x14ac:dyDescent="0.3">
      <c r="A181" s="2" t="s">
        <v>529</v>
      </c>
      <c r="B181" s="2" t="s">
        <v>1770</v>
      </c>
      <c r="C181" s="12">
        <v>44763</v>
      </c>
      <c r="D181" s="2">
        <v>487</v>
      </c>
      <c r="E181" s="2">
        <v>399.27</v>
      </c>
      <c r="F181" s="2" t="s">
        <v>1771</v>
      </c>
      <c r="G181">
        <f>MROUND(Table_2[[#This Row],[Amount in Sales]],5)</f>
        <v>485</v>
      </c>
    </row>
    <row r="182" spans="1:7" ht="14.25" customHeight="1" x14ac:dyDescent="0.3">
      <c r="A182" s="2" t="s">
        <v>531</v>
      </c>
      <c r="B182" s="2" t="s">
        <v>1764</v>
      </c>
      <c r="C182" s="12">
        <v>44763</v>
      </c>
      <c r="D182" s="2">
        <v>509</v>
      </c>
      <c r="E182" s="2">
        <v>458.01</v>
      </c>
      <c r="F182" s="2" t="s">
        <v>1765</v>
      </c>
      <c r="G182">
        <f>MROUND(Table_2[[#This Row],[Amount in Sales]],5)</f>
        <v>510</v>
      </c>
    </row>
    <row r="183" spans="1:7" ht="14.25" customHeight="1" x14ac:dyDescent="0.3">
      <c r="A183" s="2" t="s">
        <v>533</v>
      </c>
      <c r="B183" s="2" t="s">
        <v>1766</v>
      </c>
      <c r="C183" s="12">
        <v>44750</v>
      </c>
      <c r="D183" s="2">
        <v>298</v>
      </c>
      <c r="E183" s="2">
        <v>219.1</v>
      </c>
      <c r="F183" s="2" t="s">
        <v>1767</v>
      </c>
      <c r="G183">
        <f>MROUND(Table_2[[#This Row],[Amount in Sales]],5)</f>
        <v>300</v>
      </c>
    </row>
    <row r="184" spans="1:7" ht="14.25" customHeight="1" x14ac:dyDescent="0.3">
      <c r="A184" s="2" t="s">
        <v>535</v>
      </c>
      <c r="B184" s="2" t="s">
        <v>1768</v>
      </c>
      <c r="C184" s="12">
        <v>44751</v>
      </c>
      <c r="D184" s="2">
        <v>701</v>
      </c>
      <c r="E184" s="2">
        <v>256.43</v>
      </c>
      <c r="F184" s="2" t="s">
        <v>1769</v>
      </c>
      <c r="G184">
        <f>MROUND(Table_2[[#This Row],[Amount in Sales]],5)</f>
        <v>700</v>
      </c>
    </row>
    <row r="185" spans="1:7" ht="14.25" customHeight="1" x14ac:dyDescent="0.3">
      <c r="A185" s="2" t="s">
        <v>537</v>
      </c>
      <c r="B185" s="2" t="s">
        <v>1770</v>
      </c>
      <c r="C185" s="12">
        <v>44736</v>
      </c>
      <c r="D185" s="2">
        <v>307</v>
      </c>
      <c r="E185" s="2">
        <v>243.5</v>
      </c>
      <c r="F185" s="2" t="s">
        <v>1771</v>
      </c>
      <c r="G185">
        <f>MROUND(Table_2[[#This Row],[Amount in Sales]],5)</f>
        <v>305</v>
      </c>
    </row>
    <row r="186" spans="1:7" ht="14.25" customHeight="1" x14ac:dyDescent="0.3">
      <c r="A186" s="2" t="s">
        <v>539</v>
      </c>
      <c r="B186" s="2" t="s">
        <v>1764</v>
      </c>
      <c r="C186" s="12">
        <v>44737</v>
      </c>
      <c r="D186" s="2">
        <v>285</v>
      </c>
      <c r="E186" s="2">
        <v>22.92</v>
      </c>
      <c r="F186" s="2" t="s">
        <v>1765</v>
      </c>
      <c r="G186">
        <f>MROUND(Table_2[[#This Row],[Amount in Sales]],5)</f>
        <v>285</v>
      </c>
    </row>
    <row r="187" spans="1:7" ht="14.25" customHeight="1" x14ac:dyDescent="0.3">
      <c r="A187" s="2" t="s">
        <v>541</v>
      </c>
      <c r="B187" s="2" t="s">
        <v>1766</v>
      </c>
      <c r="C187" s="12">
        <v>44744</v>
      </c>
      <c r="D187" s="2">
        <v>791</v>
      </c>
      <c r="E187" s="2">
        <v>304.75</v>
      </c>
      <c r="F187" s="2" t="s">
        <v>1767</v>
      </c>
      <c r="G187">
        <f>MROUND(Table_2[[#This Row],[Amount in Sales]],5)</f>
        <v>790</v>
      </c>
    </row>
    <row r="188" spans="1:7" ht="14.25" customHeight="1" x14ac:dyDescent="0.3">
      <c r="A188" s="2" t="s">
        <v>543</v>
      </c>
      <c r="B188" s="2" t="s">
        <v>1768</v>
      </c>
      <c r="C188" s="12">
        <v>44735</v>
      </c>
      <c r="D188" s="2">
        <v>283</v>
      </c>
      <c r="E188" s="2">
        <v>128.79</v>
      </c>
      <c r="F188" s="2" t="s">
        <v>1769</v>
      </c>
      <c r="G188">
        <f>MROUND(Table_2[[#This Row],[Amount in Sales]],5)</f>
        <v>285</v>
      </c>
    </row>
    <row r="189" spans="1:7" ht="14.25" customHeight="1" x14ac:dyDescent="0.3">
      <c r="A189" s="2" t="s">
        <v>545</v>
      </c>
      <c r="B189" s="2" t="s">
        <v>1770</v>
      </c>
      <c r="C189" s="12">
        <v>44751</v>
      </c>
      <c r="D189" s="2">
        <v>543</v>
      </c>
      <c r="E189" s="2">
        <v>509.49</v>
      </c>
      <c r="F189" s="2" t="s">
        <v>1771</v>
      </c>
      <c r="G189">
        <f>MROUND(Table_2[[#This Row],[Amount in Sales]],5)</f>
        <v>545</v>
      </c>
    </row>
    <row r="190" spans="1:7" ht="14.25" customHeight="1" x14ac:dyDescent="0.3">
      <c r="A190" s="2" t="s">
        <v>547</v>
      </c>
      <c r="B190" s="2" t="s">
        <v>1764</v>
      </c>
      <c r="C190" s="12">
        <v>44726</v>
      </c>
      <c r="D190" s="2">
        <v>488</v>
      </c>
      <c r="E190" s="2">
        <v>71.820000000000007</v>
      </c>
      <c r="F190" s="2" t="s">
        <v>1765</v>
      </c>
      <c r="G190">
        <f>MROUND(Table_2[[#This Row],[Amount in Sales]],5)</f>
        <v>490</v>
      </c>
    </row>
    <row r="191" spans="1:7" ht="14.25" customHeight="1" x14ac:dyDescent="0.3">
      <c r="A191" s="2" t="s">
        <v>549</v>
      </c>
      <c r="B191" s="2" t="s">
        <v>1766</v>
      </c>
      <c r="C191" s="12">
        <v>44749</v>
      </c>
      <c r="D191" s="2">
        <v>781</v>
      </c>
      <c r="E191" s="2">
        <v>79.350000000000009</v>
      </c>
      <c r="F191" s="2" t="s">
        <v>1767</v>
      </c>
      <c r="G191">
        <f>MROUND(Table_2[[#This Row],[Amount in Sales]],5)</f>
        <v>780</v>
      </c>
    </row>
    <row r="192" spans="1:7" ht="14.25" customHeight="1" x14ac:dyDescent="0.3">
      <c r="A192" s="2" t="s">
        <v>551</v>
      </c>
      <c r="B192" s="2" t="s">
        <v>1768</v>
      </c>
      <c r="C192" s="12">
        <v>44734</v>
      </c>
      <c r="D192" s="2">
        <v>588</v>
      </c>
      <c r="E192" s="2">
        <v>294.36</v>
      </c>
      <c r="F192" s="2" t="s">
        <v>1769</v>
      </c>
      <c r="G192">
        <f>MROUND(Table_2[[#This Row],[Amount in Sales]],5)</f>
        <v>590</v>
      </c>
    </row>
    <row r="193" spans="1:7" ht="14.25" customHeight="1" x14ac:dyDescent="0.3">
      <c r="A193" s="2" t="s">
        <v>553</v>
      </c>
      <c r="B193" s="2" t="s">
        <v>1770</v>
      </c>
      <c r="C193" s="12">
        <v>44726</v>
      </c>
      <c r="D193" s="2">
        <v>838</v>
      </c>
      <c r="E193" s="2">
        <v>591.13</v>
      </c>
      <c r="F193" s="2" t="s">
        <v>1771</v>
      </c>
      <c r="G193">
        <f>MROUND(Table_2[[#This Row],[Amount in Sales]],5)</f>
        <v>840</v>
      </c>
    </row>
    <row r="194" spans="1:7" ht="14.25" customHeight="1" x14ac:dyDescent="0.3">
      <c r="A194" s="2" t="s">
        <v>555</v>
      </c>
      <c r="B194" s="2" t="s">
        <v>1772</v>
      </c>
      <c r="C194" s="12">
        <v>44743</v>
      </c>
      <c r="D194" s="2">
        <v>694</v>
      </c>
      <c r="E194" s="2">
        <v>503.03</v>
      </c>
      <c r="F194" s="2" t="s">
        <v>1765</v>
      </c>
      <c r="G194">
        <f>MROUND(Table_2[[#This Row],[Amount in Sales]],5)</f>
        <v>695</v>
      </c>
    </row>
    <row r="195" spans="1:7" ht="14.25" customHeight="1" x14ac:dyDescent="0.3">
      <c r="A195" s="2" t="s">
        <v>557</v>
      </c>
      <c r="B195" s="2" t="s">
        <v>1764</v>
      </c>
      <c r="C195" s="12">
        <v>44742</v>
      </c>
      <c r="D195" s="2">
        <v>444</v>
      </c>
      <c r="E195" s="2">
        <v>96.940000000000012</v>
      </c>
      <c r="F195" s="2" t="s">
        <v>1767</v>
      </c>
      <c r="G195">
        <f>MROUND(Table_2[[#This Row],[Amount in Sales]],5)</f>
        <v>445</v>
      </c>
    </row>
    <row r="196" spans="1:7" ht="14.25" customHeight="1" x14ac:dyDescent="0.3">
      <c r="A196" s="2" t="s">
        <v>559</v>
      </c>
      <c r="B196" s="2" t="s">
        <v>1766</v>
      </c>
      <c r="C196" s="12">
        <v>44747</v>
      </c>
      <c r="D196" s="2">
        <v>542</v>
      </c>
      <c r="E196" s="2">
        <v>180.23999999999998</v>
      </c>
      <c r="F196" s="2" t="s">
        <v>1769</v>
      </c>
      <c r="G196">
        <f>MROUND(Table_2[[#This Row],[Amount in Sales]],5)</f>
        <v>540</v>
      </c>
    </row>
    <row r="197" spans="1:7" ht="14.25" customHeight="1" x14ac:dyDescent="0.3">
      <c r="A197" s="2" t="s">
        <v>561</v>
      </c>
      <c r="B197" s="2" t="s">
        <v>1768</v>
      </c>
      <c r="C197" s="12">
        <v>44764</v>
      </c>
      <c r="D197" s="2">
        <v>522</v>
      </c>
      <c r="E197" s="2">
        <v>207.73</v>
      </c>
      <c r="F197" s="2" t="s">
        <v>1771</v>
      </c>
      <c r="G197">
        <f>MROUND(Table_2[[#This Row],[Amount in Sales]],5)</f>
        <v>520</v>
      </c>
    </row>
    <row r="198" spans="1:7" ht="14.25" customHeight="1" x14ac:dyDescent="0.3">
      <c r="A198" s="2" t="s">
        <v>563</v>
      </c>
      <c r="B198" s="2" t="s">
        <v>1770</v>
      </c>
      <c r="C198" s="12">
        <v>44735</v>
      </c>
      <c r="D198" s="2">
        <v>491</v>
      </c>
      <c r="E198" s="2">
        <v>410.09</v>
      </c>
      <c r="F198" s="2" t="s">
        <v>1765</v>
      </c>
      <c r="G198">
        <f>MROUND(Table_2[[#This Row],[Amount in Sales]],5)</f>
        <v>490</v>
      </c>
    </row>
    <row r="199" spans="1:7" ht="14.25" customHeight="1" x14ac:dyDescent="0.3">
      <c r="A199" s="2" t="s">
        <v>565</v>
      </c>
      <c r="B199" s="2" t="s">
        <v>1764</v>
      </c>
      <c r="C199" s="12">
        <v>44737</v>
      </c>
      <c r="D199" s="2">
        <v>753</v>
      </c>
      <c r="E199" s="2">
        <v>6.58</v>
      </c>
      <c r="F199" s="2" t="s">
        <v>1767</v>
      </c>
      <c r="G199">
        <f>MROUND(Table_2[[#This Row],[Amount in Sales]],5)</f>
        <v>755</v>
      </c>
    </row>
    <row r="200" spans="1:7" ht="14.25" customHeight="1" x14ac:dyDescent="0.3">
      <c r="A200" s="2" t="s">
        <v>567</v>
      </c>
      <c r="B200" s="2" t="s">
        <v>1766</v>
      </c>
      <c r="C200" s="12">
        <v>44749</v>
      </c>
      <c r="D200" s="2">
        <v>812</v>
      </c>
      <c r="E200" s="2">
        <v>771.99</v>
      </c>
      <c r="F200" s="2" t="s">
        <v>1769</v>
      </c>
      <c r="G200">
        <f>MROUND(Table_2[[#This Row],[Amount in Sales]],5)</f>
        <v>810</v>
      </c>
    </row>
    <row r="201" spans="1:7" ht="14.25" customHeight="1" x14ac:dyDescent="0.3">
      <c r="A201" s="2" t="s">
        <v>569</v>
      </c>
      <c r="B201" s="2" t="s">
        <v>1768</v>
      </c>
      <c r="C201" s="12">
        <v>44729</v>
      </c>
      <c r="D201" s="2">
        <v>884</v>
      </c>
      <c r="E201" s="2">
        <v>57.559999999999995</v>
      </c>
      <c r="F201" s="2" t="s">
        <v>1771</v>
      </c>
      <c r="G201">
        <f>MROUND(Table_2[[#This Row],[Amount in Sales]],5)</f>
        <v>885</v>
      </c>
    </row>
    <row r="202" spans="1:7" ht="14.25" customHeight="1" x14ac:dyDescent="0.3">
      <c r="A202" s="2" t="s">
        <v>571</v>
      </c>
      <c r="B202" s="2" t="s">
        <v>1770</v>
      </c>
      <c r="C202" s="12">
        <v>44738</v>
      </c>
      <c r="D202" s="2">
        <v>815</v>
      </c>
      <c r="E202" s="2">
        <v>356.75</v>
      </c>
      <c r="F202" s="2" t="s">
        <v>1765</v>
      </c>
      <c r="G202">
        <f>MROUND(Table_2[[#This Row],[Amount in Sales]],5)</f>
        <v>815</v>
      </c>
    </row>
    <row r="203" spans="1:7" ht="14.25" customHeight="1" x14ac:dyDescent="0.3">
      <c r="A203" s="2" t="s">
        <v>573</v>
      </c>
      <c r="B203" s="2" t="s">
        <v>1772</v>
      </c>
      <c r="C203" s="12">
        <v>44740</v>
      </c>
      <c r="D203" s="2">
        <v>422</v>
      </c>
      <c r="E203" s="2">
        <v>176.63</v>
      </c>
      <c r="F203" s="2" t="s">
        <v>1767</v>
      </c>
      <c r="G203">
        <f>MROUND(Table_2[[#This Row],[Amount in Sales]],5)</f>
        <v>420</v>
      </c>
    </row>
    <row r="204" spans="1:7" ht="14.25" customHeight="1" x14ac:dyDescent="0.3">
      <c r="A204" s="2" t="s">
        <v>575</v>
      </c>
      <c r="B204" s="2" t="s">
        <v>1773</v>
      </c>
      <c r="C204" s="12">
        <v>44755</v>
      </c>
      <c r="D204" s="2">
        <v>667</v>
      </c>
      <c r="E204" s="2">
        <v>258.95999999999998</v>
      </c>
      <c r="F204" s="2" t="s">
        <v>1769</v>
      </c>
      <c r="G204">
        <f>MROUND(Table_2[[#This Row],[Amount in Sales]],5)</f>
        <v>665</v>
      </c>
    </row>
    <row r="205" spans="1:7" ht="14.25" customHeight="1" x14ac:dyDescent="0.3">
      <c r="A205" s="2" t="s">
        <v>577</v>
      </c>
      <c r="B205" s="2" t="s">
        <v>1764</v>
      </c>
      <c r="C205" s="12">
        <v>44755</v>
      </c>
      <c r="D205" s="2">
        <v>247</v>
      </c>
      <c r="E205" s="2">
        <v>186.32999999999998</v>
      </c>
      <c r="F205" s="2" t="s">
        <v>1771</v>
      </c>
      <c r="G205">
        <f>MROUND(Table_2[[#This Row],[Amount in Sales]],5)</f>
        <v>245</v>
      </c>
    </row>
    <row r="206" spans="1:7" ht="14.25" customHeight="1" x14ac:dyDescent="0.3">
      <c r="A206" s="2" t="s">
        <v>579</v>
      </c>
      <c r="B206" s="2" t="s">
        <v>1766</v>
      </c>
      <c r="C206" s="12">
        <v>44764</v>
      </c>
      <c r="D206" s="2">
        <v>789</v>
      </c>
      <c r="E206" s="2">
        <v>485.93</v>
      </c>
      <c r="F206" s="2" t="s">
        <v>1765</v>
      </c>
      <c r="G206">
        <f>MROUND(Table_2[[#This Row],[Amount in Sales]],5)</f>
        <v>790</v>
      </c>
    </row>
    <row r="207" spans="1:7" ht="14.25" customHeight="1" x14ac:dyDescent="0.3">
      <c r="A207" s="2" t="s">
        <v>581</v>
      </c>
      <c r="B207" s="2" t="s">
        <v>1768</v>
      </c>
      <c r="C207" s="12">
        <v>44735</v>
      </c>
      <c r="D207" s="2">
        <v>403</v>
      </c>
      <c r="E207" s="2">
        <v>322.43</v>
      </c>
      <c r="F207" s="2" t="s">
        <v>1767</v>
      </c>
      <c r="G207">
        <f>MROUND(Table_2[[#This Row],[Amount in Sales]],5)</f>
        <v>405</v>
      </c>
    </row>
    <row r="208" spans="1:7" ht="14.25" customHeight="1" x14ac:dyDescent="0.3">
      <c r="A208" s="2" t="s">
        <v>583</v>
      </c>
      <c r="B208" s="2" t="s">
        <v>1770</v>
      </c>
      <c r="C208" s="12">
        <v>44734</v>
      </c>
      <c r="D208" s="2">
        <v>633</v>
      </c>
      <c r="E208" s="2">
        <v>431.89</v>
      </c>
      <c r="F208" s="2" t="s">
        <v>1769</v>
      </c>
      <c r="G208">
        <f>MROUND(Table_2[[#This Row],[Amount in Sales]],5)</f>
        <v>635</v>
      </c>
    </row>
    <row r="209" spans="1:7" ht="14.25" customHeight="1" x14ac:dyDescent="0.3">
      <c r="A209" s="2" t="s">
        <v>585</v>
      </c>
      <c r="B209" s="2" t="s">
        <v>1764</v>
      </c>
      <c r="C209" s="12">
        <v>44728</v>
      </c>
      <c r="D209" s="2">
        <v>755</v>
      </c>
      <c r="E209" s="2">
        <v>12.45</v>
      </c>
      <c r="F209" s="2" t="s">
        <v>1771</v>
      </c>
      <c r="G209">
        <f>MROUND(Table_2[[#This Row],[Amount in Sales]],5)</f>
        <v>755</v>
      </c>
    </row>
    <row r="210" spans="1:7" ht="14.25" customHeight="1" x14ac:dyDescent="0.3">
      <c r="A210" s="2" t="s">
        <v>587</v>
      </c>
      <c r="B210" s="2" t="s">
        <v>1766</v>
      </c>
      <c r="C210" s="12">
        <v>44739</v>
      </c>
      <c r="D210" s="2">
        <v>648</v>
      </c>
      <c r="E210" s="2">
        <v>149.54999999999998</v>
      </c>
      <c r="F210" s="2" t="s">
        <v>1765</v>
      </c>
      <c r="G210">
        <f>MROUND(Table_2[[#This Row],[Amount in Sales]],5)</f>
        <v>650</v>
      </c>
    </row>
    <row r="211" spans="1:7" ht="14.25" customHeight="1" x14ac:dyDescent="0.3">
      <c r="A211" s="2" t="s">
        <v>589</v>
      </c>
      <c r="B211" s="2" t="s">
        <v>1768</v>
      </c>
      <c r="C211" s="12">
        <v>44765</v>
      </c>
      <c r="D211" s="2">
        <v>770</v>
      </c>
      <c r="E211" s="2">
        <v>17.12</v>
      </c>
      <c r="F211" s="2" t="s">
        <v>1767</v>
      </c>
      <c r="G211">
        <f>MROUND(Table_2[[#This Row],[Amount in Sales]],5)</f>
        <v>770</v>
      </c>
    </row>
    <row r="212" spans="1:7" ht="14.25" customHeight="1" x14ac:dyDescent="0.3">
      <c r="A212" s="2" t="s">
        <v>591</v>
      </c>
      <c r="B212" s="2" t="s">
        <v>1770</v>
      </c>
      <c r="C212" s="12">
        <v>44740</v>
      </c>
      <c r="D212" s="2">
        <v>426</v>
      </c>
      <c r="E212" s="2">
        <v>307.59999999999997</v>
      </c>
      <c r="F212" s="2" t="s">
        <v>1769</v>
      </c>
      <c r="G212">
        <f>MROUND(Table_2[[#This Row],[Amount in Sales]],5)</f>
        <v>425</v>
      </c>
    </row>
    <row r="213" spans="1:7" ht="14.25" customHeight="1" x14ac:dyDescent="0.3">
      <c r="A213" s="2" t="s">
        <v>593</v>
      </c>
      <c r="B213" s="2" t="s">
        <v>1772</v>
      </c>
      <c r="C213" s="12">
        <v>44734</v>
      </c>
      <c r="D213" s="2">
        <v>444</v>
      </c>
      <c r="E213" s="2">
        <v>293.34999999999997</v>
      </c>
      <c r="F213" s="2" t="s">
        <v>1771</v>
      </c>
      <c r="G213">
        <f>MROUND(Table_2[[#This Row],[Amount in Sales]],5)</f>
        <v>445</v>
      </c>
    </row>
    <row r="214" spans="1:7" ht="14.25" customHeight="1" x14ac:dyDescent="0.3">
      <c r="A214" s="2" t="s">
        <v>595</v>
      </c>
      <c r="B214" s="2" t="s">
        <v>1764</v>
      </c>
      <c r="C214" s="12">
        <v>44727</v>
      </c>
      <c r="D214" s="2">
        <v>416</v>
      </c>
      <c r="E214" s="2">
        <v>58.449999999999996</v>
      </c>
      <c r="F214" s="2" t="s">
        <v>1765</v>
      </c>
      <c r="G214">
        <f>MROUND(Table_2[[#This Row],[Amount in Sales]],5)</f>
        <v>415</v>
      </c>
    </row>
    <row r="215" spans="1:7" ht="14.25" customHeight="1" x14ac:dyDescent="0.3">
      <c r="A215" s="2" t="s">
        <v>597</v>
      </c>
      <c r="B215" s="2" t="s">
        <v>1766</v>
      </c>
      <c r="C215" s="12">
        <v>44737</v>
      </c>
      <c r="D215" s="2">
        <v>492</v>
      </c>
      <c r="E215" s="2">
        <v>186.34</v>
      </c>
      <c r="F215" s="2" t="s">
        <v>1767</v>
      </c>
      <c r="G215">
        <f>MROUND(Table_2[[#This Row],[Amount in Sales]],5)</f>
        <v>490</v>
      </c>
    </row>
    <row r="216" spans="1:7" ht="14.25" customHeight="1" x14ac:dyDescent="0.3">
      <c r="A216" s="2" t="s">
        <v>599</v>
      </c>
      <c r="B216" s="2" t="s">
        <v>1768</v>
      </c>
      <c r="C216" s="12">
        <v>44747</v>
      </c>
      <c r="D216" s="2">
        <v>445</v>
      </c>
      <c r="E216" s="2">
        <v>318.25</v>
      </c>
      <c r="F216" s="2" t="s">
        <v>1769</v>
      </c>
      <c r="G216">
        <f>MROUND(Table_2[[#This Row],[Amount in Sales]],5)</f>
        <v>445</v>
      </c>
    </row>
    <row r="217" spans="1:7" ht="14.25" customHeight="1" x14ac:dyDescent="0.3">
      <c r="A217" s="2" t="s">
        <v>601</v>
      </c>
      <c r="B217" s="2" t="s">
        <v>1770</v>
      </c>
      <c r="C217" s="12">
        <v>44754</v>
      </c>
      <c r="D217" s="2">
        <v>804</v>
      </c>
      <c r="E217" s="2">
        <v>172.16</v>
      </c>
      <c r="F217" s="2" t="s">
        <v>1771</v>
      </c>
      <c r="G217">
        <f>MROUND(Table_2[[#This Row],[Amount in Sales]],5)</f>
        <v>805</v>
      </c>
    </row>
    <row r="218" spans="1:7" ht="14.25" customHeight="1" x14ac:dyDescent="0.3">
      <c r="A218" s="2" t="s">
        <v>603</v>
      </c>
      <c r="B218" s="2" t="s">
        <v>1764</v>
      </c>
      <c r="C218" s="12">
        <v>44760</v>
      </c>
      <c r="D218" s="2">
        <v>401</v>
      </c>
      <c r="E218" s="2">
        <v>65.990000000000009</v>
      </c>
      <c r="F218" s="2" t="s">
        <v>1765</v>
      </c>
      <c r="G218">
        <f>MROUND(Table_2[[#This Row],[Amount in Sales]],5)</f>
        <v>400</v>
      </c>
    </row>
    <row r="219" spans="1:7" ht="14.25" customHeight="1" x14ac:dyDescent="0.3">
      <c r="A219" s="2" t="s">
        <v>605</v>
      </c>
      <c r="B219" s="2" t="s">
        <v>1766</v>
      </c>
      <c r="C219" s="12">
        <v>44759</v>
      </c>
      <c r="D219" s="2">
        <v>260</v>
      </c>
      <c r="E219" s="2">
        <v>66.740000000000009</v>
      </c>
      <c r="F219" s="2" t="s">
        <v>1767</v>
      </c>
      <c r="G219">
        <f>MROUND(Table_2[[#This Row],[Amount in Sales]],5)</f>
        <v>260</v>
      </c>
    </row>
    <row r="220" spans="1:7" ht="14.25" customHeight="1" x14ac:dyDescent="0.3">
      <c r="A220" s="2" t="s">
        <v>607</v>
      </c>
      <c r="B220" s="2" t="s">
        <v>1768</v>
      </c>
      <c r="C220" s="12">
        <v>44735</v>
      </c>
      <c r="D220" s="2">
        <v>714</v>
      </c>
      <c r="E220" s="2">
        <v>643.75</v>
      </c>
      <c r="F220" s="2" t="s">
        <v>1769</v>
      </c>
      <c r="G220">
        <f>MROUND(Table_2[[#This Row],[Amount in Sales]],5)</f>
        <v>715</v>
      </c>
    </row>
    <row r="221" spans="1:7" ht="14.25" customHeight="1" x14ac:dyDescent="0.3">
      <c r="A221" s="2" t="s">
        <v>609</v>
      </c>
      <c r="B221" s="2" t="s">
        <v>1770</v>
      </c>
      <c r="C221" s="12">
        <v>44734</v>
      </c>
      <c r="D221" s="2">
        <v>255</v>
      </c>
      <c r="E221" s="2">
        <v>81.650000000000006</v>
      </c>
      <c r="F221" s="2" t="s">
        <v>1771</v>
      </c>
      <c r="G221">
        <f>MROUND(Table_2[[#This Row],[Amount in Sales]],5)</f>
        <v>255</v>
      </c>
    </row>
    <row r="222" spans="1:7" ht="14.25" customHeight="1" x14ac:dyDescent="0.3">
      <c r="A222" s="2" t="s">
        <v>611</v>
      </c>
      <c r="B222" s="2" t="s">
        <v>1772</v>
      </c>
      <c r="C222" s="12">
        <v>44753</v>
      </c>
      <c r="D222" s="2">
        <v>536</v>
      </c>
      <c r="E222" s="2">
        <v>72.36</v>
      </c>
      <c r="F222" s="2" t="s">
        <v>1765</v>
      </c>
      <c r="G222">
        <f>MROUND(Table_2[[#This Row],[Amount in Sales]],5)</f>
        <v>535</v>
      </c>
    </row>
    <row r="223" spans="1:7" ht="14.25" customHeight="1" x14ac:dyDescent="0.3">
      <c r="A223" s="2" t="s">
        <v>613</v>
      </c>
      <c r="B223" s="2" t="s">
        <v>1773</v>
      </c>
      <c r="C223" s="12">
        <v>44739</v>
      </c>
      <c r="D223" s="2">
        <v>473</v>
      </c>
      <c r="E223" s="2">
        <v>434.17</v>
      </c>
      <c r="F223" s="2" t="s">
        <v>1767</v>
      </c>
      <c r="G223">
        <f>MROUND(Table_2[[#This Row],[Amount in Sales]],5)</f>
        <v>475</v>
      </c>
    </row>
    <row r="224" spans="1:7" ht="14.25" customHeight="1" x14ac:dyDescent="0.3">
      <c r="A224" s="2" t="s">
        <v>615</v>
      </c>
      <c r="B224" s="2" t="s">
        <v>1764</v>
      </c>
      <c r="C224" s="12">
        <v>44740</v>
      </c>
      <c r="D224" s="2">
        <v>245</v>
      </c>
      <c r="E224" s="2">
        <v>240.16</v>
      </c>
      <c r="F224" s="2" t="s">
        <v>1769</v>
      </c>
      <c r="G224">
        <f>MROUND(Table_2[[#This Row],[Amount in Sales]],5)</f>
        <v>245</v>
      </c>
    </row>
    <row r="225" spans="1:7" ht="14.25" customHeight="1" x14ac:dyDescent="0.3">
      <c r="A225" s="2" t="s">
        <v>617</v>
      </c>
      <c r="B225" s="2" t="s">
        <v>1766</v>
      </c>
      <c r="C225" s="12">
        <v>44748</v>
      </c>
      <c r="D225" s="2">
        <v>487</v>
      </c>
      <c r="E225" s="2">
        <v>32.809999999999995</v>
      </c>
      <c r="F225" s="2" t="s">
        <v>1771</v>
      </c>
      <c r="G225">
        <f>MROUND(Table_2[[#This Row],[Amount in Sales]],5)</f>
        <v>485</v>
      </c>
    </row>
    <row r="226" spans="1:7" ht="14.25" customHeight="1" x14ac:dyDescent="0.3">
      <c r="A226" s="2" t="s">
        <v>619</v>
      </c>
      <c r="B226" s="2" t="s">
        <v>1768</v>
      </c>
      <c r="C226" s="12">
        <v>44731</v>
      </c>
      <c r="D226" s="2">
        <v>416</v>
      </c>
      <c r="E226" s="2">
        <v>207.62</v>
      </c>
      <c r="F226" s="2" t="s">
        <v>1765</v>
      </c>
      <c r="G226">
        <f>MROUND(Table_2[[#This Row],[Amount in Sales]],5)</f>
        <v>415</v>
      </c>
    </row>
    <row r="227" spans="1:7" ht="14.25" customHeight="1" x14ac:dyDescent="0.3">
      <c r="A227" s="2" t="s">
        <v>621</v>
      </c>
      <c r="B227" s="2" t="s">
        <v>1770</v>
      </c>
      <c r="C227" s="12">
        <v>44763</v>
      </c>
      <c r="D227" s="2">
        <v>688</v>
      </c>
      <c r="E227" s="2">
        <v>422.89</v>
      </c>
      <c r="F227" s="2" t="s">
        <v>1767</v>
      </c>
      <c r="G227">
        <f>MROUND(Table_2[[#This Row],[Amount in Sales]],5)</f>
        <v>690</v>
      </c>
    </row>
    <row r="228" spans="1:7" ht="14.25" customHeight="1" x14ac:dyDescent="0.3">
      <c r="A228" s="2" t="s">
        <v>623</v>
      </c>
      <c r="B228" s="2" t="s">
        <v>1764</v>
      </c>
      <c r="C228" s="12">
        <v>44733</v>
      </c>
      <c r="D228" s="2">
        <v>516</v>
      </c>
      <c r="E228" s="2">
        <v>488.34999999999997</v>
      </c>
      <c r="F228" s="2" t="s">
        <v>1769</v>
      </c>
      <c r="G228">
        <f>MROUND(Table_2[[#This Row],[Amount in Sales]],5)</f>
        <v>515</v>
      </c>
    </row>
    <row r="229" spans="1:7" ht="14.25" customHeight="1" x14ac:dyDescent="0.3">
      <c r="A229" s="2" t="s">
        <v>625</v>
      </c>
      <c r="B229" s="2" t="s">
        <v>1766</v>
      </c>
      <c r="C229" s="12">
        <v>44746</v>
      </c>
      <c r="D229" s="2">
        <v>630</v>
      </c>
      <c r="E229" s="2">
        <v>599.56999999999994</v>
      </c>
      <c r="F229" s="2" t="s">
        <v>1771</v>
      </c>
      <c r="G229">
        <f>MROUND(Table_2[[#This Row],[Amount in Sales]],5)</f>
        <v>630</v>
      </c>
    </row>
    <row r="230" spans="1:7" ht="14.25" customHeight="1" x14ac:dyDescent="0.3">
      <c r="A230" s="2" t="s">
        <v>627</v>
      </c>
      <c r="B230" s="2" t="s">
        <v>1768</v>
      </c>
      <c r="C230" s="12">
        <v>44755</v>
      </c>
      <c r="D230" s="2">
        <v>387</v>
      </c>
      <c r="E230" s="2">
        <v>216.57</v>
      </c>
      <c r="F230" s="2" t="s">
        <v>1765</v>
      </c>
      <c r="G230">
        <f>MROUND(Table_2[[#This Row],[Amount in Sales]],5)</f>
        <v>385</v>
      </c>
    </row>
    <row r="231" spans="1:7" ht="14.25" customHeight="1" x14ac:dyDescent="0.3">
      <c r="A231" s="2" t="s">
        <v>629</v>
      </c>
      <c r="B231" s="2" t="s">
        <v>1770</v>
      </c>
      <c r="C231" s="12">
        <v>44755</v>
      </c>
      <c r="D231" s="2">
        <v>292</v>
      </c>
      <c r="E231" s="2">
        <v>236.54</v>
      </c>
      <c r="F231" s="2" t="s">
        <v>1767</v>
      </c>
      <c r="G231">
        <f>MROUND(Table_2[[#This Row],[Amount in Sales]],5)</f>
        <v>290</v>
      </c>
    </row>
    <row r="232" spans="1:7" ht="14.25" customHeight="1" x14ac:dyDescent="0.3">
      <c r="A232" s="2" t="s">
        <v>631</v>
      </c>
      <c r="B232" s="2" t="s">
        <v>1764</v>
      </c>
      <c r="C232" s="12">
        <v>44727</v>
      </c>
      <c r="D232" s="2">
        <v>873</v>
      </c>
      <c r="E232" s="2">
        <v>309.48</v>
      </c>
      <c r="F232" s="2" t="s">
        <v>1769</v>
      </c>
      <c r="G232">
        <f>MROUND(Table_2[[#This Row],[Amount in Sales]],5)</f>
        <v>875</v>
      </c>
    </row>
    <row r="233" spans="1:7" ht="14.25" customHeight="1" x14ac:dyDescent="0.3">
      <c r="A233" s="2" t="s">
        <v>633</v>
      </c>
      <c r="B233" s="2" t="s">
        <v>1766</v>
      </c>
      <c r="C233" s="12">
        <v>44746</v>
      </c>
      <c r="D233" s="2">
        <v>704</v>
      </c>
      <c r="E233" s="2">
        <v>245.67</v>
      </c>
      <c r="F233" s="2" t="s">
        <v>1771</v>
      </c>
      <c r="G233">
        <f>MROUND(Table_2[[#This Row],[Amount in Sales]],5)</f>
        <v>705</v>
      </c>
    </row>
    <row r="234" spans="1:7" ht="14.25" customHeight="1" x14ac:dyDescent="0.3">
      <c r="A234" s="2" t="s">
        <v>635</v>
      </c>
      <c r="B234" s="2" t="s">
        <v>1768</v>
      </c>
      <c r="C234" s="12">
        <v>44740</v>
      </c>
      <c r="D234" s="2">
        <v>494</v>
      </c>
      <c r="E234" s="2">
        <v>258.27</v>
      </c>
      <c r="F234" s="2" t="s">
        <v>1765</v>
      </c>
      <c r="G234">
        <f>MROUND(Table_2[[#This Row],[Amount in Sales]],5)</f>
        <v>495</v>
      </c>
    </row>
    <row r="235" spans="1:7" ht="14.25" customHeight="1" x14ac:dyDescent="0.3">
      <c r="A235" s="2" t="s">
        <v>637</v>
      </c>
      <c r="B235" s="2" t="s">
        <v>1770</v>
      </c>
      <c r="C235" s="12">
        <v>44743</v>
      </c>
      <c r="D235" s="2">
        <v>421</v>
      </c>
      <c r="E235" s="2">
        <v>293.09999999999997</v>
      </c>
      <c r="F235" s="2" t="s">
        <v>1767</v>
      </c>
      <c r="G235">
        <f>MROUND(Table_2[[#This Row],[Amount in Sales]],5)</f>
        <v>420</v>
      </c>
    </row>
    <row r="236" spans="1:7" ht="14.25" customHeight="1" x14ac:dyDescent="0.3">
      <c r="A236" s="2" t="s">
        <v>639</v>
      </c>
      <c r="B236" s="2" t="s">
        <v>1764</v>
      </c>
      <c r="C236" s="12">
        <v>44737</v>
      </c>
      <c r="D236" s="2">
        <v>396</v>
      </c>
      <c r="E236" s="2">
        <v>220.32999999999998</v>
      </c>
      <c r="F236" s="2" t="s">
        <v>1769</v>
      </c>
      <c r="G236">
        <f>MROUND(Table_2[[#This Row],[Amount in Sales]],5)</f>
        <v>395</v>
      </c>
    </row>
    <row r="237" spans="1:7" ht="14.25" customHeight="1" x14ac:dyDescent="0.3">
      <c r="A237" s="2" t="s">
        <v>641</v>
      </c>
      <c r="B237" s="2" t="s">
        <v>1766</v>
      </c>
      <c r="C237" s="12">
        <v>44757</v>
      </c>
      <c r="D237" s="2">
        <v>532</v>
      </c>
      <c r="E237" s="2">
        <v>41.57</v>
      </c>
      <c r="F237" s="2" t="s">
        <v>1771</v>
      </c>
      <c r="G237">
        <f>MROUND(Table_2[[#This Row],[Amount in Sales]],5)</f>
        <v>530</v>
      </c>
    </row>
    <row r="238" spans="1:7" ht="14.25" customHeight="1" x14ac:dyDescent="0.3">
      <c r="A238" s="2" t="s">
        <v>643</v>
      </c>
      <c r="B238" s="2" t="s">
        <v>1768</v>
      </c>
      <c r="C238" s="12">
        <v>44745</v>
      </c>
      <c r="D238" s="2">
        <v>268</v>
      </c>
      <c r="E238" s="2">
        <v>101.26</v>
      </c>
      <c r="F238" s="2" t="s">
        <v>1765</v>
      </c>
      <c r="G238">
        <f>MROUND(Table_2[[#This Row],[Amount in Sales]],5)</f>
        <v>270</v>
      </c>
    </row>
    <row r="239" spans="1:7" ht="14.25" customHeight="1" x14ac:dyDescent="0.3">
      <c r="A239" s="2" t="s">
        <v>645</v>
      </c>
      <c r="B239" s="2" t="s">
        <v>1770</v>
      </c>
      <c r="C239" s="12">
        <v>44760</v>
      </c>
      <c r="D239" s="2">
        <v>898</v>
      </c>
      <c r="E239" s="2">
        <v>307.13</v>
      </c>
      <c r="F239" s="2" t="s">
        <v>1767</v>
      </c>
      <c r="G239">
        <f>MROUND(Table_2[[#This Row],[Amount in Sales]],5)</f>
        <v>900</v>
      </c>
    </row>
    <row r="240" spans="1:7" ht="14.25" customHeight="1" x14ac:dyDescent="0.3">
      <c r="A240" s="2" t="s">
        <v>647</v>
      </c>
      <c r="B240" s="2" t="s">
        <v>1772</v>
      </c>
      <c r="C240" s="12">
        <v>44750</v>
      </c>
      <c r="D240" s="2">
        <v>674</v>
      </c>
      <c r="E240" s="2">
        <v>625.05999999999995</v>
      </c>
      <c r="F240" s="2" t="s">
        <v>1769</v>
      </c>
      <c r="G240">
        <f>MROUND(Table_2[[#This Row],[Amount in Sales]],5)</f>
        <v>675</v>
      </c>
    </row>
    <row r="241" spans="1:7" ht="14.25" customHeight="1" x14ac:dyDescent="0.3">
      <c r="A241" s="2" t="s">
        <v>649</v>
      </c>
      <c r="B241" s="2" t="s">
        <v>1764</v>
      </c>
      <c r="C241" s="12">
        <v>44742</v>
      </c>
      <c r="D241" s="2">
        <v>418</v>
      </c>
      <c r="E241" s="2">
        <v>405.21</v>
      </c>
      <c r="F241" s="2" t="s">
        <v>1771</v>
      </c>
      <c r="G241">
        <f>MROUND(Table_2[[#This Row],[Amount in Sales]],5)</f>
        <v>420</v>
      </c>
    </row>
    <row r="242" spans="1:7" ht="14.25" customHeight="1" x14ac:dyDescent="0.3">
      <c r="A242" s="2" t="s">
        <v>651</v>
      </c>
      <c r="B242" s="2" t="s">
        <v>1766</v>
      </c>
      <c r="C242" s="12">
        <v>44754</v>
      </c>
      <c r="D242" s="2">
        <v>363</v>
      </c>
      <c r="E242" s="2">
        <v>88.600000000000009</v>
      </c>
      <c r="F242" s="2" t="s">
        <v>1765</v>
      </c>
      <c r="G242">
        <f>MROUND(Table_2[[#This Row],[Amount in Sales]],5)</f>
        <v>365</v>
      </c>
    </row>
    <row r="243" spans="1:7" ht="14.25" customHeight="1" x14ac:dyDescent="0.3">
      <c r="A243" s="2" t="s">
        <v>653</v>
      </c>
      <c r="B243" s="2" t="s">
        <v>1768</v>
      </c>
      <c r="C243" s="12">
        <v>44746</v>
      </c>
      <c r="D243" s="2">
        <v>381</v>
      </c>
      <c r="E243" s="2">
        <v>354.74</v>
      </c>
      <c r="F243" s="2" t="s">
        <v>1767</v>
      </c>
      <c r="G243">
        <f>MROUND(Table_2[[#This Row],[Amount in Sales]],5)</f>
        <v>380</v>
      </c>
    </row>
    <row r="244" spans="1:7" ht="14.25" customHeight="1" x14ac:dyDescent="0.3">
      <c r="A244" s="2" t="s">
        <v>655</v>
      </c>
      <c r="B244" s="2" t="s">
        <v>1770</v>
      </c>
      <c r="C244" s="12">
        <v>44752</v>
      </c>
      <c r="D244" s="2">
        <v>506</v>
      </c>
      <c r="E244" s="2">
        <v>341.90999999999997</v>
      </c>
      <c r="F244" s="2" t="s">
        <v>1769</v>
      </c>
      <c r="G244">
        <f>MROUND(Table_2[[#This Row],[Amount in Sales]],5)</f>
        <v>505</v>
      </c>
    </row>
    <row r="245" spans="1:7" ht="14.25" customHeight="1" x14ac:dyDescent="0.3">
      <c r="A245" s="2" t="s">
        <v>657</v>
      </c>
      <c r="B245" s="2" t="s">
        <v>1764</v>
      </c>
      <c r="C245" s="12">
        <v>44725</v>
      </c>
      <c r="D245" s="2">
        <v>478</v>
      </c>
      <c r="E245" s="2">
        <v>435.90999999999997</v>
      </c>
      <c r="F245" s="2" t="s">
        <v>1771</v>
      </c>
      <c r="G245">
        <f>MROUND(Table_2[[#This Row],[Amount in Sales]],5)</f>
        <v>480</v>
      </c>
    </row>
    <row r="246" spans="1:7" ht="14.25" customHeight="1" x14ac:dyDescent="0.3">
      <c r="A246" s="2" t="s">
        <v>659</v>
      </c>
      <c r="B246" s="2" t="s">
        <v>1766</v>
      </c>
      <c r="C246" s="12">
        <v>44734</v>
      </c>
      <c r="D246" s="2">
        <v>833</v>
      </c>
      <c r="E246" s="2">
        <v>385.8</v>
      </c>
      <c r="F246" s="2" t="s">
        <v>1765</v>
      </c>
      <c r="G246">
        <f>MROUND(Table_2[[#This Row],[Amount in Sales]],5)</f>
        <v>835</v>
      </c>
    </row>
    <row r="247" spans="1:7" ht="14.25" customHeight="1" x14ac:dyDescent="0.3">
      <c r="A247" s="2" t="s">
        <v>661</v>
      </c>
      <c r="B247" s="2" t="s">
        <v>1768</v>
      </c>
      <c r="C247" s="12">
        <v>44761</v>
      </c>
      <c r="D247" s="2">
        <v>327</v>
      </c>
      <c r="E247" s="2">
        <v>17.510000000000002</v>
      </c>
      <c r="F247" s="2" t="s">
        <v>1767</v>
      </c>
      <c r="G247">
        <f>MROUND(Table_2[[#This Row],[Amount in Sales]],5)</f>
        <v>325</v>
      </c>
    </row>
    <row r="248" spans="1:7" ht="14.25" customHeight="1" x14ac:dyDescent="0.3">
      <c r="A248" s="2" t="s">
        <v>663</v>
      </c>
      <c r="B248" s="2" t="s">
        <v>1770</v>
      </c>
      <c r="C248" s="12">
        <v>44735</v>
      </c>
      <c r="D248" s="2">
        <v>253</v>
      </c>
      <c r="E248" s="2">
        <v>25.650000000000002</v>
      </c>
      <c r="F248" s="2" t="s">
        <v>1769</v>
      </c>
      <c r="G248">
        <f>MROUND(Table_2[[#This Row],[Amount in Sales]],5)</f>
        <v>255</v>
      </c>
    </row>
    <row r="249" spans="1:7" ht="14.25" customHeight="1" x14ac:dyDescent="0.3">
      <c r="A249" s="2" t="s">
        <v>665</v>
      </c>
      <c r="B249" s="2" t="s">
        <v>1772</v>
      </c>
      <c r="C249" s="12">
        <v>44753</v>
      </c>
      <c r="D249" s="2">
        <v>591</v>
      </c>
      <c r="E249" s="2">
        <v>91.100000000000009</v>
      </c>
      <c r="F249" s="2" t="s">
        <v>1771</v>
      </c>
      <c r="G249">
        <f>MROUND(Table_2[[#This Row],[Amount in Sales]],5)</f>
        <v>590</v>
      </c>
    </row>
    <row r="250" spans="1:7" ht="14.25" customHeight="1" x14ac:dyDescent="0.3">
      <c r="A250" s="2" t="s">
        <v>667</v>
      </c>
      <c r="B250" s="2" t="s">
        <v>1773</v>
      </c>
      <c r="C250" s="12">
        <v>44732</v>
      </c>
      <c r="D250" s="2">
        <v>360</v>
      </c>
      <c r="E250" s="2">
        <v>356.94</v>
      </c>
      <c r="F250" s="2" t="s">
        <v>1765</v>
      </c>
      <c r="G250">
        <f>MROUND(Table_2[[#This Row],[Amount in Sales]],5)</f>
        <v>360</v>
      </c>
    </row>
    <row r="251" spans="1:7" ht="14.25" customHeight="1" x14ac:dyDescent="0.3">
      <c r="A251" s="2" t="s">
        <v>669</v>
      </c>
      <c r="B251" s="2" t="s">
        <v>1764</v>
      </c>
      <c r="C251" s="12">
        <v>44748</v>
      </c>
      <c r="D251" s="2">
        <v>290</v>
      </c>
      <c r="E251" s="2">
        <v>77.7</v>
      </c>
      <c r="F251" s="2" t="s">
        <v>1767</v>
      </c>
      <c r="G251">
        <f>MROUND(Table_2[[#This Row],[Amount in Sales]],5)</f>
        <v>290</v>
      </c>
    </row>
    <row r="252" spans="1:7" ht="14.25" customHeight="1" x14ac:dyDescent="0.3">
      <c r="A252" s="2" t="s">
        <v>671</v>
      </c>
      <c r="B252" s="2" t="s">
        <v>1766</v>
      </c>
      <c r="C252" s="12">
        <v>44731</v>
      </c>
      <c r="D252" s="2">
        <v>474</v>
      </c>
      <c r="E252" s="2">
        <v>319.48</v>
      </c>
      <c r="F252" s="2" t="s">
        <v>1769</v>
      </c>
      <c r="G252">
        <f>MROUND(Table_2[[#This Row],[Amount in Sales]],5)</f>
        <v>475</v>
      </c>
    </row>
    <row r="253" spans="1:7" ht="14.25" customHeight="1" x14ac:dyDescent="0.3">
      <c r="A253" s="2" t="s">
        <v>673</v>
      </c>
      <c r="B253" s="2" t="s">
        <v>1768</v>
      </c>
      <c r="C253" s="12">
        <v>44725</v>
      </c>
      <c r="D253" s="2">
        <v>375</v>
      </c>
      <c r="E253" s="2">
        <v>40.43</v>
      </c>
      <c r="F253" s="2" t="s">
        <v>1771</v>
      </c>
      <c r="G253">
        <f>MROUND(Table_2[[#This Row],[Amount in Sales]],5)</f>
        <v>375</v>
      </c>
    </row>
    <row r="254" spans="1:7" ht="14.25" customHeight="1" x14ac:dyDescent="0.3">
      <c r="A254" s="2" t="s">
        <v>675</v>
      </c>
      <c r="B254" s="2" t="s">
        <v>1770</v>
      </c>
      <c r="C254" s="12">
        <v>44753</v>
      </c>
      <c r="D254" s="2">
        <v>576</v>
      </c>
      <c r="E254" s="2">
        <v>37.919999999999995</v>
      </c>
      <c r="F254" s="2" t="s">
        <v>1765</v>
      </c>
      <c r="G254">
        <f>MROUND(Table_2[[#This Row],[Amount in Sales]],5)</f>
        <v>575</v>
      </c>
    </row>
    <row r="255" spans="1:7" ht="14.25" customHeight="1" x14ac:dyDescent="0.3">
      <c r="A255" s="2" t="s">
        <v>677</v>
      </c>
      <c r="B255" s="2" t="s">
        <v>1764</v>
      </c>
      <c r="C255" s="12">
        <v>44738</v>
      </c>
      <c r="D255" s="2">
        <v>778</v>
      </c>
      <c r="E255" s="2">
        <v>281.39</v>
      </c>
      <c r="F255" s="2" t="s">
        <v>1767</v>
      </c>
      <c r="G255">
        <f>MROUND(Table_2[[#This Row],[Amount in Sales]],5)</f>
        <v>780</v>
      </c>
    </row>
    <row r="256" spans="1:7" ht="14.25" customHeight="1" x14ac:dyDescent="0.3">
      <c r="A256" s="2" t="s">
        <v>679</v>
      </c>
      <c r="B256" s="2" t="s">
        <v>1766</v>
      </c>
      <c r="C256" s="12">
        <v>44762</v>
      </c>
      <c r="D256" s="2">
        <v>584</v>
      </c>
      <c r="E256" s="2">
        <v>91.17</v>
      </c>
      <c r="F256" s="2" t="s">
        <v>1769</v>
      </c>
      <c r="G256">
        <f>MROUND(Table_2[[#This Row],[Amount in Sales]],5)</f>
        <v>585</v>
      </c>
    </row>
    <row r="257" spans="1:7" ht="14.25" customHeight="1" x14ac:dyDescent="0.3">
      <c r="A257" s="2" t="s">
        <v>681</v>
      </c>
      <c r="B257" s="2" t="s">
        <v>1768</v>
      </c>
      <c r="C257" s="12">
        <v>44756</v>
      </c>
      <c r="D257" s="2">
        <v>467</v>
      </c>
      <c r="E257" s="2">
        <v>55.55</v>
      </c>
      <c r="F257" s="2" t="s">
        <v>1771</v>
      </c>
      <c r="G257">
        <f>MROUND(Table_2[[#This Row],[Amount in Sales]],5)</f>
        <v>465</v>
      </c>
    </row>
    <row r="258" spans="1:7" ht="14.25" customHeight="1" x14ac:dyDescent="0.3">
      <c r="A258" s="2" t="s">
        <v>683</v>
      </c>
      <c r="B258" s="2" t="s">
        <v>1770</v>
      </c>
      <c r="C258" s="12">
        <v>44744</v>
      </c>
      <c r="D258" s="2">
        <v>701</v>
      </c>
      <c r="E258" s="2">
        <v>660.2</v>
      </c>
      <c r="F258" s="2" t="s">
        <v>1765</v>
      </c>
      <c r="G258">
        <f>MROUND(Table_2[[#This Row],[Amount in Sales]],5)</f>
        <v>700</v>
      </c>
    </row>
    <row r="259" spans="1:7" ht="14.25" customHeight="1" x14ac:dyDescent="0.3">
      <c r="A259" s="2" t="s">
        <v>685</v>
      </c>
      <c r="B259" s="2" t="s">
        <v>1772</v>
      </c>
      <c r="C259" s="12">
        <v>44753</v>
      </c>
      <c r="D259" s="2">
        <v>308</v>
      </c>
      <c r="E259" s="2">
        <v>253.26</v>
      </c>
      <c r="F259" s="2" t="s">
        <v>1767</v>
      </c>
      <c r="G259">
        <f>MROUND(Table_2[[#This Row],[Amount in Sales]],5)</f>
        <v>310</v>
      </c>
    </row>
    <row r="260" spans="1:7" ht="14.25" customHeight="1" x14ac:dyDescent="0.3">
      <c r="A260" s="2" t="s">
        <v>687</v>
      </c>
      <c r="B260" s="2" t="s">
        <v>1764</v>
      </c>
      <c r="C260" s="12">
        <v>44762</v>
      </c>
      <c r="D260" s="2">
        <v>722</v>
      </c>
      <c r="E260" s="2">
        <v>11.18</v>
      </c>
      <c r="F260" s="2" t="s">
        <v>1769</v>
      </c>
      <c r="G260">
        <f>MROUND(Table_2[[#This Row],[Amount in Sales]],5)</f>
        <v>720</v>
      </c>
    </row>
    <row r="261" spans="1:7" ht="14.25" customHeight="1" x14ac:dyDescent="0.3">
      <c r="A261" s="2" t="s">
        <v>689</v>
      </c>
      <c r="B261" s="2" t="s">
        <v>1766</v>
      </c>
      <c r="C261" s="12">
        <v>44740</v>
      </c>
      <c r="D261" s="2">
        <v>204</v>
      </c>
      <c r="E261" s="2">
        <v>116.29</v>
      </c>
      <c r="F261" s="2" t="s">
        <v>1771</v>
      </c>
      <c r="G261">
        <f>MROUND(Table_2[[#This Row],[Amount in Sales]],5)</f>
        <v>205</v>
      </c>
    </row>
    <row r="262" spans="1:7" ht="14.25" customHeight="1" x14ac:dyDescent="0.3">
      <c r="A262" s="2" t="s">
        <v>691</v>
      </c>
      <c r="B262" s="2" t="s">
        <v>1768</v>
      </c>
      <c r="C262" s="12">
        <v>44729</v>
      </c>
      <c r="D262" s="2">
        <v>660</v>
      </c>
      <c r="E262" s="2">
        <v>146.32</v>
      </c>
      <c r="F262" s="2" t="s">
        <v>1765</v>
      </c>
      <c r="G262">
        <f>MROUND(Table_2[[#This Row],[Amount in Sales]],5)</f>
        <v>660</v>
      </c>
    </row>
    <row r="263" spans="1:7" ht="14.25" customHeight="1" x14ac:dyDescent="0.3">
      <c r="A263" s="2" t="s">
        <v>693</v>
      </c>
      <c r="B263" s="2" t="s">
        <v>1770</v>
      </c>
      <c r="C263" s="12">
        <v>44727</v>
      </c>
      <c r="D263" s="2">
        <v>786</v>
      </c>
      <c r="E263" s="2">
        <v>128.34</v>
      </c>
      <c r="F263" s="2" t="s">
        <v>1767</v>
      </c>
      <c r="G263">
        <f>MROUND(Table_2[[#This Row],[Amount in Sales]],5)</f>
        <v>785</v>
      </c>
    </row>
    <row r="264" spans="1:7" ht="14.25" customHeight="1" x14ac:dyDescent="0.3">
      <c r="A264" s="2" t="s">
        <v>695</v>
      </c>
      <c r="B264" s="2" t="s">
        <v>1764</v>
      </c>
      <c r="C264" s="12">
        <v>44734</v>
      </c>
      <c r="D264" s="2">
        <v>635</v>
      </c>
      <c r="E264" s="2">
        <v>453.59999999999997</v>
      </c>
      <c r="F264" s="2" t="s">
        <v>1769</v>
      </c>
      <c r="G264">
        <f>MROUND(Table_2[[#This Row],[Amount in Sales]],5)</f>
        <v>635</v>
      </c>
    </row>
    <row r="265" spans="1:7" ht="14.25" customHeight="1" x14ac:dyDescent="0.3">
      <c r="A265" s="2" t="s">
        <v>697</v>
      </c>
      <c r="B265" s="2" t="s">
        <v>1766</v>
      </c>
      <c r="C265" s="12">
        <v>44744</v>
      </c>
      <c r="D265" s="2">
        <v>434</v>
      </c>
      <c r="E265" s="2">
        <v>252.38</v>
      </c>
      <c r="F265" s="2" t="s">
        <v>1771</v>
      </c>
      <c r="G265">
        <f>MROUND(Table_2[[#This Row],[Amount in Sales]],5)</f>
        <v>435</v>
      </c>
    </row>
    <row r="266" spans="1:7" ht="14.25" customHeight="1" x14ac:dyDescent="0.3">
      <c r="A266" s="2" t="s">
        <v>699</v>
      </c>
      <c r="B266" s="2" t="s">
        <v>1768</v>
      </c>
      <c r="C266" s="12">
        <v>44737</v>
      </c>
      <c r="D266" s="2">
        <v>270</v>
      </c>
      <c r="E266" s="2">
        <v>253.87</v>
      </c>
      <c r="F266" s="2" t="s">
        <v>1765</v>
      </c>
      <c r="G266">
        <f>MROUND(Table_2[[#This Row],[Amount in Sales]],5)</f>
        <v>270</v>
      </c>
    </row>
    <row r="267" spans="1:7" ht="14.25" customHeight="1" x14ac:dyDescent="0.3">
      <c r="A267" s="2" t="s">
        <v>701</v>
      </c>
      <c r="B267" s="2" t="s">
        <v>1770</v>
      </c>
      <c r="C267" s="12">
        <v>44752</v>
      </c>
      <c r="D267" s="2">
        <v>360</v>
      </c>
      <c r="E267" s="2">
        <v>308.51</v>
      </c>
      <c r="F267" s="2" t="s">
        <v>1767</v>
      </c>
      <c r="G267">
        <f>MROUND(Table_2[[#This Row],[Amount in Sales]],5)</f>
        <v>360</v>
      </c>
    </row>
    <row r="268" spans="1:7" ht="14.25" customHeight="1" x14ac:dyDescent="0.3">
      <c r="A268" s="2" t="s">
        <v>703</v>
      </c>
      <c r="B268" s="2" t="s">
        <v>1772</v>
      </c>
      <c r="C268" s="12">
        <v>44736</v>
      </c>
      <c r="D268" s="2">
        <v>352</v>
      </c>
      <c r="E268" s="2">
        <v>259.45</v>
      </c>
      <c r="F268" s="2" t="s">
        <v>1769</v>
      </c>
      <c r="G268">
        <f>MROUND(Table_2[[#This Row],[Amount in Sales]],5)</f>
        <v>350</v>
      </c>
    </row>
    <row r="269" spans="1:7" ht="14.25" customHeight="1" x14ac:dyDescent="0.3">
      <c r="A269" s="2" t="s">
        <v>705</v>
      </c>
      <c r="B269" s="2" t="s">
        <v>1773</v>
      </c>
      <c r="C269" s="12">
        <v>44752</v>
      </c>
      <c r="D269" s="2">
        <v>477</v>
      </c>
      <c r="E269" s="2">
        <v>474.89</v>
      </c>
      <c r="F269" s="2" t="s">
        <v>1771</v>
      </c>
      <c r="G269">
        <f>MROUND(Table_2[[#This Row],[Amount in Sales]],5)</f>
        <v>475</v>
      </c>
    </row>
    <row r="270" spans="1:7" ht="14.25" customHeight="1" x14ac:dyDescent="0.3">
      <c r="A270" s="2" t="s">
        <v>707</v>
      </c>
      <c r="B270" s="2" t="s">
        <v>1764</v>
      </c>
      <c r="C270" s="12">
        <v>44759</v>
      </c>
      <c r="D270" s="2">
        <v>578</v>
      </c>
      <c r="E270" s="2">
        <v>475.90999999999997</v>
      </c>
      <c r="F270" s="2" t="s">
        <v>1765</v>
      </c>
      <c r="G270">
        <f>MROUND(Table_2[[#This Row],[Amount in Sales]],5)</f>
        <v>580</v>
      </c>
    </row>
    <row r="271" spans="1:7" ht="14.25" customHeight="1" x14ac:dyDescent="0.3">
      <c r="A271" s="2" t="s">
        <v>709</v>
      </c>
      <c r="B271" s="2" t="s">
        <v>1766</v>
      </c>
      <c r="C271" s="12">
        <v>44763</v>
      </c>
      <c r="D271" s="2">
        <v>851</v>
      </c>
      <c r="E271" s="2">
        <v>182.37</v>
      </c>
      <c r="F271" s="2" t="s">
        <v>1767</v>
      </c>
      <c r="G271">
        <f>MROUND(Table_2[[#This Row],[Amount in Sales]],5)</f>
        <v>850</v>
      </c>
    </row>
    <row r="272" spans="1:7" ht="14.25" customHeight="1" x14ac:dyDescent="0.3">
      <c r="A272" s="2" t="s">
        <v>711</v>
      </c>
      <c r="B272" s="2" t="s">
        <v>1768</v>
      </c>
      <c r="C272" s="12">
        <v>44763</v>
      </c>
      <c r="D272" s="2">
        <v>391</v>
      </c>
      <c r="E272" s="2">
        <v>385.46</v>
      </c>
      <c r="F272" s="2" t="s">
        <v>1769</v>
      </c>
      <c r="G272">
        <f>MROUND(Table_2[[#This Row],[Amount in Sales]],5)</f>
        <v>390</v>
      </c>
    </row>
    <row r="273" spans="1:7" ht="14.25" customHeight="1" x14ac:dyDescent="0.3">
      <c r="A273" s="2" t="s">
        <v>713</v>
      </c>
      <c r="B273" s="2" t="s">
        <v>1770</v>
      </c>
      <c r="C273" s="12">
        <v>44750</v>
      </c>
      <c r="D273" s="2">
        <v>722</v>
      </c>
      <c r="E273" s="2">
        <v>15.01</v>
      </c>
      <c r="F273" s="2" t="s">
        <v>1771</v>
      </c>
      <c r="G273">
        <f>MROUND(Table_2[[#This Row],[Amount in Sales]],5)</f>
        <v>720</v>
      </c>
    </row>
    <row r="274" spans="1:7" ht="14.25" customHeight="1" x14ac:dyDescent="0.3">
      <c r="A274" s="2" t="s">
        <v>715</v>
      </c>
      <c r="B274" s="2" t="s">
        <v>1764</v>
      </c>
      <c r="C274" s="12">
        <v>44751</v>
      </c>
      <c r="D274" s="2">
        <v>560</v>
      </c>
      <c r="E274" s="2">
        <v>226.42</v>
      </c>
      <c r="F274" s="2" t="s">
        <v>1765</v>
      </c>
      <c r="G274">
        <f>MROUND(Table_2[[#This Row],[Amount in Sales]],5)</f>
        <v>560</v>
      </c>
    </row>
    <row r="275" spans="1:7" ht="14.25" customHeight="1" x14ac:dyDescent="0.3">
      <c r="A275" s="2" t="s">
        <v>717</v>
      </c>
      <c r="B275" s="2" t="s">
        <v>1766</v>
      </c>
      <c r="C275" s="12">
        <v>44736</v>
      </c>
      <c r="D275" s="2">
        <v>363</v>
      </c>
      <c r="E275" s="2">
        <v>313.02</v>
      </c>
      <c r="F275" s="2" t="s">
        <v>1767</v>
      </c>
      <c r="G275">
        <f>MROUND(Table_2[[#This Row],[Amount in Sales]],5)</f>
        <v>365</v>
      </c>
    </row>
    <row r="276" spans="1:7" ht="14.25" customHeight="1" x14ac:dyDescent="0.3">
      <c r="A276" s="2" t="s">
        <v>719</v>
      </c>
      <c r="B276" s="2" t="s">
        <v>1768</v>
      </c>
      <c r="C276" s="12">
        <v>44737</v>
      </c>
      <c r="D276" s="2">
        <v>745</v>
      </c>
      <c r="E276" s="2">
        <v>151</v>
      </c>
      <c r="F276" s="2" t="s">
        <v>1769</v>
      </c>
      <c r="G276">
        <f>MROUND(Table_2[[#This Row],[Amount in Sales]],5)</f>
        <v>745</v>
      </c>
    </row>
    <row r="277" spans="1:7" ht="14.25" customHeight="1" x14ac:dyDescent="0.3">
      <c r="A277" s="2" t="s">
        <v>721</v>
      </c>
      <c r="B277" s="2" t="s">
        <v>1770</v>
      </c>
      <c r="C277" s="12">
        <v>44744</v>
      </c>
      <c r="D277" s="2">
        <v>396</v>
      </c>
      <c r="E277" s="2">
        <v>169.17999999999998</v>
      </c>
      <c r="F277" s="2" t="s">
        <v>1771</v>
      </c>
      <c r="G277">
        <f>MROUND(Table_2[[#This Row],[Amount in Sales]],5)</f>
        <v>395</v>
      </c>
    </row>
    <row r="278" spans="1:7" ht="14.25" customHeight="1" x14ac:dyDescent="0.3">
      <c r="A278" s="2" t="s">
        <v>723</v>
      </c>
      <c r="B278" s="2" t="s">
        <v>1764</v>
      </c>
      <c r="C278" s="12">
        <v>44735</v>
      </c>
      <c r="D278" s="2">
        <v>827</v>
      </c>
      <c r="E278" s="2">
        <v>720.39</v>
      </c>
      <c r="F278" s="2" t="s">
        <v>1765</v>
      </c>
      <c r="G278">
        <f>MROUND(Table_2[[#This Row],[Amount in Sales]],5)</f>
        <v>825</v>
      </c>
    </row>
    <row r="279" spans="1:7" ht="14.25" customHeight="1" x14ac:dyDescent="0.3">
      <c r="A279" s="2" t="s">
        <v>725</v>
      </c>
      <c r="B279" s="2" t="s">
        <v>1766</v>
      </c>
      <c r="C279" s="12">
        <v>44751</v>
      </c>
      <c r="D279" s="2">
        <v>349</v>
      </c>
      <c r="E279" s="2">
        <v>9.1999999999999993</v>
      </c>
      <c r="F279" s="2" t="s">
        <v>1767</v>
      </c>
      <c r="G279">
        <f>MROUND(Table_2[[#This Row],[Amount in Sales]],5)</f>
        <v>350</v>
      </c>
    </row>
    <row r="280" spans="1:7" ht="14.25" customHeight="1" x14ac:dyDescent="0.3">
      <c r="A280" s="2" t="s">
        <v>727</v>
      </c>
      <c r="B280" s="2" t="s">
        <v>1768</v>
      </c>
      <c r="C280" s="12">
        <v>44726</v>
      </c>
      <c r="D280" s="2">
        <v>445</v>
      </c>
      <c r="E280" s="2">
        <v>346.07</v>
      </c>
      <c r="F280" s="2" t="s">
        <v>1769</v>
      </c>
      <c r="G280">
        <f>MROUND(Table_2[[#This Row],[Amount in Sales]],5)</f>
        <v>445</v>
      </c>
    </row>
    <row r="281" spans="1:7" ht="14.25" customHeight="1" x14ac:dyDescent="0.3">
      <c r="A281" s="2" t="s">
        <v>729</v>
      </c>
      <c r="B281" s="2" t="s">
        <v>1770</v>
      </c>
      <c r="C281" s="12">
        <v>44749</v>
      </c>
      <c r="D281" s="2">
        <v>245</v>
      </c>
      <c r="E281" s="2">
        <v>168.28</v>
      </c>
      <c r="F281" s="2" t="s">
        <v>1771</v>
      </c>
      <c r="G281">
        <f>MROUND(Table_2[[#This Row],[Amount in Sales]],5)</f>
        <v>245</v>
      </c>
    </row>
    <row r="282" spans="1:7" ht="14.25" customHeight="1" x14ac:dyDescent="0.3">
      <c r="A282" s="2" t="s">
        <v>731</v>
      </c>
      <c r="B282" s="2" t="s">
        <v>1764</v>
      </c>
      <c r="C282" s="12">
        <v>44734</v>
      </c>
      <c r="D282" s="2">
        <v>895</v>
      </c>
      <c r="E282" s="2">
        <v>521.51</v>
      </c>
      <c r="F282" s="2" t="s">
        <v>1765</v>
      </c>
      <c r="G282">
        <f>MROUND(Table_2[[#This Row],[Amount in Sales]],5)</f>
        <v>895</v>
      </c>
    </row>
    <row r="283" spans="1:7" ht="14.25" customHeight="1" x14ac:dyDescent="0.3">
      <c r="A283" s="2" t="s">
        <v>733</v>
      </c>
      <c r="B283" s="2" t="s">
        <v>1766</v>
      </c>
      <c r="C283" s="12">
        <v>44726</v>
      </c>
      <c r="D283" s="2">
        <v>763</v>
      </c>
      <c r="E283" s="2">
        <v>338.32</v>
      </c>
      <c r="F283" s="2" t="s">
        <v>1767</v>
      </c>
      <c r="G283">
        <f>MROUND(Table_2[[#This Row],[Amount in Sales]],5)</f>
        <v>765</v>
      </c>
    </row>
    <row r="284" spans="1:7" ht="14.25" customHeight="1" x14ac:dyDescent="0.3">
      <c r="A284" s="2" t="s">
        <v>735</v>
      </c>
      <c r="B284" s="2" t="s">
        <v>1768</v>
      </c>
      <c r="C284" s="12">
        <v>44743</v>
      </c>
      <c r="D284" s="2">
        <v>342</v>
      </c>
      <c r="E284" s="2">
        <v>43.01</v>
      </c>
      <c r="F284" s="2" t="s">
        <v>1769</v>
      </c>
      <c r="G284">
        <f>MROUND(Table_2[[#This Row],[Amount in Sales]],5)</f>
        <v>340</v>
      </c>
    </row>
    <row r="285" spans="1:7" ht="14.25" customHeight="1" x14ac:dyDescent="0.3">
      <c r="A285" s="2" t="s">
        <v>737</v>
      </c>
      <c r="B285" s="2" t="s">
        <v>1770</v>
      </c>
      <c r="C285" s="12">
        <v>44742</v>
      </c>
      <c r="D285" s="2">
        <v>796</v>
      </c>
      <c r="E285" s="2">
        <v>465.21999999999997</v>
      </c>
      <c r="F285" s="2" t="s">
        <v>1771</v>
      </c>
      <c r="G285">
        <f>MROUND(Table_2[[#This Row],[Amount in Sales]],5)</f>
        <v>795</v>
      </c>
    </row>
    <row r="286" spans="1:7" ht="14.25" customHeight="1" x14ac:dyDescent="0.3">
      <c r="A286" s="2" t="s">
        <v>739</v>
      </c>
      <c r="B286" s="2" t="s">
        <v>1772</v>
      </c>
      <c r="C286" s="12">
        <v>44747</v>
      </c>
      <c r="D286" s="2">
        <v>772</v>
      </c>
      <c r="E286" s="2">
        <v>156.48999999999998</v>
      </c>
      <c r="F286" s="2" t="s">
        <v>1765</v>
      </c>
      <c r="G286">
        <f>MROUND(Table_2[[#This Row],[Amount in Sales]],5)</f>
        <v>770</v>
      </c>
    </row>
    <row r="287" spans="1:7" ht="14.25" customHeight="1" x14ac:dyDescent="0.3">
      <c r="A287" s="2" t="s">
        <v>741</v>
      </c>
      <c r="B287" s="2" t="s">
        <v>1764</v>
      </c>
      <c r="C287" s="12">
        <v>44764</v>
      </c>
      <c r="D287" s="2">
        <v>320</v>
      </c>
      <c r="E287" s="2">
        <v>110.69000000000001</v>
      </c>
      <c r="F287" s="2" t="s">
        <v>1767</v>
      </c>
      <c r="G287">
        <f>MROUND(Table_2[[#This Row],[Amount in Sales]],5)</f>
        <v>320</v>
      </c>
    </row>
    <row r="288" spans="1:7" ht="14.25" customHeight="1" x14ac:dyDescent="0.3">
      <c r="A288" s="2" t="s">
        <v>743</v>
      </c>
      <c r="B288" s="2" t="s">
        <v>1766</v>
      </c>
      <c r="C288" s="12">
        <v>44735</v>
      </c>
      <c r="D288" s="2">
        <v>747</v>
      </c>
      <c r="E288" s="2">
        <v>335.13</v>
      </c>
      <c r="F288" s="2" t="s">
        <v>1769</v>
      </c>
      <c r="G288">
        <f>MROUND(Table_2[[#This Row],[Amount in Sales]],5)</f>
        <v>745</v>
      </c>
    </row>
    <row r="289" spans="1:7" ht="14.25" customHeight="1" x14ac:dyDescent="0.3">
      <c r="A289" s="2" t="s">
        <v>745</v>
      </c>
      <c r="B289" s="2" t="s">
        <v>1768</v>
      </c>
      <c r="C289" s="12">
        <v>44737</v>
      </c>
      <c r="D289" s="2">
        <v>241</v>
      </c>
      <c r="E289" s="2">
        <v>99.29</v>
      </c>
      <c r="F289" s="2" t="s">
        <v>1771</v>
      </c>
      <c r="G289">
        <f>MROUND(Table_2[[#This Row],[Amount in Sales]],5)</f>
        <v>240</v>
      </c>
    </row>
    <row r="290" spans="1:7" ht="14.25" customHeight="1" x14ac:dyDescent="0.3">
      <c r="A290" s="2" t="s">
        <v>747</v>
      </c>
      <c r="B290" s="2" t="s">
        <v>1770</v>
      </c>
      <c r="C290" s="12">
        <v>44749</v>
      </c>
      <c r="D290" s="2">
        <v>695</v>
      </c>
      <c r="E290" s="2">
        <v>546.36</v>
      </c>
      <c r="F290" s="2" t="s">
        <v>1765</v>
      </c>
      <c r="G290">
        <f>MROUND(Table_2[[#This Row],[Amount in Sales]],5)</f>
        <v>695</v>
      </c>
    </row>
    <row r="291" spans="1:7" ht="14.25" customHeight="1" x14ac:dyDescent="0.3">
      <c r="A291" s="2" t="s">
        <v>749</v>
      </c>
      <c r="B291" s="2" t="s">
        <v>1764</v>
      </c>
      <c r="C291" s="12">
        <v>44729</v>
      </c>
      <c r="D291" s="2">
        <v>787</v>
      </c>
      <c r="E291" s="2">
        <v>646.08000000000004</v>
      </c>
      <c r="F291" s="2" t="s">
        <v>1767</v>
      </c>
      <c r="G291">
        <f>MROUND(Table_2[[#This Row],[Amount in Sales]],5)</f>
        <v>785</v>
      </c>
    </row>
    <row r="292" spans="1:7" ht="14.25" customHeight="1" x14ac:dyDescent="0.3">
      <c r="A292" s="2" t="s">
        <v>751</v>
      </c>
      <c r="B292" s="2" t="s">
        <v>1766</v>
      </c>
      <c r="C292" s="12">
        <v>44738</v>
      </c>
      <c r="D292" s="2">
        <v>832</v>
      </c>
      <c r="E292" s="2">
        <v>470.51</v>
      </c>
      <c r="F292" s="2" t="s">
        <v>1769</v>
      </c>
      <c r="G292">
        <f>MROUND(Table_2[[#This Row],[Amount in Sales]],5)</f>
        <v>830</v>
      </c>
    </row>
    <row r="293" spans="1:7" ht="14.25" customHeight="1" x14ac:dyDescent="0.3">
      <c r="A293" s="2" t="s">
        <v>753</v>
      </c>
      <c r="B293" s="2" t="s">
        <v>1768</v>
      </c>
      <c r="C293" s="12">
        <v>44740</v>
      </c>
      <c r="D293" s="2">
        <v>536</v>
      </c>
      <c r="E293" s="2">
        <v>257.28999999999996</v>
      </c>
      <c r="F293" s="2" t="s">
        <v>1771</v>
      </c>
      <c r="G293">
        <f>MROUND(Table_2[[#This Row],[Amount in Sales]],5)</f>
        <v>535</v>
      </c>
    </row>
    <row r="294" spans="1:7" ht="14.25" customHeight="1" x14ac:dyDescent="0.3">
      <c r="A294" s="2" t="s">
        <v>755</v>
      </c>
      <c r="B294" s="2" t="s">
        <v>1770</v>
      </c>
      <c r="C294" s="12">
        <v>44755</v>
      </c>
      <c r="D294" s="2">
        <v>531</v>
      </c>
      <c r="E294" s="2">
        <v>428.53999999999996</v>
      </c>
      <c r="F294" s="2" t="s">
        <v>1765</v>
      </c>
      <c r="G294">
        <f>MROUND(Table_2[[#This Row],[Amount in Sales]],5)</f>
        <v>530</v>
      </c>
    </row>
    <row r="295" spans="1:7" ht="14.25" customHeight="1" x14ac:dyDescent="0.3">
      <c r="A295" s="2" t="s">
        <v>757</v>
      </c>
      <c r="B295" s="2" t="s">
        <v>1772</v>
      </c>
      <c r="C295" s="12">
        <v>44755</v>
      </c>
      <c r="D295" s="2">
        <v>606</v>
      </c>
      <c r="E295" s="2">
        <v>81.650000000000006</v>
      </c>
      <c r="F295" s="2" t="s">
        <v>1767</v>
      </c>
      <c r="G295">
        <f>MROUND(Table_2[[#This Row],[Amount in Sales]],5)</f>
        <v>605</v>
      </c>
    </row>
    <row r="296" spans="1:7" ht="14.25" customHeight="1" x14ac:dyDescent="0.3">
      <c r="A296" s="2" t="s">
        <v>759</v>
      </c>
      <c r="B296" s="2" t="s">
        <v>1773</v>
      </c>
      <c r="C296" s="12">
        <v>44764</v>
      </c>
      <c r="D296" s="2">
        <v>682</v>
      </c>
      <c r="E296" s="2">
        <v>366.48</v>
      </c>
      <c r="F296" s="2" t="s">
        <v>1769</v>
      </c>
      <c r="G296">
        <f>MROUND(Table_2[[#This Row],[Amount in Sales]],5)</f>
        <v>680</v>
      </c>
    </row>
    <row r="297" spans="1:7" ht="14.25" customHeight="1" x14ac:dyDescent="0.3">
      <c r="A297" s="2" t="s">
        <v>761</v>
      </c>
      <c r="B297" s="2" t="s">
        <v>1764</v>
      </c>
      <c r="C297" s="12">
        <v>44735</v>
      </c>
      <c r="D297" s="2">
        <v>676</v>
      </c>
      <c r="E297" s="2">
        <v>584.70000000000005</v>
      </c>
      <c r="F297" s="2" t="s">
        <v>1771</v>
      </c>
      <c r="G297">
        <f>MROUND(Table_2[[#This Row],[Amount in Sales]],5)</f>
        <v>675</v>
      </c>
    </row>
    <row r="298" spans="1:7" ht="14.25" customHeight="1" x14ac:dyDescent="0.3">
      <c r="A298" s="2" t="s">
        <v>763</v>
      </c>
      <c r="B298" s="2" t="s">
        <v>1766</v>
      </c>
      <c r="C298" s="12">
        <v>44734</v>
      </c>
      <c r="D298" s="2">
        <v>617</v>
      </c>
      <c r="E298" s="2">
        <v>90.300000000000011</v>
      </c>
      <c r="F298" s="2" t="s">
        <v>1765</v>
      </c>
      <c r="G298">
        <f>MROUND(Table_2[[#This Row],[Amount in Sales]],5)</f>
        <v>615</v>
      </c>
    </row>
    <row r="299" spans="1:7" ht="14.25" customHeight="1" x14ac:dyDescent="0.3">
      <c r="A299" s="2" t="s">
        <v>765</v>
      </c>
      <c r="B299" s="2" t="s">
        <v>1768</v>
      </c>
      <c r="C299" s="12">
        <v>44728</v>
      </c>
      <c r="D299" s="2">
        <v>623</v>
      </c>
      <c r="E299" s="2">
        <v>311.07</v>
      </c>
      <c r="F299" s="2" t="s">
        <v>1767</v>
      </c>
      <c r="G299">
        <f>MROUND(Table_2[[#This Row],[Amount in Sales]],5)</f>
        <v>625</v>
      </c>
    </row>
    <row r="300" spans="1:7" ht="14.25" customHeight="1" x14ac:dyDescent="0.3">
      <c r="A300" s="2" t="s">
        <v>767</v>
      </c>
      <c r="B300" s="2" t="s">
        <v>1770</v>
      </c>
      <c r="C300" s="12">
        <v>44739</v>
      </c>
      <c r="D300" s="2">
        <v>281</v>
      </c>
      <c r="E300" s="2">
        <v>47.1</v>
      </c>
      <c r="F300" s="2" t="s">
        <v>1769</v>
      </c>
      <c r="G300">
        <f>MROUND(Table_2[[#This Row],[Amount in Sales]],5)</f>
        <v>280</v>
      </c>
    </row>
    <row r="301" spans="1:7" ht="14.25" customHeight="1" x14ac:dyDescent="0.3">
      <c r="A301" s="2" t="s">
        <v>769</v>
      </c>
      <c r="B301" s="2" t="s">
        <v>1764</v>
      </c>
      <c r="C301" s="12">
        <v>44765</v>
      </c>
      <c r="D301" s="2">
        <v>863</v>
      </c>
      <c r="E301" s="2">
        <v>492.26</v>
      </c>
      <c r="F301" s="2" t="s">
        <v>1771</v>
      </c>
      <c r="G301">
        <f>MROUND(Table_2[[#This Row],[Amount in Sales]],5)</f>
        <v>865</v>
      </c>
    </row>
    <row r="302" spans="1:7" ht="14.25" customHeight="1" x14ac:dyDescent="0.3">
      <c r="A302" s="2" t="s">
        <v>771</v>
      </c>
      <c r="B302" s="2" t="s">
        <v>1766</v>
      </c>
      <c r="C302" s="12">
        <v>44740</v>
      </c>
      <c r="D302" s="2">
        <v>437</v>
      </c>
      <c r="E302" s="2">
        <v>154.01</v>
      </c>
      <c r="F302" s="2" t="s">
        <v>1765</v>
      </c>
      <c r="G302">
        <f>MROUND(Table_2[[#This Row],[Amount in Sales]],5)</f>
        <v>435</v>
      </c>
    </row>
    <row r="303" spans="1:7" ht="14.25" customHeight="1" x14ac:dyDescent="0.3">
      <c r="A303" s="2" t="s">
        <v>773</v>
      </c>
      <c r="B303" s="2" t="s">
        <v>1768</v>
      </c>
      <c r="C303" s="12">
        <v>44734</v>
      </c>
      <c r="D303" s="2">
        <v>402</v>
      </c>
      <c r="E303" s="2">
        <v>45.059999999999995</v>
      </c>
      <c r="F303" s="2" t="s">
        <v>1767</v>
      </c>
      <c r="G303">
        <f>MROUND(Table_2[[#This Row],[Amount in Sales]],5)</f>
        <v>400</v>
      </c>
    </row>
    <row r="304" spans="1:7" ht="14.25" customHeight="1" x14ac:dyDescent="0.3">
      <c r="A304" s="2" t="s">
        <v>775</v>
      </c>
      <c r="B304" s="2" t="s">
        <v>1770</v>
      </c>
      <c r="C304" s="12">
        <v>44727</v>
      </c>
      <c r="D304" s="2">
        <v>591</v>
      </c>
      <c r="E304" s="2">
        <v>341.83</v>
      </c>
      <c r="F304" s="2" t="s">
        <v>1769</v>
      </c>
      <c r="G304">
        <f>MROUND(Table_2[[#This Row],[Amount in Sales]],5)</f>
        <v>590</v>
      </c>
    </row>
    <row r="305" spans="1:7" ht="14.25" customHeight="1" x14ac:dyDescent="0.3">
      <c r="A305" s="2" t="s">
        <v>777</v>
      </c>
      <c r="B305" s="2" t="s">
        <v>1772</v>
      </c>
      <c r="C305" s="12">
        <v>44737</v>
      </c>
      <c r="D305" s="2">
        <v>613</v>
      </c>
      <c r="E305" s="2">
        <v>115.16000000000001</v>
      </c>
      <c r="F305" s="2" t="s">
        <v>1771</v>
      </c>
      <c r="G305">
        <f>MROUND(Table_2[[#This Row],[Amount in Sales]],5)</f>
        <v>615</v>
      </c>
    </row>
    <row r="306" spans="1:7" ht="14.25" customHeight="1" x14ac:dyDescent="0.3">
      <c r="A306" s="2" t="s">
        <v>779</v>
      </c>
      <c r="B306" s="2" t="s">
        <v>1764</v>
      </c>
      <c r="C306" s="12">
        <v>44747</v>
      </c>
      <c r="D306" s="2">
        <v>499</v>
      </c>
      <c r="E306" s="2">
        <v>345.49</v>
      </c>
      <c r="F306" s="2" t="s">
        <v>1765</v>
      </c>
      <c r="G306">
        <f>MROUND(Table_2[[#This Row],[Amount in Sales]],5)</f>
        <v>500</v>
      </c>
    </row>
    <row r="307" spans="1:7" ht="14.25" customHeight="1" x14ac:dyDescent="0.3">
      <c r="A307" s="2" t="s">
        <v>781</v>
      </c>
      <c r="B307" s="2" t="s">
        <v>1766</v>
      </c>
      <c r="C307" s="12">
        <v>44754</v>
      </c>
      <c r="D307" s="2">
        <v>761</v>
      </c>
      <c r="E307" s="2">
        <v>556.53</v>
      </c>
      <c r="F307" s="2" t="s">
        <v>1767</v>
      </c>
      <c r="G307">
        <f>MROUND(Table_2[[#This Row],[Amount in Sales]],5)</f>
        <v>760</v>
      </c>
    </row>
    <row r="308" spans="1:7" ht="14.25" customHeight="1" x14ac:dyDescent="0.3">
      <c r="A308" s="2" t="s">
        <v>783</v>
      </c>
      <c r="B308" s="2" t="s">
        <v>1768</v>
      </c>
      <c r="C308" s="12">
        <v>44760</v>
      </c>
      <c r="D308" s="2">
        <v>350</v>
      </c>
      <c r="E308" s="2">
        <v>138.78</v>
      </c>
      <c r="F308" s="2" t="s">
        <v>1769</v>
      </c>
      <c r="G308">
        <f>MROUND(Table_2[[#This Row],[Amount in Sales]],5)</f>
        <v>350</v>
      </c>
    </row>
    <row r="309" spans="1:7" ht="14.25" customHeight="1" x14ac:dyDescent="0.3">
      <c r="A309" s="2" t="s">
        <v>785</v>
      </c>
      <c r="B309" s="2" t="s">
        <v>1770</v>
      </c>
      <c r="C309" s="12">
        <v>44759</v>
      </c>
      <c r="D309" s="2">
        <v>386</v>
      </c>
      <c r="E309" s="2">
        <v>181.63</v>
      </c>
      <c r="F309" s="2" t="s">
        <v>1771</v>
      </c>
      <c r="G309">
        <f>MROUND(Table_2[[#This Row],[Amount in Sales]],5)</f>
        <v>385</v>
      </c>
    </row>
    <row r="310" spans="1:7" ht="14.25" customHeight="1" x14ac:dyDescent="0.3">
      <c r="A310" s="2" t="s">
        <v>787</v>
      </c>
      <c r="B310" s="2" t="s">
        <v>1764</v>
      </c>
      <c r="C310" s="12">
        <v>44735</v>
      </c>
      <c r="D310" s="2">
        <v>580</v>
      </c>
      <c r="E310" s="2">
        <v>523.30999999999995</v>
      </c>
      <c r="F310" s="2" t="s">
        <v>1765</v>
      </c>
      <c r="G310">
        <f>MROUND(Table_2[[#This Row],[Amount in Sales]],5)</f>
        <v>580</v>
      </c>
    </row>
    <row r="311" spans="1:7" ht="14.25" customHeight="1" x14ac:dyDescent="0.3">
      <c r="A311" s="2" t="s">
        <v>789</v>
      </c>
      <c r="B311" s="2" t="s">
        <v>1766</v>
      </c>
      <c r="C311" s="12">
        <v>44734</v>
      </c>
      <c r="D311" s="2">
        <v>238</v>
      </c>
      <c r="E311" s="2">
        <v>59.64</v>
      </c>
      <c r="F311" s="2" t="s">
        <v>1767</v>
      </c>
      <c r="G311">
        <f>MROUND(Table_2[[#This Row],[Amount in Sales]],5)</f>
        <v>240</v>
      </c>
    </row>
    <row r="312" spans="1:7" ht="14.25" customHeight="1" x14ac:dyDescent="0.3">
      <c r="A312" s="2" t="s">
        <v>791</v>
      </c>
      <c r="B312" s="2" t="s">
        <v>1768</v>
      </c>
      <c r="C312" s="12">
        <v>44753</v>
      </c>
      <c r="D312" s="2">
        <v>475</v>
      </c>
      <c r="E312" s="2">
        <v>270.24</v>
      </c>
      <c r="F312" s="2" t="s">
        <v>1769</v>
      </c>
      <c r="G312">
        <f>MROUND(Table_2[[#This Row],[Amount in Sales]],5)</f>
        <v>475</v>
      </c>
    </row>
    <row r="313" spans="1:7" ht="14.25" customHeight="1" x14ac:dyDescent="0.3">
      <c r="A313" s="2" t="s">
        <v>793</v>
      </c>
      <c r="B313" s="2" t="s">
        <v>1770</v>
      </c>
      <c r="C313" s="12">
        <v>44739</v>
      </c>
      <c r="D313" s="2">
        <v>339</v>
      </c>
      <c r="E313" s="2">
        <v>11.39</v>
      </c>
      <c r="F313" s="2" t="s">
        <v>1771</v>
      </c>
      <c r="G313">
        <f>MROUND(Table_2[[#This Row],[Amount in Sales]],5)</f>
        <v>340</v>
      </c>
    </row>
    <row r="314" spans="1:7" ht="14.25" customHeight="1" x14ac:dyDescent="0.3">
      <c r="A314" s="2" t="s">
        <v>795</v>
      </c>
      <c r="B314" s="2" t="s">
        <v>1772</v>
      </c>
      <c r="C314" s="12">
        <v>44740</v>
      </c>
      <c r="D314" s="2">
        <v>384</v>
      </c>
      <c r="E314" s="2">
        <v>45.309999999999995</v>
      </c>
      <c r="F314" s="2" t="s">
        <v>1765</v>
      </c>
      <c r="G314">
        <f>MROUND(Table_2[[#This Row],[Amount in Sales]],5)</f>
        <v>385</v>
      </c>
    </row>
    <row r="315" spans="1:7" ht="14.25" customHeight="1" x14ac:dyDescent="0.3">
      <c r="A315" s="2" t="s">
        <v>797</v>
      </c>
      <c r="B315" s="2" t="s">
        <v>1773</v>
      </c>
      <c r="C315" s="12">
        <v>44748</v>
      </c>
      <c r="D315" s="2">
        <v>544</v>
      </c>
      <c r="E315" s="2">
        <v>15.33</v>
      </c>
      <c r="F315" s="2" t="s">
        <v>1767</v>
      </c>
      <c r="G315">
        <f>MROUND(Table_2[[#This Row],[Amount in Sales]],5)</f>
        <v>545</v>
      </c>
    </row>
    <row r="316" spans="1:7" ht="14.25" customHeight="1" x14ac:dyDescent="0.3">
      <c r="A316" s="2" t="s">
        <v>799</v>
      </c>
      <c r="B316" s="2" t="s">
        <v>1764</v>
      </c>
      <c r="C316" s="12">
        <v>44731</v>
      </c>
      <c r="D316" s="2">
        <v>519</v>
      </c>
      <c r="E316" s="2">
        <v>347.43</v>
      </c>
      <c r="F316" s="2" t="s">
        <v>1769</v>
      </c>
      <c r="G316">
        <f>MROUND(Table_2[[#This Row],[Amount in Sales]],5)</f>
        <v>520</v>
      </c>
    </row>
    <row r="317" spans="1:7" ht="14.25" customHeight="1" x14ac:dyDescent="0.3">
      <c r="A317" s="2" t="s">
        <v>801</v>
      </c>
      <c r="B317" s="2" t="s">
        <v>1766</v>
      </c>
      <c r="C317" s="12">
        <v>44763</v>
      </c>
      <c r="D317" s="2">
        <v>535</v>
      </c>
      <c r="E317" s="2">
        <v>195</v>
      </c>
      <c r="F317" s="2" t="s">
        <v>1771</v>
      </c>
      <c r="G317">
        <f>MROUND(Table_2[[#This Row],[Amount in Sales]],5)</f>
        <v>535</v>
      </c>
    </row>
    <row r="318" spans="1:7" ht="14.25" customHeight="1" x14ac:dyDescent="0.3">
      <c r="A318" s="2" t="s">
        <v>803</v>
      </c>
      <c r="B318" s="2" t="s">
        <v>1768</v>
      </c>
      <c r="C318" s="12">
        <v>44733</v>
      </c>
      <c r="D318" s="2">
        <v>864</v>
      </c>
      <c r="E318" s="2">
        <v>133.19999999999999</v>
      </c>
      <c r="F318" s="2" t="s">
        <v>1765</v>
      </c>
      <c r="G318">
        <f>MROUND(Table_2[[#This Row],[Amount in Sales]],5)</f>
        <v>865</v>
      </c>
    </row>
    <row r="319" spans="1:7" ht="14.25" customHeight="1" x14ac:dyDescent="0.3">
      <c r="A319" s="2" t="s">
        <v>805</v>
      </c>
      <c r="B319" s="2" t="s">
        <v>1770</v>
      </c>
      <c r="C319" s="12">
        <v>44746</v>
      </c>
      <c r="D319" s="2">
        <v>507</v>
      </c>
      <c r="E319" s="2">
        <v>337.9</v>
      </c>
      <c r="F319" s="2" t="s">
        <v>1767</v>
      </c>
      <c r="G319">
        <f>MROUND(Table_2[[#This Row],[Amount in Sales]],5)</f>
        <v>505</v>
      </c>
    </row>
    <row r="320" spans="1:7" ht="14.25" customHeight="1" x14ac:dyDescent="0.3">
      <c r="A320" s="2" t="s">
        <v>807</v>
      </c>
      <c r="B320" s="2" t="s">
        <v>1764</v>
      </c>
      <c r="C320" s="12">
        <v>44755</v>
      </c>
      <c r="D320" s="2">
        <v>252</v>
      </c>
      <c r="E320" s="2">
        <v>174.35</v>
      </c>
      <c r="F320" s="2" t="s">
        <v>1769</v>
      </c>
      <c r="G320">
        <f>MROUND(Table_2[[#This Row],[Amount in Sales]],5)</f>
        <v>250</v>
      </c>
    </row>
    <row r="321" spans="1:7" ht="14.25" customHeight="1" x14ac:dyDescent="0.3">
      <c r="A321" s="2" t="s">
        <v>809</v>
      </c>
      <c r="B321" s="2" t="s">
        <v>1766</v>
      </c>
      <c r="C321" s="12">
        <v>44755</v>
      </c>
      <c r="D321" s="2">
        <v>485</v>
      </c>
      <c r="E321" s="2">
        <v>71.06</v>
      </c>
      <c r="F321" s="2" t="s">
        <v>1771</v>
      </c>
      <c r="G321">
        <f>MROUND(Table_2[[#This Row],[Amount in Sales]],5)</f>
        <v>485</v>
      </c>
    </row>
    <row r="322" spans="1:7" ht="14.25" customHeight="1" x14ac:dyDescent="0.3">
      <c r="A322" s="2" t="s">
        <v>811</v>
      </c>
      <c r="B322" s="2" t="s">
        <v>1768</v>
      </c>
      <c r="C322" s="12">
        <v>44727</v>
      </c>
      <c r="D322" s="2">
        <v>215</v>
      </c>
      <c r="E322" s="2">
        <v>211.87</v>
      </c>
      <c r="F322" s="2" t="s">
        <v>1765</v>
      </c>
      <c r="G322">
        <f>MROUND(Table_2[[#This Row],[Amount in Sales]],5)</f>
        <v>215</v>
      </c>
    </row>
    <row r="323" spans="1:7" ht="14.25" customHeight="1" x14ac:dyDescent="0.3">
      <c r="A323" s="2" t="s">
        <v>813</v>
      </c>
      <c r="B323" s="2" t="s">
        <v>1770</v>
      </c>
      <c r="C323" s="12">
        <v>44746</v>
      </c>
      <c r="D323" s="2">
        <v>679</v>
      </c>
      <c r="E323" s="2">
        <v>217.91</v>
      </c>
      <c r="F323" s="2" t="s">
        <v>1767</v>
      </c>
      <c r="G323">
        <f>MROUND(Table_2[[#This Row],[Amount in Sales]],5)</f>
        <v>680</v>
      </c>
    </row>
    <row r="324" spans="1:7" ht="14.25" customHeight="1" x14ac:dyDescent="0.3">
      <c r="A324" s="2" t="s">
        <v>815</v>
      </c>
      <c r="B324" s="2" t="s">
        <v>1764</v>
      </c>
      <c r="C324" s="12">
        <v>44740</v>
      </c>
      <c r="D324" s="2">
        <v>561</v>
      </c>
      <c r="E324" s="2">
        <v>530.12</v>
      </c>
      <c r="F324" s="2" t="s">
        <v>1769</v>
      </c>
      <c r="G324">
        <f>MROUND(Table_2[[#This Row],[Amount in Sales]],5)</f>
        <v>560</v>
      </c>
    </row>
    <row r="325" spans="1:7" ht="14.25" customHeight="1" x14ac:dyDescent="0.3">
      <c r="A325" s="2" t="s">
        <v>817</v>
      </c>
      <c r="B325" s="2" t="s">
        <v>1766</v>
      </c>
      <c r="C325" s="12">
        <v>44743</v>
      </c>
      <c r="D325" s="2">
        <v>396</v>
      </c>
      <c r="E325" s="2">
        <v>201.6</v>
      </c>
      <c r="F325" s="2" t="s">
        <v>1771</v>
      </c>
      <c r="G325">
        <f>MROUND(Table_2[[#This Row],[Amount in Sales]],5)</f>
        <v>395</v>
      </c>
    </row>
    <row r="326" spans="1:7" ht="14.25" customHeight="1" x14ac:dyDescent="0.3">
      <c r="A326" s="2" t="s">
        <v>819</v>
      </c>
      <c r="B326" s="2" t="s">
        <v>1768</v>
      </c>
      <c r="C326" s="12">
        <v>44737</v>
      </c>
      <c r="D326" s="2">
        <v>560</v>
      </c>
      <c r="E326" s="2">
        <v>369.94</v>
      </c>
      <c r="F326" s="2" t="s">
        <v>1765</v>
      </c>
      <c r="G326">
        <f>MROUND(Table_2[[#This Row],[Amount in Sales]],5)</f>
        <v>560</v>
      </c>
    </row>
    <row r="327" spans="1:7" ht="14.25" customHeight="1" x14ac:dyDescent="0.3">
      <c r="A327" s="2" t="s">
        <v>821</v>
      </c>
      <c r="B327" s="2" t="s">
        <v>1770</v>
      </c>
      <c r="C327" s="12">
        <v>44757</v>
      </c>
      <c r="D327" s="2">
        <v>592</v>
      </c>
      <c r="E327" s="2">
        <v>530.53</v>
      </c>
      <c r="F327" s="2" t="s">
        <v>1767</v>
      </c>
      <c r="G327">
        <f>MROUND(Table_2[[#This Row],[Amount in Sales]],5)</f>
        <v>590</v>
      </c>
    </row>
    <row r="328" spans="1:7" ht="14.25" customHeight="1" x14ac:dyDescent="0.3">
      <c r="A328" s="2" t="s">
        <v>823</v>
      </c>
      <c r="B328" s="2" t="s">
        <v>1764</v>
      </c>
      <c r="C328" s="12">
        <v>44745</v>
      </c>
      <c r="D328" s="2">
        <v>511</v>
      </c>
      <c r="E328" s="2">
        <v>68.45</v>
      </c>
      <c r="F328" s="2" t="s">
        <v>1769</v>
      </c>
      <c r="G328">
        <f>MROUND(Table_2[[#This Row],[Amount in Sales]],5)</f>
        <v>510</v>
      </c>
    </row>
    <row r="329" spans="1:7" ht="14.25" customHeight="1" x14ac:dyDescent="0.3">
      <c r="A329" s="2" t="s">
        <v>825</v>
      </c>
      <c r="B329" s="2" t="s">
        <v>1766</v>
      </c>
      <c r="C329" s="12">
        <v>44760</v>
      </c>
      <c r="D329" s="2">
        <v>891</v>
      </c>
      <c r="E329" s="2">
        <v>340.71</v>
      </c>
      <c r="F329" s="2" t="s">
        <v>1771</v>
      </c>
      <c r="G329">
        <f>MROUND(Table_2[[#This Row],[Amount in Sales]],5)</f>
        <v>890</v>
      </c>
    </row>
    <row r="330" spans="1:7" ht="14.25" customHeight="1" x14ac:dyDescent="0.3">
      <c r="A330" s="2" t="s">
        <v>827</v>
      </c>
      <c r="B330" s="2" t="s">
        <v>1768</v>
      </c>
      <c r="C330" s="12">
        <v>44750</v>
      </c>
      <c r="D330" s="2">
        <v>306</v>
      </c>
      <c r="E330" s="2">
        <v>46.129999999999995</v>
      </c>
      <c r="F330" s="2" t="s">
        <v>1765</v>
      </c>
      <c r="G330">
        <f>MROUND(Table_2[[#This Row],[Amount in Sales]],5)</f>
        <v>305</v>
      </c>
    </row>
    <row r="331" spans="1:7" ht="14.25" customHeight="1" x14ac:dyDescent="0.3">
      <c r="A331" s="2" t="s">
        <v>829</v>
      </c>
      <c r="B331" s="2" t="s">
        <v>1770</v>
      </c>
      <c r="C331" s="12">
        <v>44742</v>
      </c>
      <c r="D331" s="2">
        <v>611</v>
      </c>
      <c r="E331" s="2">
        <v>588.98</v>
      </c>
      <c r="F331" s="2" t="s">
        <v>1767</v>
      </c>
      <c r="G331">
        <f>MROUND(Table_2[[#This Row],[Amount in Sales]],5)</f>
        <v>610</v>
      </c>
    </row>
    <row r="332" spans="1:7" ht="14.25" customHeight="1" x14ac:dyDescent="0.3">
      <c r="A332" s="2" t="s">
        <v>831</v>
      </c>
      <c r="B332" s="2" t="s">
        <v>1772</v>
      </c>
      <c r="C332" s="12">
        <v>44754</v>
      </c>
      <c r="D332" s="2">
        <v>334</v>
      </c>
      <c r="E332" s="2">
        <v>313.61</v>
      </c>
      <c r="F332" s="2" t="s">
        <v>1769</v>
      </c>
      <c r="G332">
        <f>MROUND(Table_2[[#This Row],[Amount in Sales]],5)</f>
        <v>335</v>
      </c>
    </row>
    <row r="333" spans="1:7" ht="14.25" customHeight="1" x14ac:dyDescent="0.3">
      <c r="A333" s="2" t="s">
        <v>833</v>
      </c>
      <c r="B333" s="2" t="s">
        <v>1764</v>
      </c>
      <c r="C333" s="12">
        <v>44746</v>
      </c>
      <c r="D333" s="2">
        <v>484</v>
      </c>
      <c r="E333" s="2">
        <v>437.23</v>
      </c>
      <c r="F333" s="2" t="s">
        <v>1771</v>
      </c>
      <c r="G333">
        <f>MROUND(Table_2[[#This Row],[Amount in Sales]],5)</f>
        <v>485</v>
      </c>
    </row>
    <row r="334" spans="1:7" ht="14.25" customHeight="1" x14ac:dyDescent="0.3">
      <c r="A334" s="2" t="s">
        <v>835</v>
      </c>
      <c r="B334" s="2" t="s">
        <v>1766</v>
      </c>
      <c r="C334" s="12">
        <v>44752</v>
      </c>
      <c r="D334" s="2">
        <v>384</v>
      </c>
      <c r="E334" s="2">
        <v>238.89</v>
      </c>
      <c r="F334" s="2" t="s">
        <v>1765</v>
      </c>
      <c r="G334">
        <f>MROUND(Table_2[[#This Row],[Amount in Sales]],5)</f>
        <v>385</v>
      </c>
    </row>
    <row r="335" spans="1:7" ht="14.25" customHeight="1" x14ac:dyDescent="0.3">
      <c r="A335" s="2" t="s">
        <v>837</v>
      </c>
      <c r="B335" s="2" t="s">
        <v>1768</v>
      </c>
      <c r="C335" s="12">
        <v>44725</v>
      </c>
      <c r="D335" s="2">
        <v>627</v>
      </c>
      <c r="E335" s="2">
        <v>38.68</v>
      </c>
      <c r="F335" s="2" t="s">
        <v>1767</v>
      </c>
      <c r="G335">
        <f>MROUND(Table_2[[#This Row],[Amount in Sales]],5)</f>
        <v>625</v>
      </c>
    </row>
    <row r="336" spans="1:7" ht="14.25" customHeight="1" x14ac:dyDescent="0.3">
      <c r="A336" s="2" t="s">
        <v>839</v>
      </c>
      <c r="B336" s="2" t="s">
        <v>1770</v>
      </c>
      <c r="C336" s="12">
        <v>44734</v>
      </c>
      <c r="D336" s="2">
        <v>885</v>
      </c>
      <c r="E336" s="2">
        <v>435.53999999999996</v>
      </c>
      <c r="F336" s="2" t="s">
        <v>1769</v>
      </c>
      <c r="G336">
        <f>MROUND(Table_2[[#This Row],[Amount in Sales]],5)</f>
        <v>885</v>
      </c>
    </row>
    <row r="337" spans="1:7" ht="14.25" customHeight="1" x14ac:dyDescent="0.3">
      <c r="A337" s="2" t="s">
        <v>841</v>
      </c>
      <c r="B337" s="2" t="s">
        <v>1764</v>
      </c>
      <c r="C337" s="12">
        <v>44761</v>
      </c>
      <c r="D337" s="2">
        <v>592</v>
      </c>
      <c r="E337" s="2">
        <v>411.76</v>
      </c>
      <c r="F337" s="2" t="s">
        <v>1771</v>
      </c>
      <c r="G337">
        <f>MROUND(Table_2[[#This Row],[Amount in Sales]],5)</f>
        <v>590</v>
      </c>
    </row>
    <row r="338" spans="1:7" ht="14.25" customHeight="1" x14ac:dyDescent="0.3">
      <c r="A338" s="2" t="s">
        <v>843</v>
      </c>
      <c r="B338" s="2" t="s">
        <v>1766</v>
      </c>
      <c r="C338" s="12">
        <v>44735</v>
      </c>
      <c r="D338" s="2">
        <v>899</v>
      </c>
      <c r="E338" s="2">
        <v>490.21999999999997</v>
      </c>
      <c r="F338" s="2" t="s">
        <v>1765</v>
      </c>
      <c r="G338">
        <f>MROUND(Table_2[[#This Row],[Amount in Sales]],5)</f>
        <v>900</v>
      </c>
    </row>
    <row r="339" spans="1:7" ht="14.25" customHeight="1" x14ac:dyDescent="0.3">
      <c r="A339" s="2" t="s">
        <v>845</v>
      </c>
      <c r="B339" s="2" t="s">
        <v>1768</v>
      </c>
      <c r="C339" s="12">
        <v>44753</v>
      </c>
      <c r="D339" s="2">
        <v>501</v>
      </c>
      <c r="E339" s="2">
        <v>176.35</v>
      </c>
      <c r="F339" s="2" t="s">
        <v>1767</v>
      </c>
      <c r="G339">
        <f>MROUND(Table_2[[#This Row],[Amount in Sales]],5)</f>
        <v>500</v>
      </c>
    </row>
    <row r="340" spans="1:7" ht="14.25" customHeight="1" x14ac:dyDescent="0.3">
      <c r="A340" s="2" t="s">
        <v>847</v>
      </c>
      <c r="B340" s="2" t="s">
        <v>1770</v>
      </c>
      <c r="C340" s="12">
        <v>44732</v>
      </c>
      <c r="D340" s="2">
        <v>339</v>
      </c>
      <c r="E340" s="2">
        <v>20.440000000000001</v>
      </c>
      <c r="F340" s="2" t="s">
        <v>1769</v>
      </c>
      <c r="G340">
        <f>MROUND(Table_2[[#This Row],[Amount in Sales]],5)</f>
        <v>340</v>
      </c>
    </row>
    <row r="341" spans="1:7" ht="14.25" customHeight="1" x14ac:dyDescent="0.3">
      <c r="A341" s="2" t="s">
        <v>849</v>
      </c>
      <c r="B341" s="2" t="s">
        <v>1772</v>
      </c>
      <c r="C341" s="12">
        <v>44748</v>
      </c>
      <c r="D341" s="2">
        <v>677</v>
      </c>
      <c r="E341" s="2">
        <v>28.060000000000002</v>
      </c>
      <c r="F341" s="2" t="s">
        <v>1771</v>
      </c>
      <c r="G341">
        <f>MROUND(Table_2[[#This Row],[Amount in Sales]],5)</f>
        <v>675</v>
      </c>
    </row>
    <row r="342" spans="1:7" ht="14.25" customHeight="1" x14ac:dyDescent="0.3">
      <c r="A342" s="2" t="s">
        <v>851</v>
      </c>
      <c r="B342" s="2" t="s">
        <v>1773</v>
      </c>
      <c r="C342" s="12">
        <v>44731</v>
      </c>
      <c r="D342" s="2">
        <v>239</v>
      </c>
      <c r="E342" s="2">
        <v>70.550000000000011</v>
      </c>
      <c r="F342" s="2" t="s">
        <v>1765</v>
      </c>
      <c r="G342">
        <f>MROUND(Table_2[[#This Row],[Amount in Sales]],5)</f>
        <v>240</v>
      </c>
    </row>
    <row r="343" spans="1:7" ht="14.25" customHeight="1" x14ac:dyDescent="0.3">
      <c r="A343" s="2" t="s">
        <v>853</v>
      </c>
      <c r="B343" s="2" t="s">
        <v>1764</v>
      </c>
      <c r="C343" s="12">
        <v>44725</v>
      </c>
      <c r="D343" s="2">
        <v>290</v>
      </c>
      <c r="E343" s="2">
        <v>197.64999999999998</v>
      </c>
      <c r="F343" s="2" t="s">
        <v>1767</v>
      </c>
      <c r="G343">
        <f>MROUND(Table_2[[#This Row],[Amount in Sales]],5)</f>
        <v>290</v>
      </c>
    </row>
    <row r="344" spans="1:7" ht="14.25" customHeight="1" x14ac:dyDescent="0.3">
      <c r="A344" s="2" t="s">
        <v>855</v>
      </c>
      <c r="B344" s="2" t="s">
        <v>1766</v>
      </c>
      <c r="C344" s="12">
        <v>44753</v>
      </c>
      <c r="D344" s="2">
        <v>307</v>
      </c>
      <c r="E344" s="2">
        <v>161.59</v>
      </c>
      <c r="F344" s="2" t="s">
        <v>1769</v>
      </c>
      <c r="G344">
        <f>MROUND(Table_2[[#This Row],[Amount in Sales]],5)</f>
        <v>305</v>
      </c>
    </row>
    <row r="345" spans="1:7" ht="14.25" customHeight="1" x14ac:dyDescent="0.3">
      <c r="A345" s="2" t="s">
        <v>857</v>
      </c>
      <c r="B345" s="2" t="s">
        <v>1768</v>
      </c>
      <c r="C345" s="12">
        <v>44738</v>
      </c>
      <c r="D345" s="2">
        <v>800</v>
      </c>
      <c r="E345" s="2">
        <v>43.559999999999995</v>
      </c>
      <c r="F345" s="2" t="s">
        <v>1771</v>
      </c>
      <c r="G345">
        <f>MROUND(Table_2[[#This Row],[Amount in Sales]],5)</f>
        <v>800</v>
      </c>
    </row>
    <row r="346" spans="1:7" ht="14.25" customHeight="1" x14ac:dyDescent="0.3">
      <c r="A346" s="2" t="s">
        <v>859</v>
      </c>
      <c r="B346" s="2" t="s">
        <v>1770</v>
      </c>
      <c r="C346" s="12">
        <v>44762</v>
      </c>
      <c r="D346" s="2">
        <v>743</v>
      </c>
      <c r="E346" s="2">
        <v>708.46</v>
      </c>
      <c r="F346" s="2" t="s">
        <v>1765</v>
      </c>
      <c r="G346">
        <f>MROUND(Table_2[[#This Row],[Amount in Sales]],5)</f>
        <v>745</v>
      </c>
    </row>
    <row r="347" spans="1:7" ht="14.25" customHeight="1" x14ac:dyDescent="0.3">
      <c r="A347" s="2" t="s">
        <v>861</v>
      </c>
      <c r="B347" s="2" t="s">
        <v>1764</v>
      </c>
      <c r="C347" s="12">
        <v>44756</v>
      </c>
      <c r="D347" s="2">
        <v>281</v>
      </c>
      <c r="E347" s="2">
        <v>131.31</v>
      </c>
      <c r="F347" s="2" t="s">
        <v>1767</v>
      </c>
      <c r="G347">
        <f>MROUND(Table_2[[#This Row],[Amount in Sales]],5)</f>
        <v>280</v>
      </c>
    </row>
    <row r="348" spans="1:7" ht="14.25" customHeight="1" x14ac:dyDescent="0.3">
      <c r="A348" s="2" t="s">
        <v>863</v>
      </c>
      <c r="B348" s="2" t="s">
        <v>1766</v>
      </c>
      <c r="C348" s="12">
        <v>44744</v>
      </c>
      <c r="D348" s="2">
        <v>486</v>
      </c>
      <c r="E348" s="2">
        <v>292.33999999999997</v>
      </c>
      <c r="F348" s="2" t="s">
        <v>1769</v>
      </c>
      <c r="G348">
        <f>MROUND(Table_2[[#This Row],[Amount in Sales]],5)</f>
        <v>485</v>
      </c>
    </row>
    <row r="349" spans="1:7" ht="14.25" customHeight="1" x14ac:dyDescent="0.3">
      <c r="A349" s="2" t="s">
        <v>865</v>
      </c>
      <c r="B349" s="2" t="s">
        <v>1768</v>
      </c>
      <c r="C349" s="12">
        <v>44753</v>
      </c>
      <c r="D349" s="2">
        <v>855</v>
      </c>
      <c r="E349" s="2">
        <v>146.70999999999998</v>
      </c>
      <c r="F349" s="2" t="s">
        <v>1771</v>
      </c>
      <c r="G349">
        <f>MROUND(Table_2[[#This Row],[Amount in Sales]],5)</f>
        <v>855</v>
      </c>
    </row>
    <row r="350" spans="1:7" ht="14.25" customHeight="1" x14ac:dyDescent="0.3">
      <c r="A350" s="2" t="s">
        <v>867</v>
      </c>
      <c r="B350" s="2" t="s">
        <v>1770</v>
      </c>
      <c r="C350" s="12">
        <v>44762</v>
      </c>
      <c r="D350" s="2">
        <v>650</v>
      </c>
      <c r="E350" s="2">
        <v>290.76</v>
      </c>
      <c r="F350" s="2" t="s">
        <v>1765</v>
      </c>
      <c r="G350">
        <f>MROUND(Table_2[[#This Row],[Amount in Sales]],5)</f>
        <v>650</v>
      </c>
    </row>
    <row r="351" spans="1:7" ht="14.25" customHeight="1" x14ac:dyDescent="0.3">
      <c r="A351" s="2" t="s">
        <v>869</v>
      </c>
      <c r="B351" s="2" t="s">
        <v>1772</v>
      </c>
      <c r="C351" s="12">
        <v>44740</v>
      </c>
      <c r="D351" s="2">
        <v>587</v>
      </c>
      <c r="E351" s="2">
        <v>318.43</v>
      </c>
      <c r="F351" s="2" t="s">
        <v>1767</v>
      </c>
      <c r="G351">
        <f>MROUND(Table_2[[#This Row],[Amount in Sales]],5)</f>
        <v>585</v>
      </c>
    </row>
    <row r="352" spans="1:7" ht="14.25" customHeight="1" x14ac:dyDescent="0.3">
      <c r="A352" s="2" t="s">
        <v>871</v>
      </c>
      <c r="B352" s="2" t="s">
        <v>1764</v>
      </c>
      <c r="C352" s="12">
        <v>44729</v>
      </c>
      <c r="D352" s="2">
        <v>736</v>
      </c>
      <c r="E352" s="2">
        <v>371.57</v>
      </c>
      <c r="F352" s="2" t="s">
        <v>1769</v>
      </c>
      <c r="G352">
        <f>MROUND(Table_2[[#This Row],[Amount in Sales]],5)</f>
        <v>735</v>
      </c>
    </row>
    <row r="353" spans="1:7" ht="14.25" customHeight="1" x14ac:dyDescent="0.3">
      <c r="A353" s="2" t="s">
        <v>873</v>
      </c>
      <c r="B353" s="2" t="s">
        <v>1766</v>
      </c>
      <c r="C353" s="12">
        <v>44727</v>
      </c>
      <c r="D353" s="2">
        <v>895</v>
      </c>
      <c r="E353" s="2">
        <v>82.63000000000001</v>
      </c>
      <c r="F353" s="2" t="s">
        <v>1771</v>
      </c>
      <c r="G353">
        <f>MROUND(Table_2[[#This Row],[Amount in Sales]],5)</f>
        <v>895</v>
      </c>
    </row>
    <row r="354" spans="1:7" ht="14.25" customHeight="1" x14ac:dyDescent="0.3">
      <c r="A354" s="2" t="s">
        <v>875</v>
      </c>
      <c r="B354" s="2" t="s">
        <v>1768</v>
      </c>
      <c r="C354" s="12">
        <v>44734</v>
      </c>
      <c r="D354" s="2">
        <v>861</v>
      </c>
      <c r="E354" s="2">
        <v>300.56</v>
      </c>
      <c r="F354" s="2" t="s">
        <v>1765</v>
      </c>
      <c r="G354">
        <f>MROUND(Table_2[[#This Row],[Amount in Sales]],5)</f>
        <v>860</v>
      </c>
    </row>
    <row r="355" spans="1:7" ht="14.25" customHeight="1" x14ac:dyDescent="0.3">
      <c r="A355" s="2" t="s">
        <v>877</v>
      </c>
      <c r="B355" s="2" t="s">
        <v>1770</v>
      </c>
      <c r="C355" s="12">
        <v>44744</v>
      </c>
      <c r="D355" s="2">
        <v>268</v>
      </c>
      <c r="E355" s="2">
        <v>241.29</v>
      </c>
      <c r="F355" s="2" t="s">
        <v>1767</v>
      </c>
      <c r="G355">
        <f>MROUND(Table_2[[#This Row],[Amount in Sales]],5)</f>
        <v>270</v>
      </c>
    </row>
    <row r="356" spans="1:7" ht="14.25" customHeight="1" x14ac:dyDescent="0.3">
      <c r="A356" s="2" t="s">
        <v>879</v>
      </c>
      <c r="B356" s="2" t="s">
        <v>1764</v>
      </c>
      <c r="C356" s="12">
        <v>44737</v>
      </c>
      <c r="D356" s="2">
        <v>334</v>
      </c>
      <c r="E356" s="2">
        <v>60.29</v>
      </c>
      <c r="F356" s="2" t="s">
        <v>1769</v>
      </c>
      <c r="G356">
        <f>MROUND(Table_2[[#This Row],[Amount in Sales]],5)</f>
        <v>335</v>
      </c>
    </row>
    <row r="357" spans="1:7" ht="14.25" customHeight="1" x14ac:dyDescent="0.3">
      <c r="A357" s="2" t="s">
        <v>881</v>
      </c>
      <c r="B357" s="2" t="s">
        <v>1766</v>
      </c>
      <c r="C357" s="12">
        <v>44752</v>
      </c>
      <c r="D357" s="2">
        <v>277</v>
      </c>
      <c r="E357" s="2">
        <v>7.05</v>
      </c>
      <c r="F357" s="2" t="s">
        <v>1771</v>
      </c>
      <c r="G357">
        <f>MROUND(Table_2[[#This Row],[Amount in Sales]],5)</f>
        <v>275</v>
      </c>
    </row>
    <row r="358" spans="1:7" ht="14.25" customHeight="1" x14ac:dyDescent="0.3">
      <c r="A358" s="2" t="s">
        <v>883</v>
      </c>
      <c r="B358" s="2" t="s">
        <v>1768</v>
      </c>
      <c r="C358" s="12">
        <v>44736</v>
      </c>
      <c r="D358" s="2">
        <v>241</v>
      </c>
      <c r="E358" s="2">
        <v>191.95</v>
      </c>
      <c r="F358" s="2" t="s">
        <v>1765</v>
      </c>
      <c r="G358">
        <f>MROUND(Table_2[[#This Row],[Amount in Sales]],5)</f>
        <v>240</v>
      </c>
    </row>
    <row r="359" spans="1:7" ht="14.25" customHeight="1" x14ac:dyDescent="0.3">
      <c r="A359" s="2" t="s">
        <v>885</v>
      </c>
      <c r="B359" s="2" t="s">
        <v>1770</v>
      </c>
      <c r="C359" s="12">
        <v>44752</v>
      </c>
      <c r="D359" s="2">
        <v>839</v>
      </c>
      <c r="E359" s="2">
        <v>134.88999999999999</v>
      </c>
      <c r="F359" s="2" t="s">
        <v>1767</v>
      </c>
      <c r="G359">
        <f>MROUND(Table_2[[#This Row],[Amount in Sales]],5)</f>
        <v>840</v>
      </c>
    </row>
    <row r="360" spans="1:7" ht="14.25" customHeight="1" x14ac:dyDescent="0.3">
      <c r="A360" s="2" t="s">
        <v>887</v>
      </c>
      <c r="B360" s="2" t="s">
        <v>1772</v>
      </c>
      <c r="C360" s="12">
        <v>44759</v>
      </c>
      <c r="D360" s="2">
        <v>812</v>
      </c>
      <c r="E360" s="2">
        <v>200.51999999999998</v>
      </c>
      <c r="F360" s="2" t="s">
        <v>1769</v>
      </c>
      <c r="G360">
        <f>MROUND(Table_2[[#This Row],[Amount in Sales]],5)</f>
        <v>810</v>
      </c>
    </row>
    <row r="361" spans="1:7" ht="14.25" customHeight="1" x14ac:dyDescent="0.3">
      <c r="A361" s="2" t="s">
        <v>889</v>
      </c>
      <c r="B361" s="2" t="s">
        <v>1773</v>
      </c>
      <c r="C361" s="12">
        <v>44763</v>
      </c>
      <c r="D361" s="2">
        <v>541</v>
      </c>
      <c r="E361" s="2">
        <v>119.83</v>
      </c>
      <c r="F361" s="2" t="s">
        <v>1771</v>
      </c>
      <c r="G361">
        <f>MROUND(Table_2[[#This Row],[Amount in Sales]],5)</f>
        <v>540</v>
      </c>
    </row>
    <row r="362" spans="1:7" ht="14.25" customHeight="1" x14ac:dyDescent="0.3">
      <c r="A362" s="2" t="s">
        <v>891</v>
      </c>
      <c r="B362" s="2" t="s">
        <v>1764</v>
      </c>
      <c r="C362" s="12">
        <v>44763</v>
      </c>
      <c r="D362" s="2">
        <v>740</v>
      </c>
      <c r="E362" s="2">
        <v>528.79999999999995</v>
      </c>
      <c r="F362" s="2" t="s">
        <v>1765</v>
      </c>
      <c r="G362">
        <f>MROUND(Table_2[[#This Row],[Amount in Sales]],5)</f>
        <v>740</v>
      </c>
    </row>
    <row r="363" spans="1:7" ht="14.25" customHeight="1" x14ac:dyDescent="0.3">
      <c r="A363" s="2" t="s">
        <v>893</v>
      </c>
      <c r="B363" s="2" t="s">
        <v>1766</v>
      </c>
      <c r="C363" s="12">
        <v>44750</v>
      </c>
      <c r="D363" s="2">
        <v>881</v>
      </c>
      <c r="E363" s="2">
        <v>99.440000000000012</v>
      </c>
      <c r="F363" s="2" t="s">
        <v>1767</v>
      </c>
      <c r="G363">
        <f>MROUND(Table_2[[#This Row],[Amount in Sales]],5)</f>
        <v>880</v>
      </c>
    </row>
    <row r="364" spans="1:7" ht="14.25" customHeight="1" x14ac:dyDescent="0.3">
      <c r="A364" s="2" t="s">
        <v>895</v>
      </c>
      <c r="B364" s="2" t="s">
        <v>1768</v>
      </c>
      <c r="C364" s="12">
        <v>44751</v>
      </c>
      <c r="D364" s="2">
        <v>760</v>
      </c>
      <c r="E364" s="2">
        <v>49.62</v>
      </c>
      <c r="F364" s="2" t="s">
        <v>1769</v>
      </c>
      <c r="G364">
        <f>MROUND(Table_2[[#This Row],[Amount in Sales]],5)</f>
        <v>760</v>
      </c>
    </row>
    <row r="365" spans="1:7" ht="14.25" customHeight="1" x14ac:dyDescent="0.3">
      <c r="A365" s="2" t="s">
        <v>897</v>
      </c>
      <c r="B365" s="2" t="s">
        <v>1770</v>
      </c>
      <c r="C365" s="12">
        <v>44736</v>
      </c>
      <c r="D365" s="2">
        <v>814</v>
      </c>
      <c r="E365" s="2">
        <v>379.99</v>
      </c>
      <c r="F365" s="2" t="s">
        <v>1771</v>
      </c>
      <c r="G365">
        <f>MROUND(Table_2[[#This Row],[Amount in Sales]],5)</f>
        <v>815</v>
      </c>
    </row>
    <row r="366" spans="1:7" ht="14.25" customHeight="1" x14ac:dyDescent="0.3">
      <c r="A366" s="2" t="s">
        <v>899</v>
      </c>
      <c r="B366" s="2" t="s">
        <v>1764</v>
      </c>
      <c r="C366" s="12">
        <v>44737</v>
      </c>
      <c r="D366" s="2">
        <v>557</v>
      </c>
      <c r="E366" s="2">
        <v>513.56999999999994</v>
      </c>
      <c r="F366" s="2" t="s">
        <v>1765</v>
      </c>
      <c r="G366">
        <f>MROUND(Table_2[[#This Row],[Amount in Sales]],5)</f>
        <v>555</v>
      </c>
    </row>
    <row r="367" spans="1:7" ht="14.25" customHeight="1" x14ac:dyDescent="0.3">
      <c r="A367" s="2" t="s">
        <v>901</v>
      </c>
      <c r="B367" s="2" t="s">
        <v>1766</v>
      </c>
      <c r="C367" s="12">
        <v>44744</v>
      </c>
      <c r="D367" s="2">
        <v>567</v>
      </c>
      <c r="E367" s="2">
        <v>106.83</v>
      </c>
      <c r="F367" s="2" t="s">
        <v>1767</v>
      </c>
      <c r="G367">
        <f>MROUND(Table_2[[#This Row],[Amount in Sales]],5)</f>
        <v>565</v>
      </c>
    </row>
    <row r="368" spans="1:7" ht="14.25" customHeight="1" x14ac:dyDescent="0.3">
      <c r="A368" s="2" t="s">
        <v>903</v>
      </c>
      <c r="B368" s="2" t="s">
        <v>1768</v>
      </c>
      <c r="C368" s="12">
        <v>44735</v>
      </c>
      <c r="D368" s="2">
        <v>267</v>
      </c>
      <c r="E368" s="2">
        <v>74.36</v>
      </c>
      <c r="F368" s="2" t="s">
        <v>1769</v>
      </c>
      <c r="G368">
        <f>MROUND(Table_2[[#This Row],[Amount in Sales]],5)</f>
        <v>265</v>
      </c>
    </row>
    <row r="369" spans="1:7" ht="14.25" customHeight="1" x14ac:dyDescent="0.3">
      <c r="A369" s="2" t="s">
        <v>905</v>
      </c>
      <c r="B369" s="2" t="s">
        <v>1770</v>
      </c>
      <c r="C369" s="12">
        <v>44751</v>
      </c>
      <c r="D369" s="2">
        <v>726</v>
      </c>
      <c r="E369" s="2">
        <v>572.70000000000005</v>
      </c>
      <c r="F369" s="2" t="s">
        <v>1771</v>
      </c>
      <c r="G369">
        <f>MROUND(Table_2[[#This Row],[Amount in Sales]],5)</f>
        <v>725</v>
      </c>
    </row>
    <row r="370" spans="1:7" ht="14.25" customHeight="1" x14ac:dyDescent="0.3">
      <c r="A370" s="2" t="s">
        <v>907</v>
      </c>
      <c r="B370" s="2" t="s">
        <v>1764</v>
      </c>
      <c r="C370" s="12">
        <v>44726</v>
      </c>
      <c r="D370" s="2">
        <v>336</v>
      </c>
      <c r="E370" s="2">
        <v>61.489999999999995</v>
      </c>
      <c r="F370" s="2" t="s">
        <v>1765</v>
      </c>
      <c r="G370">
        <f>MROUND(Table_2[[#This Row],[Amount in Sales]],5)</f>
        <v>335</v>
      </c>
    </row>
    <row r="371" spans="1:7" ht="14.25" customHeight="1" x14ac:dyDescent="0.3">
      <c r="A371" s="2" t="s">
        <v>909</v>
      </c>
      <c r="B371" s="2" t="s">
        <v>1766</v>
      </c>
      <c r="C371" s="12">
        <v>44749</v>
      </c>
      <c r="D371" s="2">
        <v>639</v>
      </c>
      <c r="E371" s="2">
        <v>131.59</v>
      </c>
      <c r="F371" s="2" t="s">
        <v>1767</v>
      </c>
      <c r="G371">
        <f>MROUND(Table_2[[#This Row],[Amount in Sales]],5)</f>
        <v>640</v>
      </c>
    </row>
    <row r="372" spans="1:7" ht="14.25" customHeight="1" x14ac:dyDescent="0.3">
      <c r="A372" s="2" t="s">
        <v>911</v>
      </c>
      <c r="B372" s="2" t="s">
        <v>1768</v>
      </c>
      <c r="C372" s="12">
        <v>44734</v>
      </c>
      <c r="D372" s="2">
        <v>290</v>
      </c>
      <c r="E372" s="2">
        <v>6.18</v>
      </c>
      <c r="F372" s="2" t="s">
        <v>1769</v>
      </c>
      <c r="G372">
        <f>MROUND(Table_2[[#This Row],[Amount in Sales]],5)</f>
        <v>290</v>
      </c>
    </row>
    <row r="373" spans="1:7" ht="14.25" customHeight="1" x14ac:dyDescent="0.3">
      <c r="A373" s="2" t="s">
        <v>913</v>
      </c>
      <c r="B373" s="2" t="s">
        <v>1770</v>
      </c>
      <c r="C373" s="12">
        <v>44726</v>
      </c>
      <c r="D373" s="2">
        <v>305</v>
      </c>
      <c r="E373" s="2">
        <v>6.96</v>
      </c>
      <c r="F373" s="2" t="s">
        <v>1771</v>
      </c>
      <c r="G373">
        <f>MROUND(Table_2[[#This Row],[Amount in Sales]],5)</f>
        <v>305</v>
      </c>
    </row>
    <row r="374" spans="1:7" ht="14.25" customHeight="1" x14ac:dyDescent="0.3">
      <c r="A374" s="2" t="s">
        <v>915</v>
      </c>
      <c r="B374" s="2" t="s">
        <v>1764</v>
      </c>
      <c r="C374" s="12">
        <v>44743</v>
      </c>
      <c r="D374" s="2">
        <v>375</v>
      </c>
      <c r="E374" s="2">
        <v>249.19</v>
      </c>
      <c r="F374" s="2" t="s">
        <v>1765</v>
      </c>
      <c r="G374">
        <f>MROUND(Table_2[[#This Row],[Amount in Sales]],5)</f>
        <v>375</v>
      </c>
    </row>
    <row r="375" spans="1:7" ht="14.25" customHeight="1" x14ac:dyDescent="0.3">
      <c r="A375" s="2" t="s">
        <v>917</v>
      </c>
      <c r="B375" s="2" t="s">
        <v>1766</v>
      </c>
      <c r="C375" s="12">
        <v>44742</v>
      </c>
      <c r="D375" s="2">
        <v>698</v>
      </c>
      <c r="E375" s="2">
        <v>203.48999999999998</v>
      </c>
      <c r="F375" s="2" t="s">
        <v>1767</v>
      </c>
      <c r="G375">
        <f>MROUND(Table_2[[#This Row],[Amount in Sales]],5)</f>
        <v>700</v>
      </c>
    </row>
    <row r="376" spans="1:7" ht="14.25" customHeight="1" x14ac:dyDescent="0.3">
      <c r="A376" s="2" t="s">
        <v>919</v>
      </c>
      <c r="B376" s="2" t="s">
        <v>1768</v>
      </c>
      <c r="C376" s="12">
        <v>44747</v>
      </c>
      <c r="D376" s="2">
        <v>602</v>
      </c>
      <c r="E376" s="2">
        <v>335.21999999999997</v>
      </c>
      <c r="F376" s="2" t="s">
        <v>1769</v>
      </c>
      <c r="G376">
        <f>MROUND(Table_2[[#This Row],[Amount in Sales]],5)</f>
        <v>600</v>
      </c>
    </row>
    <row r="377" spans="1:7" ht="14.25" customHeight="1" x14ac:dyDescent="0.3">
      <c r="A377" s="2" t="s">
        <v>921</v>
      </c>
      <c r="B377" s="2" t="s">
        <v>1770</v>
      </c>
      <c r="C377" s="12">
        <v>44764</v>
      </c>
      <c r="D377" s="2">
        <v>869</v>
      </c>
      <c r="E377" s="2">
        <v>497.43</v>
      </c>
      <c r="F377" s="2" t="s">
        <v>1771</v>
      </c>
      <c r="G377">
        <f>MROUND(Table_2[[#This Row],[Amount in Sales]],5)</f>
        <v>870</v>
      </c>
    </row>
    <row r="378" spans="1:7" ht="14.25" customHeight="1" x14ac:dyDescent="0.3">
      <c r="A378" s="2" t="s">
        <v>923</v>
      </c>
      <c r="B378" s="2" t="s">
        <v>1772</v>
      </c>
      <c r="C378" s="12">
        <v>44735</v>
      </c>
      <c r="D378" s="2">
        <v>248</v>
      </c>
      <c r="E378" s="2">
        <v>21.39</v>
      </c>
      <c r="F378" s="2" t="s">
        <v>1765</v>
      </c>
      <c r="G378">
        <f>MROUND(Table_2[[#This Row],[Amount in Sales]],5)</f>
        <v>250</v>
      </c>
    </row>
    <row r="379" spans="1:7" ht="14.25" customHeight="1" x14ac:dyDescent="0.3">
      <c r="A379" s="2" t="s">
        <v>925</v>
      </c>
      <c r="B379" s="2" t="s">
        <v>1764</v>
      </c>
      <c r="C379" s="12">
        <v>44737</v>
      </c>
      <c r="D379" s="2">
        <v>622</v>
      </c>
      <c r="E379" s="2">
        <v>594.70000000000005</v>
      </c>
      <c r="F379" s="2" t="s">
        <v>1767</v>
      </c>
      <c r="G379">
        <f>MROUND(Table_2[[#This Row],[Amount in Sales]],5)</f>
        <v>620</v>
      </c>
    </row>
    <row r="380" spans="1:7" ht="14.25" customHeight="1" x14ac:dyDescent="0.3">
      <c r="A380" s="2" t="s">
        <v>927</v>
      </c>
      <c r="B380" s="2" t="s">
        <v>1766</v>
      </c>
      <c r="C380" s="12">
        <v>44749</v>
      </c>
      <c r="D380" s="2">
        <v>498</v>
      </c>
      <c r="E380" s="2">
        <v>122.28</v>
      </c>
      <c r="F380" s="2" t="s">
        <v>1769</v>
      </c>
      <c r="G380">
        <f>MROUND(Table_2[[#This Row],[Amount in Sales]],5)</f>
        <v>500</v>
      </c>
    </row>
    <row r="381" spans="1:7" ht="14.25" customHeight="1" x14ac:dyDescent="0.3">
      <c r="A381" s="2" t="s">
        <v>929</v>
      </c>
      <c r="B381" s="2" t="s">
        <v>1768</v>
      </c>
      <c r="C381" s="12">
        <v>44729</v>
      </c>
      <c r="D381" s="2">
        <v>896</v>
      </c>
      <c r="E381" s="2">
        <v>507.48</v>
      </c>
      <c r="F381" s="2" t="s">
        <v>1771</v>
      </c>
      <c r="G381">
        <f>MROUND(Table_2[[#This Row],[Amount in Sales]],5)</f>
        <v>895</v>
      </c>
    </row>
    <row r="382" spans="1:7" ht="14.25" customHeight="1" x14ac:dyDescent="0.3">
      <c r="A382" s="2" t="s">
        <v>931</v>
      </c>
      <c r="B382" s="2" t="s">
        <v>1770</v>
      </c>
      <c r="C382" s="12">
        <v>44738</v>
      </c>
      <c r="D382" s="2">
        <v>773</v>
      </c>
      <c r="E382" s="2">
        <v>34.93</v>
      </c>
      <c r="F382" s="2" t="s">
        <v>1765</v>
      </c>
      <c r="G382">
        <f>MROUND(Table_2[[#This Row],[Amount in Sales]],5)</f>
        <v>775</v>
      </c>
    </row>
    <row r="383" spans="1:7" ht="14.25" customHeight="1" x14ac:dyDescent="0.3">
      <c r="A383" s="2" t="s">
        <v>933</v>
      </c>
      <c r="B383" s="2" t="s">
        <v>1764</v>
      </c>
      <c r="C383" s="12">
        <v>44740</v>
      </c>
      <c r="D383" s="2">
        <v>840</v>
      </c>
      <c r="E383" s="2">
        <v>817.71</v>
      </c>
      <c r="F383" s="2" t="s">
        <v>1767</v>
      </c>
      <c r="G383">
        <f>MROUND(Table_2[[#This Row],[Amount in Sales]],5)</f>
        <v>840</v>
      </c>
    </row>
    <row r="384" spans="1:7" ht="14.25" customHeight="1" x14ac:dyDescent="0.3">
      <c r="A384" s="2" t="s">
        <v>935</v>
      </c>
      <c r="B384" s="2" t="s">
        <v>1766</v>
      </c>
      <c r="C384" s="12">
        <v>44755</v>
      </c>
      <c r="D384" s="2">
        <v>654</v>
      </c>
      <c r="E384" s="2">
        <v>371.03999999999996</v>
      </c>
      <c r="F384" s="2" t="s">
        <v>1769</v>
      </c>
      <c r="G384">
        <f>MROUND(Table_2[[#This Row],[Amount in Sales]],5)</f>
        <v>655</v>
      </c>
    </row>
    <row r="385" spans="1:7" ht="14.25" customHeight="1" x14ac:dyDescent="0.3">
      <c r="A385" s="2" t="s">
        <v>937</v>
      </c>
      <c r="B385" s="2" t="s">
        <v>1768</v>
      </c>
      <c r="C385" s="12">
        <v>44755</v>
      </c>
      <c r="D385" s="2">
        <v>831</v>
      </c>
      <c r="E385" s="2">
        <v>315.19</v>
      </c>
      <c r="F385" s="2" t="s">
        <v>1771</v>
      </c>
      <c r="G385">
        <f>MROUND(Table_2[[#This Row],[Amount in Sales]],5)</f>
        <v>830</v>
      </c>
    </row>
    <row r="386" spans="1:7" ht="14.25" customHeight="1" x14ac:dyDescent="0.3">
      <c r="A386" s="2" t="s">
        <v>939</v>
      </c>
      <c r="B386" s="2" t="s">
        <v>1770</v>
      </c>
      <c r="C386" s="12">
        <v>44764</v>
      </c>
      <c r="D386" s="2">
        <v>874</v>
      </c>
      <c r="E386" s="2">
        <v>549.45000000000005</v>
      </c>
      <c r="F386" s="2" t="s">
        <v>1765</v>
      </c>
      <c r="G386">
        <f>MROUND(Table_2[[#This Row],[Amount in Sales]],5)</f>
        <v>875</v>
      </c>
    </row>
    <row r="387" spans="1:7" ht="14.25" customHeight="1" x14ac:dyDescent="0.3">
      <c r="A387" s="2" t="s">
        <v>941</v>
      </c>
      <c r="B387" s="2" t="s">
        <v>1772</v>
      </c>
      <c r="C387" s="12">
        <v>44735</v>
      </c>
      <c r="D387" s="2">
        <v>564</v>
      </c>
      <c r="E387" s="2">
        <v>213.97</v>
      </c>
      <c r="F387" s="2" t="s">
        <v>1767</v>
      </c>
      <c r="G387">
        <f>MROUND(Table_2[[#This Row],[Amount in Sales]],5)</f>
        <v>565</v>
      </c>
    </row>
    <row r="388" spans="1:7" ht="14.25" customHeight="1" x14ac:dyDescent="0.3">
      <c r="A388" s="2" t="s">
        <v>943</v>
      </c>
      <c r="B388" s="2" t="s">
        <v>1773</v>
      </c>
      <c r="C388" s="12">
        <v>44734</v>
      </c>
      <c r="D388" s="2">
        <v>762</v>
      </c>
      <c r="E388" s="2">
        <v>273.5</v>
      </c>
      <c r="F388" s="2" t="s">
        <v>1769</v>
      </c>
      <c r="G388">
        <f>MROUND(Table_2[[#This Row],[Amount in Sales]],5)</f>
        <v>760</v>
      </c>
    </row>
    <row r="389" spans="1:7" ht="14.25" customHeight="1" x14ac:dyDescent="0.3">
      <c r="A389" s="2" t="s">
        <v>945</v>
      </c>
      <c r="B389" s="2" t="s">
        <v>1764</v>
      </c>
      <c r="C389" s="12">
        <v>44728</v>
      </c>
      <c r="D389" s="2">
        <v>862</v>
      </c>
      <c r="E389" s="2">
        <v>776.86</v>
      </c>
      <c r="F389" s="2" t="s">
        <v>1771</v>
      </c>
      <c r="G389">
        <f>MROUND(Table_2[[#This Row],[Amount in Sales]],5)</f>
        <v>860</v>
      </c>
    </row>
    <row r="390" spans="1:7" ht="14.25" customHeight="1" x14ac:dyDescent="0.3">
      <c r="A390" s="2" t="s">
        <v>947</v>
      </c>
      <c r="B390" s="2" t="s">
        <v>1766</v>
      </c>
      <c r="C390" s="12">
        <v>44739</v>
      </c>
      <c r="D390" s="2">
        <v>854</v>
      </c>
      <c r="E390" s="2">
        <v>322.7</v>
      </c>
      <c r="F390" s="2" t="s">
        <v>1765</v>
      </c>
      <c r="G390">
        <f>MROUND(Table_2[[#This Row],[Amount in Sales]],5)</f>
        <v>855</v>
      </c>
    </row>
    <row r="391" spans="1:7" ht="14.25" customHeight="1" x14ac:dyDescent="0.3">
      <c r="A391" s="2" t="s">
        <v>949</v>
      </c>
      <c r="B391" s="2" t="s">
        <v>1768</v>
      </c>
      <c r="C391" s="12">
        <v>44765</v>
      </c>
      <c r="D391" s="2">
        <v>427</v>
      </c>
      <c r="E391" s="2">
        <v>166.17</v>
      </c>
      <c r="F391" s="2" t="s">
        <v>1767</v>
      </c>
      <c r="G391">
        <f>MROUND(Table_2[[#This Row],[Amount in Sales]],5)</f>
        <v>425</v>
      </c>
    </row>
    <row r="392" spans="1:7" ht="14.25" customHeight="1" x14ac:dyDescent="0.3">
      <c r="A392" s="2" t="s">
        <v>951</v>
      </c>
      <c r="B392" s="2" t="s">
        <v>1770</v>
      </c>
      <c r="C392" s="12">
        <v>44740</v>
      </c>
      <c r="D392" s="2">
        <v>859</v>
      </c>
      <c r="E392" s="2">
        <v>521.54</v>
      </c>
      <c r="F392" s="2" t="s">
        <v>1769</v>
      </c>
      <c r="G392">
        <f>MROUND(Table_2[[#This Row],[Amount in Sales]],5)</f>
        <v>860</v>
      </c>
    </row>
    <row r="393" spans="1:7" ht="14.25" customHeight="1" x14ac:dyDescent="0.3">
      <c r="A393" s="2" t="s">
        <v>953</v>
      </c>
      <c r="B393" s="2" t="s">
        <v>1764</v>
      </c>
      <c r="C393" s="12">
        <v>44734</v>
      </c>
      <c r="D393" s="2">
        <v>536</v>
      </c>
      <c r="E393" s="2">
        <v>92.52000000000001</v>
      </c>
      <c r="F393" s="2" t="s">
        <v>1771</v>
      </c>
      <c r="G393">
        <f>MROUND(Table_2[[#This Row],[Amount in Sales]],5)</f>
        <v>535</v>
      </c>
    </row>
    <row r="394" spans="1:7" ht="14.25" customHeight="1" x14ac:dyDescent="0.3">
      <c r="A394" s="2" t="s">
        <v>955</v>
      </c>
      <c r="B394" s="2" t="s">
        <v>1766</v>
      </c>
      <c r="C394" s="12">
        <v>44727</v>
      </c>
      <c r="D394" s="2">
        <v>210</v>
      </c>
      <c r="E394" s="2">
        <v>7.24</v>
      </c>
      <c r="F394" s="2" t="s">
        <v>1765</v>
      </c>
      <c r="G394">
        <f>MROUND(Table_2[[#This Row],[Amount in Sales]],5)</f>
        <v>210</v>
      </c>
    </row>
    <row r="395" spans="1:7" ht="14.25" customHeight="1" x14ac:dyDescent="0.3">
      <c r="A395" s="2" t="s">
        <v>957</v>
      </c>
      <c r="B395" s="2" t="s">
        <v>1768</v>
      </c>
      <c r="C395" s="12">
        <v>44737</v>
      </c>
      <c r="D395" s="2">
        <v>568</v>
      </c>
      <c r="E395" s="2">
        <v>207.89999999999998</v>
      </c>
      <c r="F395" s="2" t="s">
        <v>1767</v>
      </c>
      <c r="G395">
        <f>MROUND(Table_2[[#This Row],[Amount in Sales]],5)</f>
        <v>570</v>
      </c>
    </row>
    <row r="396" spans="1:7" ht="14.25" customHeight="1" x14ac:dyDescent="0.3">
      <c r="A396" s="2" t="s">
        <v>959</v>
      </c>
      <c r="B396" s="2" t="s">
        <v>1770</v>
      </c>
      <c r="C396" s="12">
        <v>44747</v>
      </c>
      <c r="D396" s="2">
        <v>226</v>
      </c>
      <c r="E396" s="2">
        <v>83.350000000000009</v>
      </c>
      <c r="F396" s="2" t="s">
        <v>1769</v>
      </c>
      <c r="G396">
        <f>MROUND(Table_2[[#This Row],[Amount in Sales]],5)</f>
        <v>225</v>
      </c>
    </row>
    <row r="397" spans="1:7" ht="14.25" customHeight="1" x14ac:dyDescent="0.3">
      <c r="A397" s="2" t="s">
        <v>961</v>
      </c>
      <c r="B397" s="2" t="s">
        <v>1772</v>
      </c>
      <c r="C397" s="12">
        <v>44754</v>
      </c>
      <c r="D397" s="2">
        <v>857</v>
      </c>
      <c r="E397" s="2">
        <v>672.68</v>
      </c>
      <c r="F397" s="2" t="s">
        <v>1771</v>
      </c>
      <c r="G397">
        <f>MROUND(Table_2[[#This Row],[Amount in Sales]],5)</f>
        <v>855</v>
      </c>
    </row>
    <row r="398" spans="1:7" ht="14.25" customHeight="1" x14ac:dyDescent="0.3">
      <c r="A398" s="2" t="s">
        <v>963</v>
      </c>
      <c r="B398" s="2" t="s">
        <v>1764</v>
      </c>
      <c r="C398" s="12">
        <v>44760</v>
      </c>
      <c r="D398" s="2">
        <v>265</v>
      </c>
      <c r="E398" s="2">
        <v>237</v>
      </c>
      <c r="F398" s="2" t="s">
        <v>1765</v>
      </c>
      <c r="G398">
        <f>MROUND(Table_2[[#This Row],[Amount in Sales]],5)</f>
        <v>265</v>
      </c>
    </row>
    <row r="399" spans="1:7" ht="14.25" customHeight="1" x14ac:dyDescent="0.3">
      <c r="A399" s="2" t="s">
        <v>965</v>
      </c>
      <c r="B399" s="2" t="s">
        <v>1766</v>
      </c>
      <c r="C399" s="12">
        <v>44759</v>
      </c>
      <c r="D399" s="2">
        <v>355</v>
      </c>
      <c r="E399" s="2">
        <v>193.45999999999998</v>
      </c>
      <c r="F399" s="2" t="s">
        <v>1767</v>
      </c>
      <c r="G399">
        <f>MROUND(Table_2[[#This Row],[Amount in Sales]],5)</f>
        <v>355</v>
      </c>
    </row>
    <row r="400" spans="1:7" ht="14.25" customHeight="1" x14ac:dyDescent="0.3">
      <c r="A400" s="2" t="s">
        <v>967</v>
      </c>
      <c r="B400" s="2" t="s">
        <v>1768</v>
      </c>
      <c r="C400" s="12">
        <v>44735</v>
      </c>
      <c r="D400" s="2">
        <v>897</v>
      </c>
      <c r="E400" s="2">
        <v>757.46</v>
      </c>
      <c r="F400" s="2" t="s">
        <v>1769</v>
      </c>
      <c r="G400">
        <f>MROUND(Table_2[[#This Row],[Amount in Sales]],5)</f>
        <v>895</v>
      </c>
    </row>
    <row r="401" spans="1:7" ht="14.25" customHeight="1" x14ac:dyDescent="0.3">
      <c r="A401" s="2" t="s">
        <v>969</v>
      </c>
      <c r="B401" s="2" t="s">
        <v>1770</v>
      </c>
      <c r="C401" s="12">
        <v>44734</v>
      </c>
      <c r="D401" s="2">
        <v>482</v>
      </c>
      <c r="E401" s="2">
        <v>53.43</v>
      </c>
      <c r="F401" s="2" t="s">
        <v>1771</v>
      </c>
      <c r="G401">
        <f>MROUND(Table_2[[#This Row],[Amount in Sales]],5)</f>
        <v>480</v>
      </c>
    </row>
    <row r="402" spans="1:7" ht="14.25" customHeight="1" x14ac:dyDescent="0.3">
      <c r="A402" s="2" t="s">
        <v>971</v>
      </c>
      <c r="B402" s="2" t="s">
        <v>1764</v>
      </c>
      <c r="C402" s="12">
        <v>44753</v>
      </c>
      <c r="D402" s="2">
        <v>612</v>
      </c>
      <c r="E402" s="2">
        <v>162.97999999999999</v>
      </c>
      <c r="F402" s="2" t="s">
        <v>1765</v>
      </c>
      <c r="G402">
        <f>MROUND(Table_2[[#This Row],[Amount in Sales]],5)</f>
        <v>610</v>
      </c>
    </row>
    <row r="403" spans="1:7" ht="14.25" customHeight="1" x14ac:dyDescent="0.3">
      <c r="A403" s="2" t="s">
        <v>973</v>
      </c>
      <c r="B403" s="2" t="s">
        <v>1766</v>
      </c>
      <c r="C403" s="12">
        <v>44739</v>
      </c>
      <c r="D403" s="2">
        <v>777</v>
      </c>
      <c r="E403" s="2">
        <v>103.18</v>
      </c>
      <c r="F403" s="2" t="s">
        <v>1767</v>
      </c>
      <c r="G403">
        <f>MROUND(Table_2[[#This Row],[Amount in Sales]],5)</f>
        <v>775</v>
      </c>
    </row>
    <row r="404" spans="1:7" ht="14.25" customHeight="1" x14ac:dyDescent="0.3">
      <c r="A404" s="2" t="s">
        <v>975</v>
      </c>
      <c r="B404" s="2" t="s">
        <v>1768</v>
      </c>
      <c r="C404" s="12">
        <v>44740</v>
      </c>
      <c r="D404" s="2">
        <v>572</v>
      </c>
      <c r="E404" s="2">
        <v>118.95</v>
      </c>
      <c r="F404" s="2" t="s">
        <v>1769</v>
      </c>
      <c r="G404">
        <f>MROUND(Table_2[[#This Row],[Amount in Sales]],5)</f>
        <v>570</v>
      </c>
    </row>
    <row r="405" spans="1:7" ht="14.25" customHeight="1" x14ac:dyDescent="0.3">
      <c r="A405" s="2" t="s">
        <v>977</v>
      </c>
      <c r="B405" s="2" t="s">
        <v>1770</v>
      </c>
      <c r="C405" s="12">
        <v>44748</v>
      </c>
      <c r="D405" s="2">
        <v>692</v>
      </c>
      <c r="E405" s="2">
        <v>526.14</v>
      </c>
      <c r="F405" s="2" t="s">
        <v>1771</v>
      </c>
      <c r="G405">
        <f>MROUND(Table_2[[#This Row],[Amount in Sales]],5)</f>
        <v>690</v>
      </c>
    </row>
    <row r="406" spans="1:7" ht="14.25" customHeight="1" x14ac:dyDescent="0.3">
      <c r="A406" s="2" t="s">
        <v>979</v>
      </c>
      <c r="B406" s="2" t="s">
        <v>1772</v>
      </c>
      <c r="C406" s="12">
        <v>44731</v>
      </c>
      <c r="D406" s="2">
        <v>791</v>
      </c>
      <c r="E406" s="2">
        <v>188.29999999999998</v>
      </c>
      <c r="F406" s="2" t="s">
        <v>1765</v>
      </c>
      <c r="G406">
        <f>MROUND(Table_2[[#This Row],[Amount in Sales]],5)</f>
        <v>790</v>
      </c>
    </row>
    <row r="407" spans="1:7" ht="14.25" customHeight="1" x14ac:dyDescent="0.3">
      <c r="A407" s="2" t="s">
        <v>981</v>
      </c>
      <c r="B407" s="2" t="s">
        <v>1773</v>
      </c>
      <c r="C407" s="12">
        <v>44763</v>
      </c>
      <c r="D407" s="2">
        <v>332</v>
      </c>
      <c r="E407" s="2">
        <v>41.58</v>
      </c>
      <c r="F407" s="2" t="s">
        <v>1767</v>
      </c>
      <c r="G407">
        <f>MROUND(Table_2[[#This Row],[Amount in Sales]],5)</f>
        <v>330</v>
      </c>
    </row>
    <row r="408" spans="1:7" ht="14.25" customHeight="1" x14ac:dyDescent="0.3">
      <c r="A408" s="2" t="s">
        <v>983</v>
      </c>
      <c r="B408" s="2" t="s">
        <v>1764</v>
      </c>
      <c r="C408" s="12">
        <v>44733</v>
      </c>
      <c r="D408" s="2">
        <v>241</v>
      </c>
      <c r="E408" s="2">
        <v>16.180000000000003</v>
      </c>
      <c r="F408" s="2" t="s">
        <v>1769</v>
      </c>
      <c r="G408">
        <f>MROUND(Table_2[[#This Row],[Amount in Sales]],5)</f>
        <v>240</v>
      </c>
    </row>
    <row r="409" spans="1:7" ht="14.25" customHeight="1" x14ac:dyDescent="0.3">
      <c r="A409" s="2" t="s">
        <v>985</v>
      </c>
      <c r="B409" s="2" t="s">
        <v>1766</v>
      </c>
      <c r="C409" s="12">
        <v>44746</v>
      </c>
      <c r="D409" s="2">
        <v>494</v>
      </c>
      <c r="E409" s="2">
        <v>488.92</v>
      </c>
      <c r="F409" s="2" t="s">
        <v>1771</v>
      </c>
      <c r="G409">
        <f>MROUND(Table_2[[#This Row],[Amount in Sales]],5)</f>
        <v>495</v>
      </c>
    </row>
    <row r="410" spans="1:7" ht="14.25" customHeight="1" x14ac:dyDescent="0.3">
      <c r="A410" s="2" t="s">
        <v>987</v>
      </c>
      <c r="B410" s="2" t="s">
        <v>1768</v>
      </c>
      <c r="C410" s="12">
        <v>44755</v>
      </c>
      <c r="D410" s="2">
        <v>260</v>
      </c>
      <c r="E410" s="2">
        <v>68.13000000000001</v>
      </c>
      <c r="F410" s="2" t="s">
        <v>1765</v>
      </c>
      <c r="G410">
        <f>MROUND(Table_2[[#This Row],[Amount in Sales]],5)</f>
        <v>260</v>
      </c>
    </row>
    <row r="411" spans="1:7" ht="14.25" customHeight="1" x14ac:dyDescent="0.3">
      <c r="A411" s="2" t="s">
        <v>989</v>
      </c>
      <c r="B411" s="2" t="s">
        <v>1770</v>
      </c>
      <c r="C411" s="12">
        <v>44755</v>
      </c>
      <c r="D411" s="2">
        <v>726</v>
      </c>
      <c r="E411" s="2">
        <v>633.54</v>
      </c>
      <c r="F411" s="2" t="s">
        <v>1767</v>
      </c>
      <c r="G411">
        <f>MROUND(Table_2[[#This Row],[Amount in Sales]],5)</f>
        <v>725</v>
      </c>
    </row>
    <row r="412" spans="1:7" ht="14.25" customHeight="1" x14ac:dyDescent="0.3">
      <c r="A412" s="2" t="s">
        <v>991</v>
      </c>
      <c r="B412" s="2" t="s">
        <v>1764</v>
      </c>
      <c r="C412" s="12">
        <v>44727</v>
      </c>
      <c r="D412" s="2">
        <v>402</v>
      </c>
      <c r="E412" s="2">
        <v>308.64999999999998</v>
      </c>
      <c r="F412" s="2" t="s">
        <v>1769</v>
      </c>
      <c r="G412">
        <f>MROUND(Table_2[[#This Row],[Amount in Sales]],5)</f>
        <v>400</v>
      </c>
    </row>
    <row r="413" spans="1:7" ht="14.25" customHeight="1" x14ac:dyDescent="0.3">
      <c r="A413" s="2" t="s">
        <v>993</v>
      </c>
      <c r="B413" s="2" t="s">
        <v>1766</v>
      </c>
      <c r="C413" s="12">
        <v>44746</v>
      </c>
      <c r="D413" s="2">
        <v>369</v>
      </c>
      <c r="E413" s="2">
        <v>58.12</v>
      </c>
      <c r="F413" s="2" t="s">
        <v>1771</v>
      </c>
      <c r="G413">
        <f>MROUND(Table_2[[#This Row],[Amount in Sales]],5)</f>
        <v>370</v>
      </c>
    </row>
    <row r="414" spans="1:7" ht="14.25" customHeight="1" x14ac:dyDescent="0.3">
      <c r="A414" s="2" t="s">
        <v>995</v>
      </c>
      <c r="B414" s="2" t="s">
        <v>1768</v>
      </c>
      <c r="C414" s="12">
        <v>44740</v>
      </c>
      <c r="D414" s="2">
        <v>657</v>
      </c>
      <c r="E414" s="2">
        <v>351.96</v>
      </c>
      <c r="F414" s="2" t="s">
        <v>1765</v>
      </c>
      <c r="G414">
        <f>MROUND(Table_2[[#This Row],[Amount in Sales]],5)</f>
        <v>655</v>
      </c>
    </row>
    <row r="415" spans="1:7" ht="14.25" customHeight="1" x14ac:dyDescent="0.3">
      <c r="A415" s="2" t="s">
        <v>997</v>
      </c>
      <c r="B415" s="2" t="s">
        <v>1770</v>
      </c>
      <c r="C415" s="12">
        <v>44743</v>
      </c>
      <c r="D415" s="2">
        <v>482</v>
      </c>
      <c r="E415" s="2">
        <v>425.21</v>
      </c>
      <c r="F415" s="2" t="s">
        <v>1767</v>
      </c>
      <c r="G415">
        <f>MROUND(Table_2[[#This Row],[Amount in Sales]],5)</f>
        <v>480</v>
      </c>
    </row>
    <row r="416" spans="1:7" ht="14.25" customHeight="1" x14ac:dyDescent="0.3">
      <c r="A416" s="2" t="s">
        <v>999</v>
      </c>
      <c r="B416" s="2" t="s">
        <v>1764</v>
      </c>
      <c r="C416" s="12">
        <v>44737</v>
      </c>
      <c r="D416" s="2">
        <v>652</v>
      </c>
      <c r="E416" s="2">
        <v>48.809999999999995</v>
      </c>
      <c r="F416" s="2" t="s">
        <v>1769</v>
      </c>
      <c r="G416">
        <f>MROUND(Table_2[[#This Row],[Amount in Sales]],5)</f>
        <v>650</v>
      </c>
    </row>
    <row r="417" spans="1:7" ht="14.25" customHeight="1" x14ac:dyDescent="0.3">
      <c r="A417" s="2" t="s">
        <v>1001</v>
      </c>
      <c r="B417" s="2" t="s">
        <v>1766</v>
      </c>
      <c r="C417" s="12">
        <v>44757</v>
      </c>
      <c r="D417" s="2">
        <v>556</v>
      </c>
      <c r="E417" s="2">
        <v>257.07</v>
      </c>
      <c r="F417" s="2" t="s">
        <v>1771</v>
      </c>
      <c r="G417">
        <f>MROUND(Table_2[[#This Row],[Amount in Sales]],5)</f>
        <v>555</v>
      </c>
    </row>
    <row r="418" spans="1:7" ht="14.25" customHeight="1" x14ac:dyDescent="0.3">
      <c r="A418" s="2" t="s">
        <v>1003</v>
      </c>
      <c r="B418" s="2" t="s">
        <v>1768</v>
      </c>
      <c r="C418" s="12">
        <v>44745</v>
      </c>
      <c r="D418" s="2">
        <v>706</v>
      </c>
      <c r="E418" s="2">
        <v>243.31</v>
      </c>
      <c r="F418" s="2" t="s">
        <v>1765</v>
      </c>
      <c r="G418">
        <f>MROUND(Table_2[[#This Row],[Amount in Sales]],5)</f>
        <v>705</v>
      </c>
    </row>
    <row r="419" spans="1:7" ht="14.25" customHeight="1" x14ac:dyDescent="0.3">
      <c r="A419" s="2" t="s">
        <v>1005</v>
      </c>
      <c r="B419" s="2" t="s">
        <v>1770</v>
      </c>
      <c r="C419" s="12">
        <v>44760</v>
      </c>
      <c r="D419" s="2">
        <v>460</v>
      </c>
      <c r="E419" s="2">
        <v>321.59999999999997</v>
      </c>
      <c r="F419" s="2" t="s">
        <v>1767</v>
      </c>
      <c r="G419">
        <f>MROUND(Table_2[[#This Row],[Amount in Sales]],5)</f>
        <v>460</v>
      </c>
    </row>
    <row r="420" spans="1:7" ht="14.25" customHeight="1" x14ac:dyDescent="0.3">
      <c r="A420" s="2" t="s">
        <v>1007</v>
      </c>
      <c r="B420" s="2" t="s">
        <v>1764</v>
      </c>
      <c r="C420" s="12">
        <v>44750</v>
      </c>
      <c r="D420" s="2">
        <v>248</v>
      </c>
      <c r="E420" s="2">
        <v>4.6899999999999995</v>
      </c>
      <c r="F420" s="2" t="s">
        <v>1769</v>
      </c>
      <c r="G420">
        <f>MROUND(Table_2[[#This Row],[Amount in Sales]],5)</f>
        <v>250</v>
      </c>
    </row>
    <row r="421" spans="1:7" ht="14.25" customHeight="1" x14ac:dyDescent="0.3">
      <c r="A421" s="2" t="s">
        <v>1009</v>
      </c>
      <c r="B421" s="2" t="s">
        <v>1766</v>
      </c>
      <c r="C421" s="12">
        <v>44742</v>
      </c>
      <c r="D421" s="2">
        <v>700</v>
      </c>
      <c r="E421" s="2">
        <v>512.72</v>
      </c>
      <c r="F421" s="2" t="s">
        <v>1771</v>
      </c>
      <c r="G421">
        <f>MROUND(Table_2[[#This Row],[Amount in Sales]],5)</f>
        <v>700</v>
      </c>
    </row>
    <row r="422" spans="1:7" ht="14.25" customHeight="1" x14ac:dyDescent="0.3">
      <c r="A422" s="2" t="s">
        <v>1011</v>
      </c>
      <c r="B422" s="2" t="s">
        <v>1768</v>
      </c>
      <c r="C422" s="12">
        <v>44754</v>
      </c>
      <c r="D422" s="2">
        <v>329</v>
      </c>
      <c r="E422" s="2">
        <v>237.85999999999999</v>
      </c>
      <c r="F422" s="2" t="s">
        <v>1765</v>
      </c>
      <c r="G422">
        <f>MROUND(Table_2[[#This Row],[Amount in Sales]],5)</f>
        <v>330</v>
      </c>
    </row>
    <row r="423" spans="1:7" ht="14.25" customHeight="1" x14ac:dyDescent="0.3">
      <c r="A423" s="2" t="s">
        <v>1013</v>
      </c>
      <c r="B423" s="2" t="s">
        <v>1770</v>
      </c>
      <c r="C423" s="12">
        <v>44746</v>
      </c>
      <c r="D423" s="2">
        <v>656</v>
      </c>
      <c r="E423" s="2">
        <v>639.06999999999994</v>
      </c>
      <c r="F423" s="2" t="s">
        <v>1767</v>
      </c>
      <c r="G423">
        <f>MROUND(Table_2[[#This Row],[Amount in Sales]],5)</f>
        <v>655</v>
      </c>
    </row>
    <row r="424" spans="1:7" ht="14.25" customHeight="1" x14ac:dyDescent="0.3">
      <c r="A424" s="2" t="s">
        <v>1015</v>
      </c>
      <c r="B424" s="2" t="s">
        <v>1772</v>
      </c>
      <c r="C424" s="12">
        <v>44752</v>
      </c>
      <c r="D424" s="2">
        <v>452</v>
      </c>
      <c r="E424" s="2">
        <v>417.84</v>
      </c>
      <c r="F424" s="2" t="s">
        <v>1769</v>
      </c>
      <c r="G424">
        <f>MROUND(Table_2[[#This Row],[Amount in Sales]],5)</f>
        <v>450</v>
      </c>
    </row>
    <row r="425" spans="1:7" ht="14.25" customHeight="1" x14ac:dyDescent="0.3">
      <c r="A425" s="2" t="s">
        <v>1017</v>
      </c>
      <c r="B425" s="2" t="s">
        <v>1764</v>
      </c>
      <c r="C425" s="12">
        <v>44725</v>
      </c>
      <c r="D425" s="2">
        <v>839</v>
      </c>
      <c r="E425" s="2">
        <v>292.32</v>
      </c>
      <c r="F425" s="2" t="s">
        <v>1771</v>
      </c>
      <c r="G425">
        <f>MROUND(Table_2[[#This Row],[Amount in Sales]],5)</f>
        <v>840</v>
      </c>
    </row>
    <row r="426" spans="1:7" ht="14.25" customHeight="1" x14ac:dyDescent="0.3">
      <c r="A426" s="2" t="s">
        <v>1019</v>
      </c>
      <c r="B426" s="2" t="s">
        <v>1766</v>
      </c>
      <c r="C426" s="12">
        <v>44734</v>
      </c>
      <c r="D426" s="2">
        <v>845</v>
      </c>
      <c r="E426" s="2">
        <v>311.5</v>
      </c>
      <c r="F426" s="2" t="s">
        <v>1765</v>
      </c>
      <c r="G426">
        <f>MROUND(Table_2[[#This Row],[Amount in Sales]],5)</f>
        <v>845</v>
      </c>
    </row>
    <row r="427" spans="1:7" ht="14.25" customHeight="1" x14ac:dyDescent="0.3">
      <c r="A427" s="2" t="s">
        <v>1021</v>
      </c>
      <c r="B427" s="2" t="s">
        <v>1768</v>
      </c>
      <c r="C427" s="12">
        <v>44761</v>
      </c>
      <c r="D427" s="2">
        <v>855</v>
      </c>
      <c r="E427" s="2">
        <v>327.3</v>
      </c>
      <c r="F427" s="2" t="s">
        <v>1767</v>
      </c>
      <c r="G427">
        <f>MROUND(Table_2[[#This Row],[Amount in Sales]],5)</f>
        <v>855</v>
      </c>
    </row>
    <row r="428" spans="1:7" ht="14.25" customHeight="1" x14ac:dyDescent="0.3">
      <c r="A428" s="2" t="s">
        <v>1023</v>
      </c>
      <c r="B428" s="2" t="s">
        <v>1770</v>
      </c>
      <c r="C428" s="12">
        <v>44735</v>
      </c>
      <c r="D428" s="2">
        <v>423</v>
      </c>
      <c r="E428" s="2">
        <v>326.89</v>
      </c>
      <c r="F428" s="2" t="s">
        <v>1769</v>
      </c>
      <c r="G428">
        <f>MROUND(Table_2[[#This Row],[Amount in Sales]],5)</f>
        <v>425</v>
      </c>
    </row>
    <row r="429" spans="1:7" ht="14.25" customHeight="1" x14ac:dyDescent="0.3">
      <c r="A429" s="2" t="s">
        <v>1025</v>
      </c>
      <c r="B429" s="2" t="s">
        <v>1764</v>
      </c>
      <c r="C429" s="12">
        <v>44753</v>
      </c>
      <c r="D429" s="2">
        <v>631</v>
      </c>
      <c r="E429" s="2">
        <v>619.61</v>
      </c>
      <c r="F429" s="2" t="s">
        <v>1771</v>
      </c>
      <c r="G429">
        <f>MROUND(Table_2[[#This Row],[Amount in Sales]],5)</f>
        <v>630</v>
      </c>
    </row>
    <row r="430" spans="1:7" ht="14.25" customHeight="1" x14ac:dyDescent="0.3">
      <c r="A430" s="2" t="s">
        <v>1027</v>
      </c>
      <c r="B430" s="2" t="s">
        <v>1766</v>
      </c>
      <c r="C430" s="12">
        <v>44732</v>
      </c>
      <c r="D430" s="2">
        <v>807</v>
      </c>
      <c r="E430" s="2">
        <v>196.69</v>
      </c>
      <c r="F430" s="2" t="s">
        <v>1765</v>
      </c>
      <c r="G430">
        <f>MROUND(Table_2[[#This Row],[Amount in Sales]],5)</f>
        <v>805</v>
      </c>
    </row>
    <row r="431" spans="1:7" ht="14.25" customHeight="1" x14ac:dyDescent="0.3">
      <c r="A431" s="2" t="s">
        <v>1029</v>
      </c>
      <c r="B431" s="2" t="s">
        <v>1768</v>
      </c>
      <c r="C431" s="12">
        <v>44748</v>
      </c>
      <c r="D431" s="2">
        <v>836</v>
      </c>
      <c r="E431" s="2">
        <v>426.18</v>
      </c>
      <c r="F431" s="2" t="s">
        <v>1767</v>
      </c>
      <c r="G431">
        <f>MROUND(Table_2[[#This Row],[Amount in Sales]],5)</f>
        <v>835</v>
      </c>
    </row>
    <row r="432" spans="1:7" ht="14.25" customHeight="1" x14ac:dyDescent="0.3">
      <c r="A432" s="2" t="s">
        <v>1031</v>
      </c>
      <c r="B432" s="2" t="s">
        <v>1770</v>
      </c>
      <c r="C432" s="12">
        <v>44731</v>
      </c>
      <c r="D432" s="2">
        <v>676</v>
      </c>
      <c r="E432" s="2">
        <v>670.08</v>
      </c>
      <c r="F432" s="2" t="s">
        <v>1769</v>
      </c>
      <c r="G432">
        <f>MROUND(Table_2[[#This Row],[Amount in Sales]],5)</f>
        <v>675</v>
      </c>
    </row>
    <row r="433" spans="1:7" ht="14.25" customHeight="1" x14ac:dyDescent="0.3">
      <c r="A433" s="2" t="s">
        <v>1033</v>
      </c>
      <c r="B433" s="2" t="s">
        <v>1772</v>
      </c>
      <c r="C433" s="12">
        <v>44725</v>
      </c>
      <c r="D433" s="2">
        <v>330</v>
      </c>
      <c r="E433" s="2">
        <v>191.41</v>
      </c>
      <c r="F433" s="2" t="s">
        <v>1771</v>
      </c>
      <c r="G433">
        <f>MROUND(Table_2[[#This Row],[Amount in Sales]],5)</f>
        <v>330</v>
      </c>
    </row>
    <row r="434" spans="1:7" ht="14.25" customHeight="1" x14ac:dyDescent="0.3">
      <c r="A434" s="2" t="s">
        <v>1035</v>
      </c>
      <c r="B434" s="2" t="s">
        <v>1773</v>
      </c>
      <c r="C434" s="12">
        <v>44753</v>
      </c>
      <c r="D434" s="2">
        <v>523</v>
      </c>
      <c r="E434" s="2">
        <v>105.13000000000001</v>
      </c>
      <c r="F434" s="2" t="s">
        <v>1765</v>
      </c>
      <c r="G434">
        <f>MROUND(Table_2[[#This Row],[Amount in Sales]],5)</f>
        <v>525</v>
      </c>
    </row>
    <row r="435" spans="1:7" ht="14.25" customHeight="1" x14ac:dyDescent="0.3">
      <c r="A435" s="2" t="s">
        <v>1037</v>
      </c>
      <c r="B435" s="2" t="s">
        <v>1764</v>
      </c>
      <c r="C435" s="12">
        <v>44738</v>
      </c>
      <c r="D435" s="2">
        <v>865</v>
      </c>
      <c r="E435" s="2">
        <v>75.77000000000001</v>
      </c>
      <c r="F435" s="2" t="s">
        <v>1767</v>
      </c>
      <c r="G435">
        <f>MROUND(Table_2[[#This Row],[Amount in Sales]],5)</f>
        <v>865</v>
      </c>
    </row>
    <row r="436" spans="1:7" ht="14.25" customHeight="1" x14ac:dyDescent="0.3">
      <c r="A436" s="2" t="s">
        <v>1039</v>
      </c>
      <c r="B436" s="2" t="s">
        <v>1766</v>
      </c>
      <c r="C436" s="12">
        <v>44762</v>
      </c>
      <c r="D436" s="2">
        <v>495</v>
      </c>
      <c r="E436" s="2">
        <v>456.40999999999997</v>
      </c>
      <c r="F436" s="2" t="s">
        <v>1769</v>
      </c>
      <c r="G436">
        <f>MROUND(Table_2[[#This Row],[Amount in Sales]],5)</f>
        <v>495</v>
      </c>
    </row>
    <row r="437" spans="1:7" ht="14.25" customHeight="1" x14ac:dyDescent="0.3">
      <c r="A437" s="2" t="s">
        <v>1041</v>
      </c>
      <c r="B437" s="2" t="s">
        <v>1768</v>
      </c>
      <c r="C437" s="12">
        <v>44756</v>
      </c>
      <c r="D437" s="2">
        <v>721</v>
      </c>
      <c r="E437" s="2">
        <v>293.07</v>
      </c>
      <c r="F437" s="2" t="s">
        <v>1771</v>
      </c>
      <c r="G437">
        <f>MROUND(Table_2[[#This Row],[Amount in Sales]],5)</f>
        <v>720</v>
      </c>
    </row>
    <row r="438" spans="1:7" ht="14.25" customHeight="1" x14ac:dyDescent="0.3">
      <c r="A438" s="2" t="s">
        <v>1043</v>
      </c>
      <c r="B438" s="2" t="s">
        <v>1770</v>
      </c>
      <c r="C438" s="12">
        <v>44744</v>
      </c>
      <c r="D438" s="2">
        <v>258</v>
      </c>
      <c r="E438" s="2">
        <v>117.45</v>
      </c>
      <c r="F438" s="2" t="s">
        <v>1765</v>
      </c>
      <c r="G438">
        <f>MROUND(Table_2[[#This Row],[Amount in Sales]],5)</f>
        <v>260</v>
      </c>
    </row>
    <row r="439" spans="1:7" ht="14.25" customHeight="1" x14ac:dyDescent="0.3">
      <c r="A439" s="2" t="s">
        <v>1045</v>
      </c>
      <c r="B439" s="2" t="s">
        <v>1764</v>
      </c>
      <c r="C439" s="12">
        <v>44753</v>
      </c>
      <c r="D439" s="2">
        <v>844</v>
      </c>
      <c r="E439" s="2">
        <v>384.15</v>
      </c>
      <c r="F439" s="2" t="s">
        <v>1767</v>
      </c>
      <c r="G439">
        <f>MROUND(Table_2[[#This Row],[Amount in Sales]],5)</f>
        <v>845</v>
      </c>
    </row>
    <row r="440" spans="1:7" ht="14.25" customHeight="1" x14ac:dyDescent="0.3">
      <c r="A440" s="2" t="s">
        <v>1047</v>
      </c>
      <c r="B440" s="2" t="s">
        <v>1766</v>
      </c>
      <c r="C440" s="12">
        <v>44762</v>
      </c>
      <c r="D440" s="2">
        <v>197</v>
      </c>
      <c r="E440" s="2">
        <v>59.35</v>
      </c>
      <c r="F440" s="2" t="s">
        <v>1769</v>
      </c>
      <c r="G440">
        <f>MROUND(Table_2[[#This Row],[Amount in Sales]],5)</f>
        <v>195</v>
      </c>
    </row>
    <row r="441" spans="1:7" ht="14.25" customHeight="1" x14ac:dyDescent="0.3">
      <c r="A441" s="2" t="s">
        <v>1049</v>
      </c>
      <c r="B441" s="2" t="s">
        <v>1768</v>
      </c>
      <c r="C441" s="12">
        <v>44740</v>
      </c>
      <c r="D441" s="2">
        <v>216</v>
      </c>
      <c r="E441" s="2">
        <v>49.44</v>
      </c>
      <c r="F441" s="2" t="s">
        <v>1771</v>
      </c>
      <c r="G441">
        <f>MROUND(Table_2[[#This Row],[Amount in Sales]],5)</f>
        <v>215</v>
      </c>
    </row>
    <row r="442" spans="1:7" ht="14.25" customHeight="1" x14ac:dyDescent="0.3">
      <c r="A442" s="2" t="s">
        <v>1051</v>
      </c>
      <c r="B442" s="2" t="s">
        <v>1770</v>
      </c>
      <c r="C442" s="12">
        <v>44729</v>
      </c>
      <c r="D442" s="2">
        <v>254</v>
      </c>
      <c r="E442" s="2">
        <v>124.10000000000001</v>
      </c>
      <c r="F442" s="2" t="s">
        <v>1765</v>
      </c>
      <c r="G442">
        <f>MROUND(Table_2[[#This Row],[Amount in Sales]],5)</f>
        <v>255</v>
      </c>
    </row>
    <row r="443" spans="1:7" ht="14.25" customHeight="1" x14ac:dyDescent="0.3">
      <c r="A443" s="2" t="s">
        <v>1053</v>
      </c>
      <c r="B443" s="2" t="s">
        <v>1772</v>
      </c>
      <c r="C443" s="12">
        <v>44727</v>
      </c>
      <c r="D443" s="2">
        <v>463</v>
      </c>
      <c r="E443" s="2">
        <v>408.84</v>
      </c>
      <c r="F443" s="2" t="s">
        <v>1767</v>
      </c>
      <c r="G443">
        <f>MROUND(Table_2[[#This Row],[Amount in Sales]],5)</f>
        <v>465</v>
      </c>
    </row>
    <row r="444" spans="1:7" ht="14.25" customHeight="1" x14ac:dyDescent="0.3">
      <c r="A444" s="2" t="s">
        <v>1055</v>
      </c>
      <c r="B444" s="2" t="s">
        <v>1764</v>
      </c>
      <c r="C444" s="12">
        <v>44734</v>
      </c>
      <c r="D444" s="2">
        <v>512</v>
      </c>
      <c r="E444" s="2">
        <v>157.20999999999998</v>
      </c>
      <c r="F444" s="2" t="s">
        <v>1769</v>
      </c>
      <c r="G444">
        <f>MROUND(Table_2[[#This Row],[Amount in Sales]],5)</f>
        <v>510</v>
      </c>
    </row>
    <row r="445" spans="1:7" ht="14.25" customHeight="1" x14ac:dyDescent="0.3">
      <c r="A445" s="2" t="s">
        <v>1057</v>
      </c>
      <c r="B445" s="2" t="s">
        <v>1766</v>
      </c>
      <c r="C445" s="12">
        <v>44744</v>
      </c>
      <c r="D445" s="2">
        <v>820</v>
      </c>
      <c r="E445" s="2">
        <v>702.79</v>
      </c>
      <c r="F445" s="2" t="s">
        <v>1771</v>
      </c>
      <c r="G445">
        <f>MROUND(Table_2[[#This Row],[Amount in Sales]],5)</f>
        <v>820</v>
      </c>
    </row>
    <row r="446" spans="1:7" ht="14.25" customHeight="1" x14ac:dyDescent="0.3">
      <c r="A446" s="2" t="s">
        <v>1059</v>
      </c>
      <c r="B446" s="2" t="s">
        <v>1768</v>
      </c>
      <c r="C446" s="12">
        <v>44737</v>
      </c>
      <c r="D446" s="2">
        <v>621</v>
      </c>
      <c r="E446" s="2">
        <v>181.09</v>
      </c>
      <c r="F446" s="2" t="s">
        <v>1765</v>
      </c>
      <c r="G446">
        <f>MROUND(Table_2[[#This Row],[Amount in Sales]],5)</f>
        <v>620</v>
      </c>
    </row>
    <row r="447" spans="1:7" ht="14.25" customHeight="1" x14ac:dyDescent="0.3">
      <c r="A447" s="2" t="s">
        <v>1061</v>
      </c>
      <c r="B447" s="2" t="s">
        <v>1770</v>
      </c>
      <c r="C447" s="12">
        <v>44752</v>
      </c>
      <c r="D447" s="2">
        <v>616</v>
      </c>
      <c r="E447" s="2">
        <v>159.51</v>
      </c>
      <c r="F447" s="2" t="s">
        <v>1767</v>
      </c>
      <c r="G447">
        <f>MROUND(Table_2[[#This Row],[Amount in Sales]],5)</f>
        <v>615</v>
      </c>
    </row>
    <row r="448" spans="1:7" ht="14.25" customHeight="1" x14ac:dyDescent="0.3">
      <c r="A448" s="2" t="s">
        <v>1063</v>
      </c>
      <c r="B448" s="2" t="s">
        <v>1764</v>
      </c>
      <c r="C448" s="12">
        <v>44736</v>
      </c>
      <c r="D448" s="2">
        <v>506</v>
      </c>
      <c r="E448" s="2">
        <v>149.48999999999998</v>
      </c>
      <c r="F448" s="2" t="s">
        <v>1769</v>
      </c>
      <c r="G448">
        <f>MROUND(Table_2[[#This Row],[Amount in Sales]],5)</f>
        <v>505</v>
      </c>
    </row>
    <row r="449" spans="1:7" ht="14.25" customHeight="1" x14ac:dyDescent="0.3">
      <c r="A449" s="2" t="s">
        <v>1065</v>
      </c>
      <c r="B449" s="2" t="s">
        <v>1766</v>
      </c>
      <c r="C449" s="12">
        <v>44752</v>
      </c>
      <c r="D449" s="2">
        <v>246</v>
      </c>
      <c r="E449" s="2">
        <v>18.260000000000002</v>
      </c>
      <c r="F449" s="2" t="s">
        <v>1771</v>
      </c>
      <c r="G449">
        <f>MROUND(Table_2[[#This Row],[Amount in Sales]],5)</f>
        <v>245</v>
      </c>
    </row>
    <row r="450" spans="1:7" ht="14.25" customHeight="1" x14ac:dyDescent="0.3">
      <c r="A450" s="2" t="s">
        <v>1067</v>
      </c>
      <c r="B450" s="2" t="s">
        <v>1768</v>
      </c>
      <c r="C450" s="12">
        <v>44759</v>
      </c>
      <c r="D450" s="2">
        <v>649</v>
      </c>
      <c r="E450" s="2">
        <v>25.360000000000003</v>
      </c>
      <c r="F450" s="2" t="s">
        <v>1765</v>
      </c>
      <c r="G450">
        <f>MROUND(Table_2[[#This Row],[Amount in Sales]],5)</f>
        <v>650</v>
      </c>
    </row>
    <row r="451" spans="1:7" ht="14.25" customHeight="1" x14ac:dyDescent="0.3">
      <c r="A451" s="2" t="s">
        <v>1069</v>
      </c>
      <c r="B451" s="2" t="s">
        <v>1770</v>
      </c>
      <c r="C451" s="12">
        <v>44763</v>
      </c>
      <c r="D451" s="2">
        <v>421</v>
      </c>
      <c r="E451" s="2">
        <v>321.94</v>
      </c>
      <c r="F451" s="2" t="s">
        <v>1767</v>
      </c>
      <c r="G451">
        <f>MROUND(Table_2[[#This Row],[Amount in Sales]],5)</f>
        <v>420</v>
      </c>
    </row>
    <row r="452" spans="1:7" ht="14.25" customHeight="1" x14ac:dyDescent="0.3">
      <c r="A452" s="2" t="s">
        <v>1071</v>
      </c>
      <c r="B452" s="2" t="s">
        <v>1772</v>
      </c>
      <c r="C452" s="12">
        <v>44763</v>
      </c>
      <c r="D452" s="2">
        <v>816</v>
      </c>
      <c r="E452" s="2">
        <v>610.91999999999996</v>
      </c>
      <c r="F452" s="2" t="s">
        <v>1769</v>
      </c>
      <c r="G452">
        <f>MROUND(Table_2[[#This Row],[Amount in Sales]],5)</f>
        <v>815</v>
      </c>
    </row>
    <row r="453" spans="1:7" ht="14.25" customHeight="1" x14ac:dyDescent="0.3">
      <c r="A453" s="2" t="s">
        <v>1073</v>
      </c>
      <c r="B453" s="2" t="s">
        <v>1773</v>
      </c>
      <c r="C453" s="12">
        <v>44750</v>
      </c>
      <c r="D453" s="2">
        <v>409</v>
      </c>
      <c r="E453" s="2">
        <v>283.45</v>
      </c>
      <c r="F453" s="2" t="s">
        <v>1771</v>
      </c>
      <c r="G453">
        <f>MROUND(Table_2[[#This Row],[Amount in Sales]],5)</f>
        <v>410</v>
      </c>
    </row>
    <row r="454" spans="1:7" ht="14.25" customHeight="1" x14ac:dyDescent="0.3">
      <c r="A454" s="2" t="s">
        <v>1075</v>
      </c>
      <c r="B454" s="2" t="s">
        <v>1764</v>
      </c>
      <c r="C454" s="12">
        <v>44751</v>
      </c>
      <c r="D454" s="2">
        <v>333</v>
      </c>
      <c r="E454" s="2">
        <v>176.29</v>
      </c>
      <c r="F454" s="2" t="s">
        <v>1765</v>
      </c>
      <c r="G454">
        <f>MROUND(Table_2[[#This Row],[Amount in Sales]],5)</f>
        <v>335</v>
      </c>
    </row>
    <row r="455" spans="1:7" ht="14.25" customHeight="1" x14ac:dyDescent="0.3">
      <c r="A455" s="2" t="s">
        <v>1077</v>
      </c>
      <c r="B455" s="2" t="s">
        <v>1766</v>
      </c>
      <c r="C455" s="12">
        <v>44736</v>
      </c>
      <c r="D455" s="2">
        <v>423</v>
      </c>
      <c r="E455" s="2">
        <v>137.10999999999999</v>
      </c>
      <c r="F455" s="2" t="s">
        <v>1767</v>
      </c>
      <c r="G455">
        <f>MROUND(Table_2[[#This Row],[Amount in Sales]],5)</f>
        <v>425</v>
      </c>
    </row>
    <row r="456" spans="1:7" ht="14.25" customHeight="1" x14ac:dyDescent="0.3">
      <c r="A456" s="2" t="s">
        <v>1079</v>
      </c>
      <c r="B456" s="2" t="s">
        <v>1768</v>
      </c>
      <c r="C456" s="12">
        <v>44737</v>
      </c>
      <c r="D456" s="2">
        <v>305</v>
      </c>
      <c r="E456" s="2">
        <v>109.52000000000001</v>
      </c>
      <c r="F456" s="2" t="s">
        <v>1769</v>
      </c>
      <c r="G456">
        <f>MROUND(Table_2[[#This Row],[Amount in Sales]],5)</f>
        <v>305</v>
      </c>
    </row>
    <row r="457" spans="1:7" ht="14.25" customHeight="1" x14ac:dyDescent="0.3">
      <c r="A457" s="2" t="s">
        <v>1081</v>
      </c>
      <c r="B457" s="2" t="s">
        <v>1770</v>
      </c>
      <c r="C457" s="12">
        <v>44744</v>
      </c>
      <c r="D457" s="2">
        <v>377</v>
      </c>
      <c r="E457" s="2">
        <v>248.48</v>
      </c>
      <c r="F457" s="2" t="s">
        <v>1771</v>
      </c>
      <c r="G457">
        <f>MROUND(Table_2[[#This Row],[Amount in Sales]],5)</f>
        <v>375</v>
      </c>
    </row>
    <row r="458" spans="1:7" ht="14.25" customHeight="1" x14ac:dyDescent="0.3">
      <c r="A458" s="2" t="s">
        <v>1083</v>
      </c>
      <c r="B458" s="2" t="s">
        <v>1764</v>
      </c>
      <c r="C458" s="12">
        <v>44735</v>
      </c>
      <c r="D458" s="2">
        <v>405</v>
      </c>
      <c r="E458" s="2">
        <v>208.10999999999999</v>
      </c>
      <c r="F458" s="2" t="s">
        <v>1765</v>
      </c>
      <c r="G458">
        <f>MROUND(Table_2[[#This Row],[Amount in Sales]],5)</f>
        <v>405</v>
      </c>
    </row>
    <row r="459" spans="1:7" ht="14.25" customHeight="1" x14ac:dyDescent="0.3">
      <c r="A459" s="2" t="s">
        <v>1085</v>
      </c>
      <c r="B459" s="2" t="s">
        <v>1766</v>
      </c>
      <c r="C459" s="12">
        <v>44751</v>
      </c>
      <c r="D459" s="2">
        <v>512</v>
      </c>
      <c r="E459" s="2">
        <v>392.53</v>
      </c>
      <c r="F459" s="2" t="s">
        <v>1767</v>
      </c>
      <c r="G459">
        <f>MROUND(Table_2[[#This Row],[Amount in Sales]],5)</f>
        <v>510</v>
      </c>
    </row>
    <row r="460" spans="1:7" ht="14.25" customHeight="1" x14ac:dyDescent="0.3">
      <c r="A460" s="2" t="s">
        <v>1087</v>
      </c>
      <c r="B460" s="2" t="s">
        <v>1768</v>
      </c>
      <c r="C460" s="12">
        <v>44726</v>
      </c>
      <c r="D460" s="2">
        <v>369</v>
      </c>
      <c r="E460" s="2">
        <v>271.33</v>
      </c>
      <c r="F460" s="2" t="s">
        <v>1769</v>
      </c>
      <c r="G460">
        <f>MROUND(Table_2[[#This Row],[Amount in Sales]],5)</f>
        <v>370</v>
      </c>
    </row>
    <row r="461" spans="1:7" ht="14.25" customHeight="1" x14ac:dyDescent="0.3">
      <c r="A461" s="2" t="s">
        <v>1089</v>
      </c>
      <c r="B461" s="2" t="s">
        <v>1770</v>
      </c>
      <c r="C461" s="12">
        <v>44749</v>
      </c>
      <c r="D461" s="2">
        <v>612</v>
      </c>
      <c r="E461" s="2">
        <v>272.76</v>
      </c>
      <c r="F461" s="2" t="s">
        <v>1771</v>
      </c>
      <c r="G461">
        <f>MROUND(Table_2[[#This Row],[Amount in Sales]],5)</f>
        <v>610</v>
      </c>
    </row>
    <row r="462" spans="1:7" ht="14.25" customHeight="1" x14ac:dyDescent="0.3">
      <c r="A462" s="2" t="s">
        <v>1091</v>
      </c>
      <c r="B462" s="2" t="s">
        <v>1764</v>
      </c>
      <c r="C462" s="12">
        <v>44734</v>
      </c>
      <c r="D462" s="2">
        <v>473</v>
      </c>
      <c r="E462" s="2">
        <v>380.73</v>
      </c>
      <c r="F462" s="2" t="s">
        <v>1765</v>
      </c>
      <c r="G462">
        <f>MROUND(Table_2[[#This Row],[Amount in Sales]],5)</f>
        <v>475</v>
      </c>
    </row>
    <row r="463" spans="1:7" ht="14.25" customHeight="1" x14ac:dyDescent="0.3">
      <c r="A463" s="2" t="s">
        <v>1093</v>
      </c>
      <c r="B463" s="2" t="s">
        <v>1766</v>
      </c>
      <c r="C463" s="12">
        <v>44726</v>
      </c>
      <c r="D463" s="2">
        <v>581</v>
      </c>
      <c r="E463" s="2">
        <v>367.5</v>
      </c>
      <c r="F463" s="2" t="s">
        <v>1767</v>
      </c>
      <c r="G463">
        <f>MROUND(Table_2[[#This Row],[Amount in Sales]],5)</f>
        <v>580</v>
      </c>
    </row>
    <row r="464" spans="1:7" ht="14.25" customHeight="1" x14ac:dyDescent="0.3">
      <c r="A464" s="2" t="s">
        <v>1095</v>
      </c>
      <c r="B464" s="2" t="s">
        <v>1768</v>
      </c>
      <c r="C464" s="12">
        <v>44743</v>
      </c>
      <c r="D464" s="2">
        <v>886</v>
      </c>
      <c r="E464" s="2">
        <v>479.96999999999997</v>
      </c>
      <c r="F464" s="2" t="s">
        <v>1769</v>
      </c>
      <c r="G464">
        <f>MROUND(Table_2[[#This Row],[Amount in Sales]],5)</f>
        <v>885</v>
      </c>
    </row>
    <row r="465" spans="1:7" ht="14.25" customHeight="1" x14ac:dyDescent="0.3">
      <c r="A465" s="2" t="s">
        <v>1097</v>
      </c>
      <c r="B465" s="2" t="s">
        <v>1770</v>
      </c>
      <c r="C465" s="12">
        <v>44742</v>
      </c>
      <c r="D465" s="2">
        <v>735</v>
      </c>
      <c r="E465" s="2">
        <v>378.15999999999997</v>
      </c>
      <c r="F465" s="2" t="s">
        <v>1771</v>
      </c>
      <c r="G465">
        <f>MROUND(Table_2[[#This Row],[Amount in Sales]],5)</f>
        <v>735</v>
      </c>
    </row>
    <row r="466" spans="1:7" ht="14.25" customHeight="1" x14ac:dyDescent="0.3">
      <c r="A466" s="2" t="s">
        <v>1099</v>
      </c>
      <c r="B466" s="2" t="s">
        <v>1764</v>
      </c>
      <c r="C466" s="12">
        <v>44747</v>
      </c>
      <c r="D466" s="2">
        <v>521</v>
      </c>
      <c r="E466" s="2">
        <v>123.76</v>
      </c>
      <c r="F466" s="2" t="s">
        <v>1765</v>
      </c>
      <c r="G466">
        <f>MROUND(Table_2[[#This Row],[Amount in Sales]],5)</f>
        <v>520</v>
      </c>
    </row>
    <row r="467" spans="1:7" ht="14.25" customHeight="1" x14ac:dyDescent="0.3">
      <c r="A467" s="2" t="s">
        <v>1101</v>
      </c>
      <c r="B467" s="2" t="s">
        <v>1766</v>
      </c>
      <c r="C467" s="12">
        <v>44764</v>
      </c>
      <c r="D467" s="2">
        <v>555</v>
      </c>
      <c r="E467" s="2">
        <v>550.12</v>
      </c>
      <c r="F467" s="2" t="s">
        <v>1767</v>
      </c>
      <c r="G467">
        <f>MROUND(Table_2[[#This Row],[Amount in Sales]],5)</f>
        <v>555</v>
      </c>
    </row>
    <row r="468" spans="1:7" ht="14.25" customHeight="1" x14ac:dyDescent="0.3">
      <c r="A468" s="2" t="s">
        <v>1103</v>
      </c>
      <c r="B468" s="2" t="s">
        <v>1768</v>
      </c>
      <c r="C468" s="12">
        <v>44735</v>
      </c>
      <c r="D468" s="2">
        <v>553</v>
      </c>
      <c r="E468" s="2">
        <v>330.18</v>
      </c>
      <c r="F468" s="2" t="s">
        <v>1769</v>
      </c>
      <c r="G468">
        <f>MROUND(Table_2[[#This Row],[Amount in Sales]],5)</f>
        <v>555</v>
      </c>
    </row>
    <row r="469" spans="1:7" ht="14.25" customHeight="1" x14ac:dyDescent="0.3">
      <c r="A469" s="2" t="s">
        <v>1105</v>
      </c>
      <c r="B469" s="2" t="s">
        <v>1770</v>
      </c>
      <c r="C469" s="12">
        <v>44737</v>
      </c>
      <c r="D469" s="2">
        <v>240</v>
      </c>
      <c r="E469" s="2">
        <v>113.14</v>
      </c>
      <c r="F469" s="2" t="s">
        <v>1771</v>
      </c>
      <c r="G469">
        <f>MROUND(Table_2[[#This Row],[Amount in Sales]],5)</f>
        <v>240</v>
      </c>
    </row>
    <row r="470" spans="1:7" ht="14.25" customHeight="1" x14ac:dyDescent="0.3">
      <c r="A470" s="2" t="s">
        <v>1107</v>
      </c>
      <c r="B470" s="2" t="s">
        <v>1772</v>
      </c>
      <c r="C470" s="12">
        <v>44749</v>
      </c>
      <c r="D470" s="2">
        <v>879</v>
      </c>
      <c r="E470" s="2">
        <v>361.99</v>
      </c>
      <c r="F470" s="2" t="s">
        <v>1765</v>
      </c>
      <c r="G470">
        <f>MROUND(Table_2[[#This Row],[Amount in Sales]],5)</f>
        <v>880</v>
      </c>
    </row>
    <row r="471" spans="1:7" ht="14.25" customHeight="1" x14ac:dyDescent="0.3">
      <c r="A471" s="2" t="s">
        <v>1109</v>
      </c>
      <c r="B471" s="2" t="s">
        <v>1764</v>
      </c>
      <c r="C471" s="12">
        <v>44729</v>
      </c>
      <c r="D471" s="2">
        <v>784</v>
      </c>
      <c r="E471" s="2">
        <v>56.46</v>
      </c>
      <c r="F471" s="2" t="s">
        <v>1767</v>
      </c>
      <c r="G471">
        <f>MROUND(Table_2[[#This Row],[Amount in Sales]],5)</f>
        <v>785</v>
      </c>
    </row>
    <row r="472" spans="1:7" ht="14.25" customHeight="1" x14ac:dyDescent="0.3">
      <c r="A472" s="2" t="s">
        <v>1111</v>
      </c>
      <c r="B472" s="2" t="s">
        <v>1766</v>
      </c>
      <c r="C472" s="12">
        <v>44738</v>
      </c>
      <c r="D472" s="2">
        <v>865</v>
      </c>
      <c r="E472" s="2">
        <v>245.88</v>
      </c>
      <c r="F472" s="2" t="s">
        <v>1769</v>
      </c>
      <c r="G472">
        <f>MROUND(Table_2[[#This Row],[Amount in Sales]],5)</f>
        <v>865</v>
      </c>
    </row>
    <row r="473" spans="1:7" ht="14.25" customHeight="1" x14ac:dyDescent="0.3">
      <c r="A473" s="2" t="s">
        <v>1113</v>
      </c>
      <c r="B473" s="2" t="s">
        <v>1768</v>
      </c>
      <c r="C473" s="12">
        <v>44740</v>
      </c>
      <c r="D473" s="2">
        <v>247</v>
      </c>
      <c r="E473" s="2">
        <v>127.14</v>
      </c>
      <c r="F473" s="2" t="s">
        <v>1771</v>
      </c>
      <c r="G473">
        <f>MROUND(Table_2[[#This Row],[Amount in Sales]],5)</f>
        <v>245</v>
      </c>
    </row>
    <row r="474" spans="1:7" ht="14.25" customHeight="1" x14ac:dyDescent="0.3">
      <c r="A474" s="2" t="s">
        <v>1115</v>
      </c>
      <c r="B474" s="2" t="s">
        <v>1770</v>
      </c>
      <c r="C474" s="12">
        <v>44755</v>
      </c>
      <c r="D474" s="2">
        <v>435</v>
      </c>
      <c r="E474" s="2">
        <v>366.96999999999997</v>
      </c>
      <c r="F474" s="2" t="s">
        <v>1765</v>
      </c>
      <c r="G474">
        <f>MROUND(Table_2[[#This Row],[Amount in Sales]],5)</f>
        <v>435</v>
      </c>
    </row>
    <row r="475" spans="1:7" ht="14.25" customHeight="1" x14ac:dyDescent="0.3">
      <c r="A475" s="2" t="s">
        <v>1117</v>
      </c>
      <c r="B475" s="2" t="s">
        <v>1764</v>
      </c>
      <c r="C475" s="12">
        <v>44755</v>
      </c>
      <c r="D475" s="2">
        <v>868</v>
      </c>
      <c r="E475" s="2">
        <v>689.29</v>
      </c>
      <c r="F475" s="2" t="s">
        <v>1767</v>
      </c>
      <c r="G475">
        <f>MROUND(Table_2[[#This Row],[Amount in Sales]],5)</f>
        <v>870</v>
      </c>
    </row>
    <row r="476" spans="1:7" ht="14.25" customHeight="1" x14ac:dyDescent="0.3">
      <c r="A476" s="2" t="s">
        <v>1119</v>
      </c>
      <c r="B476" s="2" t="s">
        <v>1766</v>
      </c>
      <c r="C476" s="12">
        <v>44764</v>
      </c>
      <c r="D476" s="2">
        <v>552</v>
      </c>
      <c r="E476" s="2">
        <v>241.47</v>
      </c>
      <c r="F476" s="2" t="s">
        <v>1769</v>
      </c>
      <c r="G476">
        <f>MROUND(Table_2[[#This Row],[Amount in Sales]],5)</f>
        <v>550</v>
      </c>
    </row>
    <row r="477" spans="1:7" ht="14.25" customHeight="1" x14ac:dyDescent="0.3">
      <c r="A477" s="2" t="s">
        <v>1121</v>
      </c>
      <c r="B477" s="2" t="s">
        <v>1768</v>
      </c>
      <c r="C477" s="12">
        <v>44735</v>
      </c>
      <c r="D477" s="2">
        <v>441</v>
      </c>
      <c r="E477" s="2">
        <v>275.25</v>
      </c>
      <c r="F477" s="2" t="s">
        <v>1771</v>
      </c>
      <c r="G477">
        <f>MROUND(Table_2[[#This Row],[Amount in Sales]],5)</f>
        <v>440</v>
      </c>
    </row>
    <row r="478" spans="1:7" ht="14.25" customHeight="1" x14ac:dyDescent="0.3">
      <c r="A478" s="2" t="s">
        <v>1123</v>
      </c>
      <c r="B478" s="2" t="s">
        <v>1770</v>
      </c>
      <c r="C478" s="12">
        <v>44734</v>
      </c>
      <c r="D478" s="2">
        <v>392</v>
      </c>
      <c r="E478" s="2">
        <v>347.57</v>
      </c>
      <c r="F478" s="2" t="s">
        <v>1765</v>
      </c>
      <c r="G478">
        <f>MROUND(Table_2[[#This Row],[Amount in Sales]],5)</f>
        <v>390</v>
      </c>
    </row>
    <row r="479" spans="1:7" ht="14.25" customHeight="1" x14ac:dyDescent="0.3">
      <c r="A479" s="2" t="s">
        <v>1125</v>
      </c>
      <c r="B479" s="2" t="s">
        <v>1772</v>
      </c>
      <c r="C479" s="12">
        <v>44728</v>
      </c>
      <c r="D479" s="2">
        <v>432</v>
      </c>
      <c r="E479" s="2">
        <v>79.320000000000007</v>
      </c>
      <c r="F479" s="2" t="s">
        <v>1767</v>
      </c>
      <c r="G479">
        <f>MROUND(Table_2[[#This Row],[Amount in Sales]],5)</f>
        <v>430</v>
      </c>
    </row>
    <row r="480" spans="1:7" ht="14.25" customHeight="1" x14ac:dyDescent="0.3">
      <c r="A480" s="2" t="s">
        <v>1127</v>
      </c>
      <c r="B480" s="2" t="s">
        <v>1773</v>
      </c>
      <c r="C480" s="12">
        <v>44739</v>
      </c>
      <c r="D480" s="2">
        <v>346</v>
      </c>
      <c r="E480" s="2">
        <v>55.04</v>
      </c>
      <c r="F480" s="2" t="s">
        <v>1769</v>
      </c>
      <c r="G480">
        <f>MROUND(Table_2[[#This Row],[Amount in Sales]],5)</f>
        <v>345</v>
      </c>
    </row>
    <row r="481" spans="1:7" ht="14.25" customHeight="1" x14ac:dyDescent="0.3">
      <c r="A481" s="2" t="s">
        <v>1129</v>
      </c>
      <c r="B481" s="2" t="s">
        <v>1764</v>
      </c>
      <c r="C481" s="12">
        <v>44765</v>
      </c>
      <c r="D481" s="2">
        <v>409</v>
      </c>
      <c r="E481" s="2">
        <v>120.52000000000001</v>
      </c>
      <c r="F481" s="2" t="s">
        <v>1771</v>
      </c>
      <c r="G481">
        <f>MROUND(Table_2[[#This Row],[Amount in Sales]],5)</f>
        <v>410</v>
      </c>
    </row>
    <row r="482" spans="1:7" ht="14.25" customHeight="1" x14ac:dyDescent="0.3">
      <c r="A482" s="2" t="s">
        <v>1131</v>
      </c>
      <c r="B482" s="2" t="s">
        <v>1766</v>
      </c>
      <c r="C482" s="12">
        <v>44740</v>
      </c>
      <c r="D482" s="2">
        <v>312</v>
      </c>
      <c r="E482" s="2">
        <v>110.5</v>
      </c>
      <c r="F482" s="2" t="s">
        <v>1765</v>
      </c>
      <c r="G482">
        <f>MROUND(Table_2[[#This Row],[Amount in Sales]],5)</f>
        <v>310</v>
      </c>
    </row>
    <row r="483" spans="1:7" ht="14.25" customHeight="1" x14ac:dyDescent="0.3">
      <c r="A483" s="2" t="s">
        <v>1133</v>
      </c>
      <c r="B483" s="2" t="s">
        <v>1768</v>
      </c>
      <c r="C483" s="12">
        <v>44734</v>
      </c>
      <c r="D483" s="2">
        <v>283</v>
      </c>
      <c r="E483" s="2">
        <v>114.52000000000001</v>
      </c>
      <c r="F483" s="2" t="s">
        <v>1767</v>
      </c>
      <c r="G483">
        <f>MROUND(Table_2[[#This Row],[Amount in Sales]],5)</f>
        <v>285</v>
      </c>
    </row>
    <row r="484" spans="1:7" ht="14.25" customHeight="1" x14ac:dyDescent="0.3">
      <c r="A484" s="2" t="s">
        <v>1135</v>
      </c>
      <c r="B484" s="2" t="s">
        <v>1770</v>
      </c>
      <c r="C484" s="12">
        <v>44727</v>
      </c>
      <c r="D484" s="2">
        <v>669</v>
      </c>
      <c r="E484" s="2">
        <v>380.19</v>
      </c>
      <c r="F484" s="2" t="s">
        <v>1769</v>
      </c>
      <c r="G484">
        <f>MROUND(Table_2[[#This Row],[Amount in Sales]],5)</f>
        <v>670</v>
      </c>
    </row>
    <row r="485" spans="1:7" ht="14.25" customHeight="1" x14ac:dyDescent="0.3">
      <c r="A485" s="2" t="s">
        <v>1137</v>
      </c>
      <c r="B485" s="2" t="s">
        <v>1764</v>
      </c>
      <c r="C485" s="12">
        <v>44737</v>
      </c>
      <c r="D485" s="2">
        <v>322</v>
      </c>
      <c r="E485" s="2">
        <v>220.29999999999998</v>
      </c>
      <c r="F485" s="2" t="s">
        <v>1771</v>
      </c>
      <c r="G485">
        <f>MROUND(Table_2[[#This Row],[Amount in Sales]],5)</f>
        <v>320</v>
      </c>
    </row>
    <row r="486" spans="1:7" ht="14.25" customHeight="1" x14ac:dyDescent="0.3">
      <c r="A486" s="2" t="s">
        <v>1139</v>
      </c>
      <c r="B486" s="2" t="s">
        <v>1766</v>
      </c>
      <c r="C486" s="12">
        <v>44747</v>
      </c>
      <c r="D486" s="2">
        <v>717</v>
      </c>
      <c r="E486" s="2">
        <v>343.45</v>
      </c>
      <c r="F486" s="2" t="s">
        <v>1765</v>
      </c>
      <c r="G486">
        <f>MROUND(Table_2[[#This Row],[Amount in Sales]],5)</f>
        <v>715</v>
      </c>
    </row>
    <row r="487" spans="1:7" ht="14.25" customHeight="1" x14ac:dyDescent="0.3">
      <c r="A487" s="2" t="s">
        <v>1141</v>
      </c>
      <c r="B487" s="2" t="s">
        <v>1768</v>
      </c>
      <c r="C487" s="12">
        <v>44754</v>
      </c>
      <c r="D487" s="2">
        <v>239</v>
      </c>
      <c r="E487" s="2">
        <v>212.82</v>
      </c>
      <c r="F487" s="2" t="s">
        <v>1767</v>
      </c>
      <c r="G487">
        <f>MROUND(Table_2[[#This Row],[Amount in Sales]],5)</f>
        <v>240</v>
      </c>
    </row>
    <row r="488" spans="1:7" ht="14.25" customHeight="1" x14ac:dyDescent="0.3">
      <c r="A488" s="2" t="s">
        <v>1143</v>
      </c>
      <c r="B488" s="2" t="s">
        <v>1770</v>
      </c>
      <c r="C488" s="12">
        <v>44760</v>
      </c>
      <c r="D488" s="2">
        <v>508</v>
      </c>
      <c r="E488" s="2">
        <v>258.83</v>
      </c>
      <c r="F488" s="2" t="s">
        <v>1769</v>
      </c>
      <c r="G488">
        <f>MROUND(Table_2[[#This Row],[Amount in Sales]],5)</f>
        <v>510</v>
      </c>
    </row>
    <row r="489" spans="1:7" ht="14.25" customHeight="1" x14ac:dyDescent="0.3">
      <c r="A489" s="2" t="s">
        <v>1145</v>
      </c>
      <c r="B489" s="2" t="s">
        <v>1772</v>
      </c>
      <c r="C489" s="12">
        <v>44759</v>
      </c>
      <c r="D489" s="2">
        <v>806</v>
      </c>
      <c r="E489" s="2">
        <v>631.6</v>
      </c>
      <c r="F489" s="2" t="s">
        <v>1771</v>
      </c>
      <c r="G489">
        <f>MROUND(Table_2[[#This Row],[Amount in Sales]],5)</f>
        <v>805</v>
      </c>
    </row>
    <row r="490" spans="1:7" ht="14.25" customHeight="1" x14ac:dyDescent="0.3">
      <c r="A490" s="2" t="s">
        <v>1147</v>
      </c>
      <c r="B490" s="2" t="s">
        <v>1764</v>
      </c>
      <c r="C490" s="12">
        <v>44735</v>
      </c>
      <c r="D490" s="2">
        <v>216</v>
      </c>
      <c r="E490" s="2">
        <v>14.25</v>
      </c>
      <c r="F490" s="2" t="s">
        <v>1765</v>
      </c>
      <c r="G490">
        <f>MROUND(Table_2[[#This Row],[Amount in Sales]],5)</f>
        <v>215</v>
      </c>
    </row>
    <row r="491" spans="1:7" ht="14.25" customHeight="1" x14ac:dyDescent="0.3">
      <c r="A491" s="2" t="s">
        <v>1149</v>
      </c>
      <c r="B491" s="2" t="s">
        <v>1766</v>
      </c>
      <c r="C491" s="12">
        <v>44734</v>
      </c>
      <c r="D491" s="2">
        <v>728</v>
      </c>
      <c r="E491" s="2">
        <v>130.01</v>
      </c>
      <c r="F491" s="2" t="s">
        <v>1767</v>
      </c>
      <c r="G491">
        <f>MROUND(Table_2[[#This Row],[Amount in Sales]],5)</f>
        <v>730</v>
      </c>
    </row>
    <row r="492" spans="1:7" ht="14.25" customHeight="1" x14ac:dyDescent="0.3">
      <c r="A492" s="2" t="s">
        <v>1151</v>
      </c>
      <c r="B492" s="2" t="s">
        <v>1768</v>
      </c>
      <c r="C492" s="12">
        <v>44753</v>
      </c>
      <c r="D492" s="2">
        <v>278</v>
      </c>
      <c r="E492" s="2">
        <v>121.18</v>
      </c>
      <c r="F492" s="2" t="s">
        <v>1769</v>
      </c>
      <c r="G492">
        <f>MROUND(Table_2[[#This Row],[Amount in Sales]],5)</f>
        <v>280</v>
      </c>
    </row>
    <row r="493" spans="1:7" ht="14.25" customHeight="1" x14ac:dyDescent="0.3">
      <c r="A493" s="2" t="s">
        <v>1153</v>
      </c>
      <c r="B493" s="2" t="s">
        <v>1770</v>
      </c>
      <c r="C493" s="12">
        <v>44739</v>
      </c>
      <c r="D493" s="2">
        <v>666</v>
      </c>
      <c r="E493" s="2">
        <v>493.11</v>
      </c>
      <c r="F493" s="2" t="s">
        <v>1771</v>
      </c>
      <c r="G493">
        <f>MROUND(Table_2[[#This Row],[Amount in Sales]],5)</f>
        <v>665</v>
      </c>
    </row>
    <row r="494" spans="1:7" ht="14.25" customHeight="1" x14ac:dyDescent="0.3">
      <c r="A494" s="2" t="s">
        <v>1155</v>
      </c>
      <c r="B494" s="2" t="s">
        <v>1764</v>
      </c>
      <c r="C494" s="12">
        <v>44740</v>
      </c>
      <c r="D494" s="2">
        <v>880</v>
      </c>
      <c r="E494" s="2">
        <v>476.17</v>
      </c>
      <c r="F494" s="2" t="s">
        <v>1765</v>
      </c>
      <c r="G494">
        <f>MROUND(Table_2[[#This Row],[Amount in Sales]],5)</f>
        <v>880</v>
      </c>
    </row>
    <row r="495" spans="1:7" ht="14.25" customHeight="1" x14ac:dyDescent="0.3">
      <c r="A495" s="2" t="s">
        <v>1157</v>
      </c>
      <c r="B495" s="2" t="s">
        <v>1766</v>
      </c>
      <c r="C495" s="12">
        <v>44748</v>
      </c>
      <c r="D495" s="2">
        <v>441</v>
      </c>
      <c r="E495" s="2">
        <v>314.31</v>
      </c>
      <c r="F495" s="2" t="s">
        <v>1767</v>
      </c>
      <c r="G495">
        <f>MROUND(Table_2[[#This Row],[Amount in Sales]],5)</f>
        <v>440</v>
      </c>
    </row>
    <row r="496" spans="1:7" ht="14.25" customHeight="1" x14ac:dyDescent="0.3">
      <c r="A496" s="2" t="s">
        <v>1159</v>
      </c>
      <c r="B496" s="2" t="s">
        <v>1768</v>
      </c>
      <c r="C496" s="12">
        <v>44731</v>
      </c>
      <c r="D496" s="2">
        <v>798</v>
      </c>
      <c r="E496" s="2">
        <v>528.66999999999996</v>
      </c>
      <c r="F496" s="2" t="s">
        <v>1769</v>
      </c>
      <c r="G496">
        <f>MROUND(Table_2[[#This Row],[Amount in Sales]],5)</f>
        <v>800</v>
      </c>
    </row>
    <row r="497" spans="1:7" ht="14.25" customHeight="1" x14ac:dyDescent="0.3">
      <c r="A497" s="2" t="s">
        <v>1161</v>
      </c>
      <c r="B497" s="2" t="s">
        <v>1770</v>
      </c>
      <c r="C497" s="12">
        <v>44763</v>
      </c>
      <c r="D497" s="2">
        <v>391</v>
      </c>
      <c r="E497" s="2">
        <v>200.59</v>
      </c>
      <c r="F497" s="2" t="s">
        <v>1771</v>
      </c>
      <c r="G497">
        <f>MROUND(Table_2[[#This Row],[Amount in Sales]],5)</f>
        <v>390</v>
      </c>
    </row>
    <row r="498" spans="1:7" ht="14.25" customHeight="1" x14ac:dyDescent="0.3">
      <c r="A498" s="2" t="s">
        <v>1163</v>
      </c>
      <c r="B498" s="2" t="s">
        <v>1772</v>
      </c>
      <c r="C498" s="12">
        <v>44733</v>
      </c>
      <c r="D498" s="2">
        <v>242</v>
      </c>
      <c r="E498" s="2">
        <v>205.59</v>
      </c>
      <c r="F498" s="2" t="s">
        <v>1765</v>
      </c>
      <c r="G498">
        <f>MROUND(Table_2[[#This Row],[Amount in Sales]],5)</f>
        <v>240</v>
      </c>
    </row>
    <row r="499" spans="1:7" ht="14.25" customHeight="1" x14ac:dyDescent="0.3">
      <c r="A499" s="2" t="s">
        <v>1165</v>
      </c>
      <c r="B499" s="2" t="s">
        <v>1773</v>
      </c>
      <c r="C499" s="12">
        <v>44746</v>
      </c>
      <c r="D499" s="2">
        <v>783</v>
      </c>
      <c r="E499" s="2">
        <v>452.46999999999997</v>
      </c>
      <c r="F499" s="2" t="s">
        <v>1767</v>
      </c>
      <c r="G499">
        <f>MROUND(Table_2[[#This Row],[Amount in Sales]],5)</f>
        <v>785</v>
      </c>
    </row>
    <row r="500" spans="1:7" ht="14.25" customHeight="1" x14ac:dyDescent="0.3">
      <c r="A500" s="2" t="s">
        <v>1167</v>
      </c>
      <c r="B500" s="2" t="s">
        <v>1764</v>
      </c>
      <c r="C500" s="12">
        <v>44755</v>
      </c>
      <c r="D500" s="2">
        <v>893</v>
      </c>
      <c r="E500" s="2">
        <v>17</v>
      </c>
      <c r="F500" s="2" t="s">
        <v>1769</v>
      </c>
      <c r="G500">
        <f>MROUND(Table_2[[#This Row],[Amount in Sales]],5)</f>
        <v>895</v>
      </c>
    </row>
    <row r="501" spans="1:7" ht="14.25" customHeight="1" x14ac:dyDescent="0.3">
      <c r="A501" s="2" t="s">
        <v>1169</v>
      </c>
      <c r="B501" s="2" t="s">
        <v>1766</v>
      </c>
      <c r="C501" s="12">
        <v>44787</v>
      </c>
      <c r="D501" s="2">
        <v>631</v>
      </c>
      <c r="E501" s="2">
        <v>597.52</v>
      </c>
      <c r="F501" s="2" t="s">
        <v>1771</v>
      </c>
      <c r="G501">
        <f>MROUND(Table_2[[#This Row],[Amount in Sales]],5)</f>
        <v>630</v>
      </c>
    </row>
    <row r="502" spans="1:7" ht="14.25" customHeight="1" x14ac:dyDescent="0.3">
      <c r="A502" s="2" t="s">
        <v>1171</v>
      </c>
      <c r="B502" s="2" t="s">
        <v>1768</v>
      </c>
      <c r="C502" s="12">
        <v>44799</v>
      </c>
      <c r="D502" s="2">
        <v>721</v>
      </c>
      <c r="E502" s="2">
        <v>452.75</v>
      </c>
      <c r="F502" s="2" t="s">
        <v>1765</v>
      </c>
      <c r="G502">
        <f>MROUND(Table_2[[#This Row],[Amount in Sales]],5)</f>
        <v>720</v>
      </c>
    </row>
    <row r="503" spans="1:7" ht="14.25" customHeight="1" x14ac:dyDescent="0.3">
      <c r="A503" s="2" t="s">
        <v>1173</v>
      </c>
      <c r="B503" s="2" t="s">
        <v>1770</v>
      </c>
      <c r="C503" s="12">
        <v>44802</v>
      </c>
      <c r="D503" s="2">
        <v>383</v>
      </c>
      <c r="E503" s="2">
        <v>352.19</v>
      </c>
      <c r="F503" s="2" t="s">
        <v>1767</v>
      </c>
      <c r="G503">
        <f>MROUND(Table_2[[#This Row],[Amount in Sales]],5)</f>
        <v>385</v>
      </c>
    </row>
    <row r="504" spans="1:7" ht="14.25" customHeight="1" x14ac:dyDescent="0.3">
      <c r="A504" s="2" t="s">
        <v>1175</v>
      </c>
      <c r="B504" s="2" t="s">
        <v>1764</v>
      </c>
      <c r="C504" s="12">
        <v>44774</v>
      </c>
      <c r="D504" s="2">
        <v>692</v>
      </c>
      <c r="E504" s="2">
        <v>244.64</v>
      </c>
      <c r="F504" s="2" t="s">
        <v>1769</v>
      </c>
      <c r="G504">
        <f>MROUND(Table_2[[#This Row],[Amount in Sales]],5)</f>
        <v>690</v>
      </c>
    </row>
    <row r="505" spans="1:7" ht="14.25" customHeight="1" x14ac:dyDescent="0.3">
      <c r="A505" s="2" t="s">
        <v>1177</v>
      </c>
      <c r="B505" s="2" t="s">
        <v>1766</v>
      </c>
      <c r="C505" s="12">
        <v>44800</v>
      </c>
      <c r="D505" s="2">
        <v>588</v>
      </c>
      <c r="E505" s="2">
        <v>295.56</v>
      </c>
      <c r="F505" s="2" t="s">
        <v>1771</v>
      </c>
      <c r="G505">
        <f>MROUND(Table_2[[#This Row],[Amount in Sales]],5)</f>
        <v>590</v>
      </c>
    </row>
    <row r="506" spans="1:7" ht="14.25" customHeight="1" x14ac:dyDescent="0.3">
      <c r="A506" s="2" t="s">
        <v>1179</v>
      </c>
      <c r="B506" s="2" t="s">
        <v>1768</v>
      </c>
      <c r="C506" s="12">
        <v>44797</v>
      </c>
      <c r="D506" s="2">
        <v>329</v>
      </c>
      <c r="E506" s="2">
        <v>289.33999999999997</v>
      </c>
      <c r="F506" s="2" t="s">
        <v>1765</v>
      </c>
      <c r="G506">
        <f>MROUND(Table_2[[#This Row],[Amount in Sales]],5)</f>
        <v>330</v>
      </c>
    </row>
    <row r="507" spans="1:7" ht="14.25" customHeight="1" x14ac:dyDescent="0.3">
      <c r="A507" s="2" t="s">
        <v>1181</v>
      </c>
      <c r="B507" s="2" t="s">
        <v>1770</v>
      </c>
      <c r="C507" s="12">
        <v>44766</v>
      </c>
      <c r="D507" s="2">
        <v>386</v>
      </c>
      <c r="E507" s="2">
        <v>139.75</v>
      </c>
      <c r="F507" s="2" t="s">
        <v>1767</v>
      </c>
      <c r="G507">
        <f>MROUND(Table_2[[#This Row],[Amount in Sales]],5)</f>
        <v>385</v>
      </c>
    </row>
    <row r="508" spans="1:7" ht="14.25" customHeight="1" x14ac:dyDescent="0.3">
      <c r="A508" s="2" t="s">
        <v>1183</v>
      </c>
      <c r="B508" s="2" t="s">
        <v>1764</v>
      </c>
      <c r="C508" s="12">
        <v>44782</v>
      </c>
      <c r="D508" s="2">
        <v>513</v>
      </c>
      <c r="E508" s="2">
        <v>101.16000000000001</v>
      </c>
      <c r="F508" s="2" t="s">
        <v>1769</v>
      </c>
      <c r="G508">
        <f>MROUND(Table_2[[#This Row],[Amount in Sales]],5)</f>
        <v>515</v>
      </c>
    </row>
    <row r="509" spans="1:7" ht="14.25" customHeight="1" x14ac:dyDescent="0.3">
      <c r="A509" s="2" t="s">
        <v>1185</v>
      </c>
      <c r="B509" s="2" t="s">
        <v>1766</v>
      </c>
      <c r="C509" s="12">
        <v>44790</v>
      </c>
      <c r="D509" s="2">
        <v>727</v>
      </c>
      <c r="E509" s="2">
        <v>321.96999999999997</v>
      </c>
      <c r="F509" s="2" t="s">
        <v>1771</v>
      </c>
      <c r="G509">
        <f>MROUND(Table_2[[#This Row],[Amount in Sales]],5)</f>
        <v>725</v>
      </c>
    </row>
    <row r="510" spans="1:7" ht="14.25" customHeight="1" x14ac:dyDescent="0.3">
      <c r="A510" s="2" t="s">
        <v>1187</v>
      </c>
      <c r="B510" s="2" t="s">
        <v>1768</v>
      </c>
      <c r="C510" s="12">
        <v>44770</v>
      </c>
      <c r="D510" s="2">
        <v>898</v>
      </c>
      <c r="E510" s="2">
        <v>694.53</v>
      </c>
      <c r="F510" s="2" t="s">
        <v>1765</v>
      </c>
      <c r="G510">
        <f>MROUND(Table_2[[#This Row],[Amount in Sales]],5)</f>
        <v>900</v>
      </c>
    </row>
    <row r="511" spans="1:7" ht="14.25" customHeight="1" x14ac:dyDescent="0.3">
      <c r="A511" s="2" t="s">
        <v>1189</v>
      </c>
      <c r="B511" s="2" t="s">
        <v>1770</v>
      </c>
      <c r="C511" s="12">
        <v>44759</v>
      </c>
      <c r="D511" s="2">
        <v>596</v>
      </c>
      <c r="E511" s="2">
        <v>286.2</v>
      </c>
      <c r="F511" s="2" t="s">
        <v>1767</v>
      </c>
      <c r="G511">
        <f>MROUND(Table_2[[#This Row],[Amount in Sales]],5)</f>
        <v>595</v>
      </c>
    </row>
    <row r="512" spans="1:7" ht="14.25" customHeight="1" x14ac:dyDescent="0.3">
      <c r="A512" s="2" t="s">
        <v>1191</v>
      </c>
      <c r="B512" s="2" t="s">
        <v>1764</v>
      </c>
      <c r="C512" s="12">
        <v>44776</v>
      </c>
      <c r="D512" s="2">
        <v>866</v>
      </c>
      <c r="E512" s="2">
        <v>504.92</v>
      </c>
      <c r="F512" s="2" t="s">
        <v>1769</v>
      </c>
      <c r="G512">
        <f>MROUND(Table_2[[#This Row],[Amount in Sales]],5)</f>
        <v>865</v>
      </c>
    </row>
    <row r="513" spans="1:7" ht="14.25" customHeight="1" x14ac:dyDescent="0.3">
      <c r="A513" s="2" t="s">
        <v>1193</v>
      </c>
      <c r="B513" s="2" t="s">
        <v>1766</v>
      </c>
      <c r="C513" s="12">
        <v>44757</v>
      </c>
      <c r="D513" s="2">
        <v>822</v>
      </c>
      <c r="E513" s="2">
        <v>114.22</v>
      </c>
      <c r="F513" s="2" t="s">
        <v>1771</v>
      </c>
      <c r="G513">
        <f>MROUND(Table_2[[#This Row],[Amount in Sales]],5)</f>
        <v>820</v>
      </c>
    </row>
    <row r="514" spans="1:7" ht="14.25" customHeight="1" x14ac:dyDescent="0.3">
      <c r="A514" s="2" t="s">
        <v>1195</v>
      </c>
      <c r="B514" s="2" t="s">
        <v>1768</v>
      </c>
      <c r="C514" s="12">
        <v>44771</v>
      </c>
      <c r="D514" s="2">
        <v>541</v>
      </c>
      <c r="E514" s="2">
        <v>278.33999999999997</v>
      </c>
      <c r="F514" s="2" t="s">
        <v>1765</v>
      </c>
      <c r="G514">
        <f>MROUND(Table_2[[#This Row],[Amount in Sales]],5)</f>
        <v>540</v>
      </c>
    </row>
    <row r="515" spans="1:7" ht="14.25" customHeight="1" x14ac:dyDescent="0.3">
      <c r="A515" s="2" t="s">
        <v>1197</v>
      </c>
      <c r="B515" s="2" t="s">
        <v>1770</v>
      </c>
      <c r="C515" s="12">
        <v>44788</v>
      </c>
      <c r="D515" s="2">
        <v>271</v>
      </c>
      <c r="E515" s="2">
        <v>148.35</v>
      </c>
      <c r="F515" s="2" t="s">
        <v>1767</v>
      </c>
      <c r="G515">
        <f>MROUND(Table_2[[#This Row],[Amount in Sales]],5)</f>
        <v>270</v>
      </c>
    </row>
    <row r="516" spans="1:7" ht="14.25" customHeight="1" x14ac:dyDescent="0.3">
      <c r="A516" s="2" t="s">
        <v>1199</v>
      </c>
      <c r="B516" s="2" t="s">
        <v>1772</v>
      </c>
      <c r="C516" s="12">
        <v>44762</v>
      </c>
      <c r="D516" s="2">
        <v>513</v>
      </c>
      <c r="E516" s="2">
        <v>497.36</v>
      </c>
      <c r="F516" s="2" t="s">
        <v>1769</v>
      </c>
      <c r="G516">
        <f>MROUND(Table_2[[#This Row],[Amount in Sales]],5)</f>
        <v>515</v>
      </c>
    </row>
    <row r="517" spans="1:7" ht="14.25" customHeight="1" x14ac:dyDescent="0.3">
      <c r="A517" s="2" t="s">
        <v>1201</v>
      </c>
      <c r="B517" s="2" t="s">
        <v>1764</v>
      </c>
      <c r="C517" s="12">
        <v>44789</v>
      </c>
      <c r="D517" s="2">
        <v>812</v>
      </c>
      <c r="E517" s="2">
        <v>89.26</v>
      </c>
      <c r="F517" s="2" t="s">
        <v>1771</v>
      </c>
      <c r="G517">
        <f>MROUND(Table_2[[#This Row],[Amount in Sales]],5)</f>
        <v>810</v>
      </c>
    </row>
    <row r="518" spans="1:7" ht="14.25" customHeight="1" x14ac:dyDescent="0.3">
      <c r="A518" s="2" t="s">
        <v>1203</v>
      </c>
      <c r="B518" s="2" t="s">
        <v>1766</v>
      </c>
      <c r="C518" s="12">
        <v>44761</v>
      </c>
      <c r="D518" s="2">
        <v>896</v>
      </c>
      <c r="E518" s="2">
        <v>562.04999999999995</v>
      </c>
      <c r="F518" s="2" t="s">
        <v>1765</v>
      </c>
      <c r="G518">
        <f>MROUND(Table_2[[#This Row],[Amount in Sales]],5)</f>
        <v>895</v>
      </c>
    </row>
    <row r="519" spans="1:7" ht="14.25" customHeight="1" x14ac:dyDescent="0.3">
      <c r="A519" s="2" t="s">
        <v>1205</v>
      </c>
      <c r="B519" s="2" t="s">
        <v>1768</v>
      </c>
      <c r="C519" s="12">
        <v>44790</v>
      </c>
      <c r="D519" s="2">
        <v>752</v>
      </c>
      <c r="E519" s="2">
        <v>252.09</v>
      </c>
      <c r="F519" s="2" t="s">
        <v>1767</v>
      </c>
      <c r="G519">
        <f>MROUND(Table_2[[#This Row],[Amount in Sales]],5)</f>
        <v>750</v>
      </c>
    </row>
    <row r="520" spans="1:7" ht="14.25" customHeight="1" x14ac:dyDescent="0.3">
      <c r="A520" s="2" t="s">
        <v>1207</v>
      </c>
      <c r="B520" s="2" t="s">
        <v>1770</v>
      </c>
      <c r="C520" s="12">
        <v>44782</v>
      </c>
      <c r="D520" s="2">
        <v>266</v>
      </c>
      <c r="E520" s="2">
        <v>194.73999999999998</v>
      </c>
      <c r="F520" s="2" t="s">
        <v>1769</v>
      </c>
      <c r="G520">
        <f>MROUND(Table_2[[#This Row],[Amount in Sales]],5)</f>
        <v>265</v>
      </c>
    </row>
    <row r="521" spans="1:7" ht="14.25" customHeight="1" x14ac:dyDescent="0.3">
      <c r="A521" s="2" t="s">
        <v>1209</v>
      </c>
      <c r="B521" s="2" t="s">
        <v>1764</v>
      </c>
      <c r="C521" s="12">
        <v>44802</v>
      </c>
      <c r="D521" s="2">
        <v>208</v>
      </c>
      <c r="E521" s="2">
        <v>123.37</v>
      </c>
      <c r="F521" s="2" t="s">
        <v>1771</v>
      </c>
      <c r="G521">
        <f>MROUND(Table_2[[#This Row],[Amount in Sales]],5)</f>
        <v>210</v>
      </c>
    </row>
    <row r="522" spans="1:7" ht="14.25" customHeight="1" x14ac:dyDescent="0.3">
      <c r="A522" s="2" t="s">
        <v>1211</v>
      </c>
      <c r="B522" s="2" t="s">
        <v>1766</v>
      </c>
      <c r="C522" s="12">
        <v>44791</v>
      </c>
      <c r="D522" s="2">
        <v>238</v>
      </c>
      <c r="E522" s="2">
        <v>0.48</v>
      </c>
      <c r="F522" s="2" t="s">
        <v>1765</v>
      </c>
      <c r="G522">
        <f>MROUND(Table_2[[#This Row],[Amount in Sales]],5)</f>
        <v>240</v>
      </c>
    </row>
    <row r="523" spans="1:7" ht="14.25" customHeight="1" x14ac:dyDescent="0.3">
      <c r="A523" s="2" t="s">
        <v>1213</v>
      </c>
      <c r="B523" s="2" t="s">
        <v>1768</v>
      </c>
      <c r="C523" s="12">
        <v>44795</v>
      </c>
      <c r="D523" s="2">
        <v>384</v>
      </c>
      <c r="E523" s="2">
        <v>211.32999999999998</v>
      </c>
      <c r="F523" s="2" t="s">
        <v>1767</v>
      </c>
      <c r="G523">
        <f>MROUND(Table_2[[#This Row],[Amount in Sales]],5)</f>
        <v>385</v>
      </c>
    </row>
    <row r="524" spans="1:7" ht="14.25" customHeight="1" x14ac:dyDescent="0.3">
      <c r="A524" s="2" t="s">
        <v>1215</v>
      </c>
      <c r="B524" s="2" t="s">
        <v>1770</v>
      </c>
      <c r="C524" s="12">
        <v>44759</v>
      </c>
      <c r="D524" s="2">
        <v>420</v>
      </c>
      <c r="E524" s="2">
        <v>406.59999999999997</v>
      </c>
      <c r="F524" s="2" t="s">
        <v>1769</v>
      </c>
      <c r="G524">
        <f>MROUND(Table_2[[#This Row],[Amount in Sales]],5)</f>
        <v>420</v>
      </c>
    </row>
    <row r="525" spans="1:7" ht="14.25" customHeight="1" x14ac:dyDescent="0.3">
      <c r="A525" s="2" t="s">
        <v>1217</v>
      </c>
      <c r="B525" s="2" t="s">
        <v>1772</v>
      </c>
      <c r="C525" s="12">
        <v>44756</v>
      </c>
      <c r="D525" s="2">
        <v>772</v>
      </c>
      <c r="E525" s="2">
        <v>620.05999999999995</v>
      </c>
      <c r="F525" s="2" t="s">
        <v>1771</v>
      </c>
      <c r="G525">
        <f>MROUND(Table_2[[#This Row],[Amount in Sales]],5)</f>
        <v>770</v>
      </c>
    </row>
    <row r="526" spans="1:7" ht="14.25" customHeight="1" x14ac:dyDescent="0.3">
      <c r="A526" s="2" t="s">
        <v>1219</v>
      </c>
      <c r="B526" s="2" t="s">
        <v>1773</v>
      </c>
      <c r="C526" s="12">
        <v>44786</v>
      </c>
      <c r="D526" s="2">
        <v>755</v>
      </c>
      <c r="E526" s="2">
        <v>262.08999999999997</v>
      </c>
      <c r="F526" s="2" t="s">
        <v>1765</v>
      </c>
      <c r="G526">
        <f>MROUND(Table_2[[#This Row],[Amount in Sales]],5)</f>
        <v>755</v>
      </c>
    </row>
    <row r="527" spans="1:7" ht="14.25" customHeight="1" x14ac:dyDescent="0.3">
      <c r="A527" s="2" t="s">
        <v>1221</v>
      </c>
      <c r="B527" s="2" t="s">
        <v>1764</v>
      </c>
      <c r="C527" s="12">
        <v>44757</v>
      </c>
      <c r="D527" s="2">
        <v>675</v>
      </c>
      <c r="E527" s="2">
        <v>86.23</v>
      </c>
      <c r="F527" s="2" t="s">
        <v>1767</v>
      </c>
      <c r="G527">
        <f>MROUND(Table_2[[#This Row],[Amount in Sales]],5)</f>
        <v>675</v>
      </c>
    </row>
    <row r="528" spans="1:7" ht="14.25" customHeight="1" x14ac:dyDescent="0.3">
      <c r="A528" s="2" t="s">
        <v>1223</v>
      </c>
      <c r="B528" s="2" t="s">
        <v>1766</v>
      </c>
      <c r="C528" s="12">
        <v>44787</v>
      </c>
      <c r="D528" s="2">
        <v>411</v>
      </c>
      <c r="E528" s="2">
        <v>382.96</v>
      </c>
      <c r="F528" s="2" t="s">
        <v>1769</v>
      </c>
      <c r="G528">
        <f>MROUND(Table_2[[#This Row],[Amount in Sales]],5)</f>
        <v>410</v>
      </c>
    </row>
    <row r="529" spans="1:7" ht="14.25" customHeight="1" x14ac:dyDescent="0.3">
      <c r="A529" s="2" t="s">
        <v>1225</v>
      </c>
      <c r="B529" s="2" t="s">
        <v>1768</v>
      </c>
      <c r="C529" s="12">
        <v>44763</v>
      </c>
      <c r="D529" s="2">
        <v>514</v>
      </c>
      <c r="E529" s="2">
        <v>165.14</v>
      </c>
      <c r="F529" s="2" t="s">
        <v>1771</v>
      </c>
      <c r="G529">
        <f>MROUND(Table_2[[#This Row],[Amount in Sales]],5)</f>
        <v>515</v>
      </c>
    </row>
    <row r="530" spans="1:7" ht="14.25" customHeight="1" x14ac:dyDescent="0.3">
      <c r="A530" s="2" t="s">
        <v>1227</v>
      </c>
      <c r="B530" s="2" t="s">
        <v>1770</v>
      </c>
      <c r="C530" s="12">
        <v>44799</v>
      </c>
      <c r="D530" s="2">
        <v>750</v>
      </c>
      <c r="E530" s="2">
        <v>143.60999999999999</v>
      </c>
      <c r="F530" s="2" t="s">
        <v>1765</v>
      </c>
      <c r="G530">
        <f>MROUND(Table_2[[#This Row],[Amount in Sales]],5)</f>
        <v>750</v>
      </c>
    </row>
    <row r="531" spans="1:7" ht="14.25" customHeight="1" x14ac:dyDescent="0.3">
      <c r="A531" s="2" t="s">
        <v>1229</v>
      </c>
      <c r="B531" s="2" t="s">
        <v>1764</v>
      </c>
      <c r="C531" s="12">
        <v>44798</v>
      </c>
      <c r="D531" s="2">
        <v>279</v>
      </c>
      <c r="E531" s="2">
        <v>238.92999999999998</v>
      </c>
      <c r="F531" s="2" t="s">
        <v>1767</v>
      </c>
      <c r="G531">
        <f>MROUND(Table_2[[#This Row],[Amount in Sales]],5)</f>
        <v>280</v>
      </c>
    </row>
    <row r="532" spans="1:7" ht="14.25" customHeight="1" x14ac:dyDescent="0.3">
      <c r="A532" s="2" t="s">
        <v>1231</v>
      </c>
      <c r="B532" s="2" t="s">
        <v>1766</v>
      </c>
      <c r="C532" s="12">
        <v>44807</v>
      </c>
      <c r="D532" s="2">
        <v>284</v>
      </c>
      <c r="E532" s="2">
        <v>202.1</v>
      </c>
      <c r="F532" s="2" t="s">
        <v>1769</v>
      </c>
      <c r="G532">
        <f>MROUND(Table_2[[#This Row],[Amount in Sales]],5)</f>
        <v>285</v>
      </c>
    </row>
    <row r="533" spans="1:7" ht="14.25" customHeight="1" x14ac:dyDescent="0.3">
      <c r="A533" s="2" t="s">
        <v>1233</v>
      </c>
      <c r="B533" s="2" t="s">
        <v>1768</v>
      </c>
      <c r="C533" s="12">
        <v>44769</v>
      </c>
      <c r="D533" s="2">
        <v>509</v>
      </c>
      <c r="E533" s="2">
        <v>370.15</v>
      </c>
      <c r="F533" s="2" t="s">
        <v>1771</v>
      </c>
      <c r="G533">
        <f>MROUND(Table_2[[#This Row],[Amount in Sales]],5)</f>
        <v>510</v>
      </c>
    </row>
    <row r="534" spans="1:7" ht="14.25" customHeight="1" x14ac:dyDescent="0.3">
      <c r="A534" s="2" t="s">
        <v>1235</v>
      </c>
      <c r="B534" s="2" t="s">
        <v>1770</v>
      </c>
      <c r="C534" s="12">
        <v>44779</v>
      </c>
      <c r="D534" s="2">
        <v>207</v>
      </c>
      <c r="E534" s="2">
        <v>38.89</v>
      </c>
      <c r="F534" s="2" t="s">
        <v>1765</v>
      </c>
      <c r="G534">
        <f>MROUND(Table_2[[#This Row],[Amount in Sales]],5)</f>
        <v>205</v>
      </c>
    </row>
    <row r="535" spans="1:7" ht="14.25" customHeight="1" x14ac:dyDescent="0.3">
      <c r="A535" s="2" t="s">
        <v>1237</v>
      </c>
      <c r="B535" s="2" t="s">
        <v>1772</v>
      </c>
      <c r="C535" s="12">
        <v>44769</v>
      </c>
      <c r="D535" s="2">
        <v>509</v>
      </c>
      <c r="E535" s="2">
        <v>404.28999999999996</v>
      </c>
      <c r="F535" s="2" t="s">
        <v>1767</v>
      </c>
      <c r="G535">
        <f>MROUND(Table_2[[#This Row],[Amount in Sales]],5)</f>
        <v>510</v>
      </c>
    </row>
    <row r="536" spans="1:7" ht="14.25" customHeight="1" x14ac:dyDescent="0.3">
      <c r="A536" s="2" t="s">
        <v>1239</v>
      </c>
      <c r="B536" s="2" t="s">
        <v>1764</v>
      </c>
      <c r="C536" s="12">
        <v>44756</v>
      </c>
      <c r="D536" s="2">
        <v>371</v>
      </c>
      <c r="E536" s="2">
        <v>18.060000000000002</v>
      </c>
      <c r="F536" s="2" t="s">
        <v>1769</v>
      </c>
      <c r="G536">
        <f>MROUND(Table_2[[#This Row],[Amount in Sales]],5)</f>
        <v>370</v>
      </c>
    </row>
    <row r="537" spans="1:7" ht="14.25" customHeight="1" x14ac:dyDescent="0.3">
      <c r="A537" s="2" t="s">
        <v>1241</v>
      </c>
      <c r="B537" s="2" t="s">
        <v>1766</v>
      </c>
      <c r="C537" s="12">
        <v>44799</v>
      </c>
      <c r="D537" s="2">
        <v>699</v>
      </c>
      <c r="E537" s="2">
        <v>414.27</v>
      </c>
      <c r="F537" s="2" t="s">
        <v>1771</v>
      </c>
      <c r="G537">
        <f>MROUND(Table_2[[#This Row],[Amount in Sales]],5)</f>
        <v>700</v>
      </c>
    </row>
    <row r="538" spans="1:7" ht="14.25" customHeight="1" x14ac:dyDescent="0.3">
      <c r="A538" s="2" t="s">
        <v>1243</v>
      </c>
      <c r="B538" s="2" t="s">
        <v>1768</v>
      </c>
      <c r="C538" s="12">
        <v>44807</v>
      </c>
      <c r="D538" s="2">
        <v>306</v>
      </c>
      <c r="E538" s="2">
        <v>104.25</v>
      </c>
      <c r="F538" s="2" t="s">
        <v>1765</v>
      </c>
      <c r="G538">
        <f>MROUND(Table_2[[#This Row],[Amount in Sales]],5)</f>
        <v>305</v>
      </c>
    </row>
    <row r="539" spans="1:7" ht="14.25" customHeight="1" x14ac:dyDescent="0.3">
      <c r="A539" s="2" t="s">
        <v>1245</v>
      </c>
      <c r="B539" s="2" t="s">
        <v>1770</v>
      </c>
      <c r="C539" s="12">
        <v>44769</v>
      </c>
      <c r="D539" s="2">
        <v>432</v>
      </c>
      <c r="E539" s="2">
        <v>70.290000000000006</v>
      </c>
      <c r="F539" s="2" t="s">
        <v>1767</v>
      </c>
      <c r="G539">
        <f>MROUND(Table_2[[#This Row],[Amount in Sales]],5)</f>
        <v>430</v>
      </c>
    </row>
    <row r="540" spans="1:7" ht="14.25" customHeight="1" x14ac:dyDescent="0.3">
      <c r="A540" s="2" t="s">
        <v>1247</v>
      </c>
      <c r="B540" s="2" t="s">
        <v>1764</v>
      </c>
      <c r="C540" s="12">
        <v>44805</v>
      </c>
      <c r="D540" s="2">
        <v>339</v>
      </c>
      <c r="E540" s="2">
        <v>328.15999999999997</v>
      </c>
      <c r="F540" s="2" t="s">
        <v>1769</v>
      </c>
      <c r="G540">
        <f>MROUND(Table_2[[#This Row],[Amount in Sales]],5)</f>
        <v>340</v>
      </c>
    </row>
    <row r="541" spans="1:7" ht="14.25" customHeight="1" x14ac:dyDescent="0.3">
      <c r="A541" s="2" t="s">
        <v>1249</v>
      </c>
      <c r="B541" s="2" t="s">
        <v>1766</v>
      </c>
      <c r="C541" s="12">
        <v>44796</v>
      </c>
      <c r="D541" s="2">
        <v>802</v>
      </c>
      <c r="E541" s="2">
        <v>84</v>
      </c>
      <c r="F541" s="2" t="s">
        <v>1771</v>
      </c>
      <c r="G541">
        <f>MROUND(Table_2[[#This Row],[Amount in Sales]],5)</f>
        <v>800</v>
      </c>
    </row>
    <row r="542" spans="1:7" ht="14.25" customHeight="1" x14ac:dyDescent="0.3">
      <c r="A542" s="2" t="s">
        <v>1251</v>
      </c>
      <c r="B542" s="2" t="s">
        <v>1768</v>
      </c>
      <c r="C542" s="12">
        <v>44798</v>
      </c>
      <c r="D542" s="2">
        <v>674</v>
      </c>
      <c r="E542" s="2">
        <v>219.84</v>
      </c>
      <c r="F542" s="2" t="s">
        <v>1765</v>
      </c>
      <c r="G542">
        <f>MROUND(Table_2[[#This Row],[Amount in Sales]],5)</f>
        <v>675</v>
      </c>
    </row>
    <row r="543" spans="1:7" ht="14.25" customHeight="1" x14ac:dyDescent="0.3">
      <c r="A543" s="2" t="s">
        <v>1253</v>
      </c>
      <c r="B543" s="2" t="s">
        <v>1770</v>
      </c>
      <c r="C543" s="12">
        <v>44756</v>
      </c>
      <c r="D543" s="2">
        <v>399</v>
      </c>
      <c r="E543" s="2">
        <v>183.85999999999999</v>
      </c>
      <c r="F543" s="2" t="s">
        <v>1767</v>
      </c>
      <c r="G543">
        <f>MROUND(Table_2[[#This Row],[Amount in Sales]],5)</f>
        <v>400</v>
      </c>
    </row>
    <row r="544" spans="1:7" ht="14.25" customHeight="1" x14ac:dyDescent="0.3">
      <c r="A544" s="2" t="s">
        <v>1255</v>
      </c>
      <c r="B544" s="2" t="s">
        <v>1772</v>
      </c>
      <c r="C544" s="12">
        <v>44800</v>
      </c>
      <c r="D544" s="2">
        <v>691</v>
      </c>
      <c r="E544" s="2">
        <v>608.65</v>
      </c>
      <c r="F544" s="2" t="s">
        <v>1769</v>
      </c>
      <c r="G544">
        <f>MROUND(Table_2[[#This Row],[Amount in Sales]],5)</f>
        <v>690</v>
      </c>
    </row>
    <row r="545" spans="1:7" ht="14.25" customHeight="1" x14ac:dyDescent="0.3">
      <c r="A545" s="2" t="s">
        <v>1257</v>
      </c>
      <c r="B545" s="2" t="s">
        <v>1773</v>
      </c>
      <c r="C545" s="12">
        <v>44758</v>
      </c>
      <c r="D545" s="2">
        <v>229</v>
      </c>
      <c r="E545" s="2">
        <v>224.23</v>
      </c>
      <c r="F545" s="2" t="s">
        <v>1771</v>
      </c>
      <c r="G545">
        <f>MROUND(Table_2[[#This Row],[Amount in Sales]],5)</f>
        <v>230</v>
      </c>
    </row>
    <row r="546" spans="1:7" ht="14.25" customHeight="1" x14ac:dyDescent="0.3">
      <c r="A546" s="2" t="s">
        <v>1259</v>
      </c>
      <c r="B546" s="2" t="s">
        <v>1764</v>
      </c>
      <c r="C546" s="12">
        <v>44788</v>
      </c>
      <c r="D546" s="2">
        <v>350</v>
      </c>
      <c r="E546" s="2">
        <v>280.12</v>
      </c>
      <c r="F546" s="2" t="s">
        <v>1765</v>
      </c>
      <c r="G546">
        <f>MROUND(Table_2[[#This Row],[Amount in Sales]],5)</f>
        <v>350</v>
      </c>
    </row>
    <row r="547" spans="1:7" ht="14.25" customHeight="1" x14ac:dyDescent="0.3">
      <c r="A547" s="2" t="s">
        <v>1261</v>
      </c>
      <c r="B547" s="2" t="s">
        <v>1766</v>
      </c>
      <c r="C547" s="12">
        <v>44793</v>
      </c>
      <c r="D547" s="2">
        <v>713</v>
      </c>
      <c r="E547" s="2">
        <v>266.67</v>
      </c>
      <c r="F547" s="2" t="s">
        <v>1767</v>
      </c>
      <c r="G547">
        <f>MROUND(Table_2[[#This Row],[Amount in Sales]],5)</f>
        <v>715</v>
      </c>
    </row>
    <row r="548" spans="1:7" ht="14.25" customHeight="1" x14ac:dyDescent="0.3">
      <c r="A548" s="2" t="s">
        <v>1263</v>
      </c>
      <c r="B548" s="2" t="s">
        <v>1768</v>
      </c>
      <c r="C548" s="12">
        <v>44784</v>
      </c>
      <c r="D548" s="2">
        <v>384</v>
      </c>
      <c r="E548" s="2">
        <v>17.100000000000001</v>
      </c>
      <c r="F548" s="2" t="s">
        <v>1769</v>
      </c>
      <c r="G548">
        <f>MROUND(Table_2[[#This Row],[Amount in Sales]],5)</f>
        <v>385</v>
      </c>
    </row>
    <row r="549" spans="1:7" ht="14.25" customHeight="1" x14ac:dyDescent="0.3">
      <c r="A549" s="2" t="s">
        <v>1265</v>
      </c>
      <c r="B549" s="2" t="s">
        <v>1770</v>
      </c>
      <c r="C549" s="12">
        <v>44793</v>
      </c>
      <c r="D549" s="2">
        <v>446</v>
      </c>
      <c r="E549" s="2">
        <v>407.13</v>
      </c>
      <c r="F549" s="2" t="s">
        <v>1771</v>
      </c>
      <c r="G549">
        <f>MROUND(Table_2[[#This Row],[Amount in Sales]],5)</f>
        <v>445</v>
      </c>
    </row>
    <row r="550" spans="1:7" ht="14.25" customHeight="1" x14ac:dyDescent="0.3">
      <c r="A550" s="2" t="s">
        <v>1267</v>
      </c>
      <c r="B550" s="2" t="s">
        <v>1764</v>
      </c>
      <c r="C550" s="12">
        <v>44796</v>
      </c>
      <c r="D550" s="2">
        <v>585</v>
      </c>
      <c r="E550" s="2">
        <v>478.23</v>
      </c>
      <c r="F550" s="2" t="s">
        <v>1765</v>
      </c>
      <c r="G550">
        <f>MROUND(Table_2[[#This Row],[Amount in Sales]],5)</f>
        <v>585</v>
      </c>
    </row>
    <row r="551" spans="1:7" ht="14.25" customHeight="1" x14ac:dyDescent="0.3">
      <c r="A551" s="2" t="s">
        <v>1269</v>
      </c>
      <c r="B551" s="2" t="s">
        <v>1766</v>
      </c>
      <c r="C551" s="12">
        <v>44758</v>
      </c>
      <c r="D551" s="2">
        <v>623</v>
      </c>
      <c r="E551" s="2">
        <v>244.23</v>
      </c>
      <c r="F551" s="2" t="s">
        <v>1767</v>
      </c>
      <c r="G551">
        <f>MROUND(Table_2[[#This Row],[Amount in Sales]],5)</f>
        <v>625</v>
      </c>
    </row>
    <row r="552" spans="1:7" ht="14.25" customHeight="1" x14ac:dyDescent="0.3">
      <c r="A552" s="2" t="s">
        <v>1271</v>
      </c>
      <c r="B552" s="2" t="s">
        <v>1768</v>
      </c>
      <c r="C552" s="12">
        <v>44757</v>
      </c>
      <c r="D552" s="2">
        <v>351</v>
      </c>
      <c r="E552" s="2">
        <v>306.33</v>
      </c>
      <c r="F552" s="2" t="s">
        <v>1769</v>
      </c>
      <c r="G552">
        <f>MROUND(Table_2[[#This Row],[Amount in Sales]],5)</f>
        <v>350</v>
      </c>
    </row>
    <row r="553" spans="1:7" ht="14.25" customHeight="1" x14ac:dyDescent="0.3">
      <c r="A553" s="2" t="s">
        <v>1273</v>
      </c>
      <c r="B553" s="2" t="s">
        <v>1770</v>
      </c>
      <c r="C553" s="12">
        <v>44758</v>
      </c>
      <c r="D553" s="2">
        <v>224</v>
      </c>
      <c r="E553" s="2">
        <v>145.07</v>
      </c>
      <c r="F553" s="2" t="s">
        <v>1771</v>
      </c>
      <c r="G553">
        <f>MROUND(Table_2[[#This Row],[Amount in Sales]],5)</f>
        <v>225</v>
      </c>
    </row>
    <row r="554" spans="1:7" ht="14.25" customHeight="1" x14ac:dyDescent="0.3">
      <c r="A554" s="2" t="s">
        <v>1275</v>
      </c>
      <c r="B554" s="2" t="s">
        <v>1764</v>
      </c>
      <c r="C554" s="12">
        <v>44800</v>
      </c>
      <c r="D554" s="2">
        <v>445</v>
      </c>
      <c r="E554" s="2">
        <v>18.84</v>
      </c>
      <c r="F554" s="2" t="s">
        <v>1765</v>
      </c>
      <c r="G554">
        <f>MROUND(Table_2[[#This Row],[Amount in Sales]],5)</f>
        <v>445</v>
      </c>
    </row>
    <row r="555" spans="1:7" ht="14.25" customHeight="1" x14ac:dyDescent="0.3">
      <c r="A555" s="2" t="s">
        <v>1277</v>
      </c>
      <c r="B555" s="2" t="s">
        <v>1766</v>
      </c>
      <c r="C555" s="12">
        <v>44780</v>
      </c>
      <c r="D555" s="2">
        <v>410</v>
      </c>
      <c r="E555" s="2">
        <v>29.810000000000002</v>
      </c>
      <c r="F555" s="2" t="s">
        <v>1767</v>
      </c>
      <c r="G555">
        <f>MROUND(Table_2[[#This Row],[Amount in Sales]],5)</f>
        <v>410</v>
      </c>
    </row>
    <row r="556" spans="1:7" ht="14.25" customHeight="1" x14ac:dyDescent="0.3">
      <c r="A556" s="2" t="s">
        <v>1279</v>
      </c>
      <c r="B556" s="2" t="s">
        <v>1768</v>
      </c>
      <c r="C556" s="12">
        <v>44807</v>
      </c>
      <c r="D556" s="2">
        <v>842</v>
      </c>
      <c r="E556" s="2">
        <v>373.82</v>
      </c>
      <c r="F556" s="2" t="s">
        <v>1769</v>
      </c>
      <c r="G556">
        <f>MROUND(Table_2[[#This Row],[Amount in Sales]],5)</f>
        <v>840</v>
      </c>
    </row>
    <row r="557" spans="1:7" ht="14.25" customHeight="1" x14ac:dyDescent="0.3">
      <c r="A557" s="2" t="s">
        <v>1281</v>
      </c>
      <c r="B557" s="2" t="s">
        <v>1770</v>
      </c>
      <c r="C557" s="12">
        <v>44798</v>
      </c>
      <c r="D557" s="2">
        <v>772</v>
      </c>
      <c r="E557" s="2">
        <v>92.83</v>
      </c>
      <c r="F557" s="2" t="s">
        <v>1771</v>
      </c>
      <c r="G557">
        <f>MROUND(Table_2[[#This Row],[Amount in Sales]],5)</f>
        <v>770</v>
      </c>
    </row>
    <row r="558" spans="1:7" ht="14.25" customHeight="1" x14ac:dyDescent="0.3">
      <c r="A558" s="2" t="s">
        <v>1283</v>
      </c>
      <c r="B558" s="2" t="s">
        <v>1764</v>
      </c>
      <c r="C558" s="12">
        <v>44810</v>
      </c>
      <c r="D558" s="2">
        <v>711</v>
      </c>
      <c r="E558" s="2">
        <v>643.05999999999995</v>
      </c>
      <c r="F558" s="2" t="s">
        <v>1765</v>
      </c>
      <c r="G558">
        <f>MROUND(Table_2[[#This Row],[Amount in Sales]],5)</f>
        <v>710</v>
      </c>
    </row>
    <row r="559" spans="1:7" ht="14.25" customHeight="1" x14ac:dyDescent="0.3">
      <c r="A559" s="2" t="s">
        <v>1285</v>
      </c>
      <c r="B559" s="2" t="s">
        <v>1766</v>
      </c>
      <c r="C559" s="12">
        <v>44764</v>
      </c>
      <c r="D559" s="2">
        <v>683</v>
      </c>
      <c r="E559" s="2">
        <v>676.11</v>
      </c>
      <c r="F559" s="2" t="s">
        <v>1767</v>
      </c>
      <c r="G559">
        <f>MROUND(Table_2[[#This Row],[Amount in Sales]],5)</f>
        <v>685</v>
      </c>
    </row>
    <row r="560" spans="1:7" ht="14.25" customHeight="1" x14ac:dyDescent="0.3">
      <c r="A560" s="2" t="s">
        <v>1287</v>
      </c>
      <c r="B560" s="2" t="s">
        <v>1768</v>
      </c>
      <c r="C560" s="12">
        <v>44766</v>
      </c>
      <c r="D560" s="2">
        <v>261</v>
      </c>
      <c r="E560" s="2">
        <v>102.09</v>
      </c>
      <c r="F560" s="2" t="s">
        <v>1769</v>
      </c>
      <c r="G560">
        <f>MROUND(Table_2[[#This Row],[Amount in Sales]],5)</f>
        <v>260</v>
      </c>
    </row>
    <row r="561" spans="1:7" ht="14.25" customHeight="1" x14ac:dyDescent="0.3">
      <c r="A561" s="2" t="s">
        <v>1289</v>
      </c>
      <c r="B561" s="2" t="s">
        <v>1770</v>
      </c>
      <c r="C561" s="12">
        <v>44794</v>
      </c>
      <c r="D561" s="2">
        <v>616</v>
      </c>
      <c r="E561" s="2">
        <v>615.79</v>
      </c>
      <c r="F561" s="2" t="s">
        <v>1771</v>
      </c>
      <c r="G561">
        <f>MROUND(Table_2[[#This Row],[Amount in Sales]],5)</f>
        <v>615</v>
      </c>
    </row>
    <row r="562" spans="1:7" ht="14.25" customHeight="1" x14ac:dyDescent="0.3">
      <c r="A562" s="2" t="s">
        <v>1291</v>
      </c>
      <c r="B562" s="2" t="s">
        <v>1772</v>
      </c>
      <c r="C562" s="12">
        <v>44800</v>
      </c>
      <c r="D562" s="2">
        <v>775</v>
      </c>
      <c r="E562" s="2">
        <v>164.29</v>
      </c>
      <c r="F562" s="2" t="s">
        <v>1765</v>
      </c>
      <c r="G562">
        <f>MROUND(Table_2[[#This Row],[Amount in Sales]],5)</f>
        <v>775</v>
      </c>
    </row>
    <row r="563" spans="1:7" ht="14.25" customHeight="1" x14ac:dyDescent="0.3">
      <c r="A563" s="2" t="s">
        <v>1293</v>
      </c>
      <c r="B563" s="2" t="s">
        <v>1764</v>
      </c>
      <c r="C563" s="12">
        <v>44792</v>
      </c>
      <c r="D563" s="2">
        <v>616</v>
      </c>
      <c r="E563" s="2">
        <v>361.74</v>
      </c>
      <c r="F563" s="2" t="s">
        <v>1767</v>
      </c>
      <c r="G563">
        <f>MROUND(Table_2[[#This Row],[Amount in Sales]],5)</f>
        <v>615</v>
      </c>
    </row>
    <row r="564" spans="1:7" ht="14.25" customHeight="1" x14ac:dyDescent="0.3">
      <c r="A564" s="2" t="s">
        <v>1295</v>
      </c>
      <c r="B564" s="2" t="s">
        <v>1766</v>
      </c>
      <c r="C564" s="12">
        <v>44809</v>
      </c>
      <c r="D564" s="2">
        <v>252</v>
      </c>
      <c r="E564" s="2">
        <v>6.24</v>
      </c>
      <c r="F564" s="2" t="s">
        <v>1769</v>
      </c>
      <c r="G564">
        <f>MROUND(Table_2[[#This Row],[Amount in Sales]],5)</f>
        <v>250</v>
      </c>
    </row>
    <row r="565" spans="1:7" ht="14.25" customHeight="1" x14ac:dyDescent="0.3">
      <c r="A565" s="2" t="s">
        <v>1297</v>
      </c>
      <c r="B565" s="2" t="s">
        <v>1768</v>
      </c>
      <c r="C565" s="12">
        <v>44789</v>
      </c>
      <c r="D565" s="2">
        <v>754</v>
      </c>
      <c r="E565" s="2">
        <v>499.92</v>
      </c>
      <c r="F565" s="2" t="s">
        <v>1771</v>
      </c>
      <c r="G565">
        <f>MROUND(Table_2[[#This Row],[Amount in Sales]],5)</f>
        <v>755</v>
      </c>
    </row>
    <row r="566" spans="1:7" ht="14.25" customHeight="1" x14ac:dyDescent="0.3">
      <c r="A566" s="2" t="s">
        <v>1299</v>
      </c>
      <c r="B566" s="2" t="s">
        <v>1770</v>
      </c>
      <c r="C566" s="12">
        <v>44757</v>
      </c>
      <c r="D566" s="2">
        <v>614</v>
      </c>
      <c r="E566" s="2">
        <v>95.28</v>
      </c>
      <c r="F566" s="2" t="s">
        <v>1765</v>
      </c>
      <c r="G566">
        <f>MROUND(Table_2[[#This Row],[Amount in Sales]],5)</f>
        <v>615</v>
      </c>
    </row>
    <row r="567" spans="1:7" ht="14.25" customHeight="1" x14ac:dyDescent="0.3">
      <c r="A567" s="2" t="s">
        <v>1301</v>
      </c>
      <c r="B567" s="2" t="s">
        <v>1764</v>
      </c>
      <c r="C567" s="12">
        <v>44790</v>
      </c>
      <c r="D567" s="2">
        <v>413</v>
      </c>
      <c r="E567" s="2">
        <v>360.83</v>
      </c>
      <c r="F567" s="2" t="s">
        <v>1767</v>
      </c>
      <c r="G567">
        <f>MROUND(Table_2[[#This Row],[Amount in Sales]],5)</f>
        <v>415</v>
      </c>
    </row>
    <row r="568" spans="1:7" ht="14.25" customHeight="1" x14ac:dyDescent="0.3">
      <c r="A568" s="2" t="s">
        <v>1303</v>
      </c>
      <c r="B568" s="2" t="s">
        <v>1766</v>
      </c>
      <c r="C568" s="12">
        <v>44808</v>
      </c>
      <c r="D568" s="2">
        <v>895</v>
      </c>
      <c r="E568" s="2">
        <v>681.21</v>
      </c>
      <c r="F568" s="2" t="s">
        <v>1769</v>
      </c>
      <c r="G568">
        <f>MROUND(Table_2[[#This Row],[Amount in Sales]],5)</f>
        <v>895</v>
      </c>
    </row>
    <row r="569" spans="1:7" ht="14.25" customHeight="1" x14ac:dyDescent="0.3">
      <c r="A569" s="2" t="s">
        <v>1305</v>
      </c>
      <c r="B569" s="2" t="s">
        <v>1768</v>
      </c>
      <c r="C569" s="12">
        <v>44801</v>
      </c>
      <c r="D569" s="2">
        <v>460</v>
      </c>
      <c r="E569" s="2">
        <v>195.5</v>
      </c>
      <c r="F569" s="2" t="s">
        <v>1771</v>
      </c>
      <c r="G569">
        <f>MROUND(Table_2[[#This Row],[Amount in Sales]],5)</f>
        <v>460</v>
      </c>
    </row>
    <row r="570" spans="1:7" ht="14.25" customHeight="1" x14ac:dyDescent="0.3">
      <c r="A570" s="2" t="s">
        <v>1307</v>
      </c>
      <c r="B570" s="2" t="s">
        <v>1770</v>
      </c>
      <c r="C570" s="12">
        <v>44769</v>
      </c>
      <c r="D570" s="2">
        <v>681</v>
      </c>
      <c r="E570" s="2">
        <v>236.85</v>
      </c>
      <c r="F570" s="2" t="s">
        <v>1765</v>
      </c>
      <c r="G570">
        <f>MROUND(Table_2[[#This Row],[Amount in Sales]],5)</f>
        <v>680</v>
      </c>
    </row>
    <row r="571" spans="1:7" ht="14.25" customHeight="1" x14ac:dyDescent="0.3">
      <c r="A571" s="2" t="s">
        <v>1309</v>
      </c>
      <c r="B571" s="2" t="s">
        <v>1772</v>
      </c>
      <c r="C571" s="12">
        <v>44757</v>
      </c>
      <c r="D571" s="2">
        <v>548</v>
      </c>
      <c r="E571" s="2">
        <v>33.019999999999996</v>
      </c>
      <c r="F571" s="2" t="s">
        <v>1767</v>
      </c>
      <c r="G571">
        <f>MROUND(Table_2[[#This Row],[Amount in Sales]],5)</f>
        <v>550</v>
      </c>
    </row>
    <row r="572" spans="1:7" ht="14.25" customHeight="1" x14ac:dyDescent="0.3">
      <c r="A572" s="2" t="s">
        <v>1311</v>
      </c>
      <c r="B572" s="2" t="s">
        <v>1773</v>
      </c>
      <c r="C572" s="12">
        <v>44759</v>
      </c>
      <c r="D572" s="2">
        <v>264</v>
      </c>
      <c r="E572" s="2">
        <v>210.42</v>
      </c>
      <c r="F572" s="2" t="s">
        <v>1769</v>
      </c>
      <c r="G572">
        <f>MROUND(Table_2[[#This Row],[Amount in Sales]],5)</f>
        <v>265</v>
      </c>
    </row>
    <row r="573" spans="1:7" ht="14.25" customHeight="1" x14ac:dyDescent="0.3">
      <c r="A573" s="2" t="s">
        <v>1313</v>
      </c>
      <c r="B573" s="2" t="s">
        <v>1764</v>
      </c>
      <c r="C573" s="12">
        <v>44805</v>
      </c>
      <c r="D573" s="2">
        <v>431</v>
      </c>
      <c r="E573" s="2">
        <v>4.3499999999999996</v>
      </c>
      <c r="F573" s="2" t="s">
        <v>1771</v>
      </c>
      <c r="G573">
        <f>MROUND(Table_2[[#This Row],[Amount in Sales]],5)</f>
        <v>430</v>
      </c>
    </row>
    <row r="574" spans="1:7" ht="14.25" customHeight="1" x14ac:dyDescent="0.3">
      <c r="A574" s="2" t="s">
        <v>1315</v>
      </c>
      <c r="B574" s="2" t="s">
        <v>1766</v>
      </c>
      <c r="C574" s="12">
        <v>44760</v>
      </c>
      <c r="D574" s="2">
        <v>772</v>
      </c>
      <c r="E574" s="2">
        <v>314.52999999999997</v>
      </c>
      <c r="F574" s="2" t="s">
        <v>1765</v>
      </c>
      <c r="G574">
        <f>MROUND(Table_2[[#This Row],[Amount in Sales]],5)</f>
        <v>770</v>
      </c>
    </row>
    <row r="575" spans="1:7" ht="14.25" customHeight="1" x14ac:dyDescent="0.3">
      <c r="A575" s="2" t="s">
        <v>1317</v>
      </c>
      <c r="B575" s="2" t="s">
        <v>1768</v>
      </c>
      <c r="C575" s="12">
        <v>44791</v>
      </c>
      <c r="D575" s="2">
        <v>253</v>
      </c>
      <c r="E575" s="2">
        <v>143.16</v>
      </c>
      <c r="F575" s="2" t="s">
        <v>1767</v>
      </c>
      <c r="G575">
        <f>MROUND(Table_2[[#This Row],[Amount in Sales]],5)</f>
        <v>255</v>
      </c>
    </row>
    <row r="576" spans="1:7" ht="14.25" customHeight="1" x14ac:dyDescent="0.3">
      <c r="A576" s="2" t="s">
        <v>1319</v>
      </c>
      <c r="B576" s="2" t="s">
        <v>1770</v>
      </c>
      <c r="C576" s="12">
        <v>44768</v>
      </c>
      <c r="D576" s="2">
        <v>792</v>
      </c>
      <c r="E576" s="2">
        <v>153.47</v>
      </c>
      <c r="F576" s="2" t="s">
        <v>1769</v>
      </c>
      <c r="G576">
        <f>MROUND(Table_2[[#This Row],[Amount in Sales]],5)</f>
        <v>790</v>
      </c>
    </row>
    <row r="577" spans="1:7" ht="14.25" customHeight="1" x14ac:dyDescent="0.3">
      <c r="A577" s="2" t="s">
        <v>1321</v>
      </c>
      <c r="B577" s="2" t="s">
        <v>1764</v>
      </c>
      <c r="C577" s="12">
        <v>44759</v>
      </c>
      <c r="D577" s="2">
        <v>628</v>
      </c>
      <c r="E577" s="2">
        <v>388.51</v>
      </c>
      <c r="F577" s="2" t="s">
        <v>1771</v>
      </c>
      <c r="G577">
        <f>MROUND(Table_2[[#This Row],[Amount in Sales]],5)</f>
        <v>630</v>
      </c>
    </row>
    <row r="578" spans="1:7" ht="14.25" customHeight="1" x14ac:dyDescent="0.3">
      <c r="A578" s="2" t="s">
        <v>1323</v>
      </c>
      <c r="B578" s="2" t="s">
        <v>1766</v>
      </c>
      <c r="C578" s="12">
        <v>44781</v>
      </c>
      <c r="D578" s="2">
        <v>809</v>
      </c>
      <c r="E578" s="2">
        <v>535.29</v>
      </c>
      <c r="F578" s="2" t="s">
        <v>1765</v>
      </c>
      <c r="G578">
        <f>MROUND(Table_2[[#This Row],[Amount in Sales]],5)</f>
        <v>810</v>
      </c>
    </row>
    <row r="579" spans="1:7" ht="14.25" customHeight="1" x14ac:dyDescent="0.3">
      <c r="A579" s="2" t="s">
        <v>1325</v>
      </c>
      <c r="B579" s="2" t="s">
        <v>1768</v>
      </c>
      <c r="C579" s="12">
        <v>44785</v>
      </c>
      <c r="D579" s="2">
        <v>347</v>
      </c>
      <c r="E579" s="2">
        <v>9.86</v>
      </c>
      <c r="F579" s="2" t="s">
        <v>1767</v>
      </c>
      <c r="G579">
        <f>MROUND(Table_2[[#This Row],[Amount in Sales]],5)</f>
        <v>345</v>
      </c>
    </row>
    <row r="580" spans="1:7" ht="14.25" customHeight="1" x14ac:dyDescent="0.3">
      <c r="A580" s="2" t="s">
        <v>1327</v>
      </c>
      <c r="B580" s="2" t="s">
        <v>1770</v>
      </c>
      <c r="C580" s="12">
        <v>44775</v>
      </c>
      <c r="D580" s="2">
        <v>695</v>
      </c>
      <c r="E580" s="2">
        <v>227.10999999999999</v>
      </c>
      <c r="F580" s="2" t="s">
        <v>1769</v>
      </c>
      <c r="G580">
        <f>MROUND(Table_2[[#This Row],[Amount in Sales]],5)</f>
        <v>695</v>
      </c>
    </row>
    <row r="581" spans="1:7" ht="14.25" customHeight="1" x14ac:dyDescent="0.3">
      <c r="A581" s="2" t="s">
        <v>1329</v>
      </c>
      <c r="B581" s="2" t="s">
        <v>1772</v>
      </c>
      <c r="C581" s="12">
        <v>44773</v>
      </c>
      <c r="D581" s="2">
        <v>551</v>
      </c>
      <c r="E581" s="2">
        <v>62.199999999999996</v>
      </c>
      <c r="F581" s="2" t="s">
        <v>1771</v>
      </c>
      <c r="G581">
        <f>MROUND(Table_2[[#This Row],[Amount in Sales]],5)</f>
        <v>550</v>
      </c>
    </row>
    <row r="582" spans="1:7" ht="14.25" customHeight="1" x14ac:dyDescent="0.3">
      <c r="A582" s="2" t="s">
        <v>1331</v>
      </c>
      <c r="B582" s="2" t="s">
        <v>1764</v>
      </c>
      <c r="C582" s="12">
        <v>44796</v>
      </c>
      <c r="D582" s="2">
        <v>274</v>
      </c>
      <c r="E582" s="2">
        <v>17.510000000000002</v>
      </c>
      <c r="F582" s="2" t="s">
        <v>1765</v>
      </c>
      <c r="G582">
        <f>MROUND(Table_2[[#This Row],[Amount in Sales]],5)</f>
        <v>275</v>
      </c>
    </row>
    <row r="583" spans="1:7" ht="14.25" customHeight="1" x14ac:dyDescent="0.3">
      <c r="A583" s="2" t="s">
        <v>1333</v>
      </c>
      <c r="B583" s="2" t="s">
        <v>1766</v>
      </c>
      <c r="C583" s="12">
        <v>44801</v>
      </c>
      <c r="D583" s="2">
        <v>623</v>
      </c>
      <c r="E583" s="2">
        <v>372.84999999999997</v>
      </c>
      <c r="F583" s="2" t="s">
        <v>1767</v>
      </c>
      <c r="G583">
        <f>MROUND(Table_2[[#This Row],[Amount in Sales]],5)</f>
        <v>625</v>
      </c>
    </row>
    <row r="584" spans="1:7" ht="14.25" customHeight="1" x14ac:dyDescent="0.3">
      <c r="A584" s="2" t="s">
        <v>1335</v>
      </c>
      <c r="B584" s="2" t="s">
        <v>1768</v>
      </c>
      <c r="C584" s="12">
        <v>44779</v>
      </c>
      <c r="D584" s="2">
        <v>577</v>
      </c>
      <c r="E584" s="2">
        <v>200.48999999999998</v>
      </c>
      <c r="F584" s="2" t="s">
        <v>1769</v>
      </c>
      <c r="G584">
        <f>MROUND(Table_2[[#This Row],[Amount in Sales]],5)</f>
        <v>575</v>
      </c>
    </row>
    <row r="585" spans="1:7" ht="14.25" customHeight="1" x14ac:dyDescent="0.3">
      <c r="A585" s="2" t="s">
        <v>1337</v>
      </c>
      <c r="B585" s="2" t="s">
        <v>1770</v>
      </c>
      <c r="C585" s="12">
        <v>44772</v>
      </c>
      <c r="D585" s="2">
        <v>479</v>
      </c>
      <c r="E585" s="2">
        <v>148.01999999999998</v>
      </c>
      <c r="F585" s="2" t="s">
        <v>1771</v>
      </c>
      <c r="G585">
        <f>MROUND(Table_2[[#This Row],[Amount in Sales]],5)</f>
        <v>480</v>
      </c>
    </row>
    <row r="586" spans="1:7" ht="14.25" customHeight="1" x14ac:dyDescent="0.3">
      <c r="A586" s="2" t="s">
        <v>1339</v>
      </c>
      <c r="B586" s="2" t="s">
        <v>1764</v>
      </c>
      <c r="C586" s="12">
        <v>44757</v>
      </c>
      <c r="D586" s="2">
        <v>541</v>
      </c>
      <c r="E586" s="2">
        <v>1.17</v>
      </c>
      <c r="F586" s="2" t="s">
        <v>1765</v>
      </c>
      <c r="G586">
        <f>MROUND(Table_2[[#This Row],[Amount in Sales]],5)</f>
        <v>540</v>
      </c>
    </row>
    <row r="587" spans="1:7" ht="14.25" customHeight="1" x14ac:dyDescent="0.3">
      <c r="A587" s="2" t="s">
        <v>1341</v>
      </c>
      <c r="B587" s="2" t="s">
        <v>1766</v>
      </c>
      <c r="C587" s="12">
        <v>44808</v>
      </c>
      <c r="D587" s="2">
        <v>878</v>
      </c>
      <c r="E587" s="2">
        <v>218.26999999999998</v>
      </c>
      <c r="F587" s="2" t="s">
        <v>1767</v>
      </c>
      <c r="G587">
        <f>MROUND(Table_2[[#This Row],[Amount in Sales]],5)</f>
        <v>880</v>
      </c>
    </row>
    <row r="588" spans="1:7" ht="14.25" customHeight="1" x14ac:dyDescent="0.3">
      <c r="A588" s="2" t="s">
        <v>1343</v>
      </c>
      <c r="B588" s="2" t="s">
        <v>1768</v>
      </c>
      <c r="C588" s="12">
        <v>44782</v>
      </c>
      <c r="D588" s="2">
        <v>822</v>
      </c>
      <c r="E588" s="2">
        <v>103.81</v>
      </c>
      <c r="F588" s="2" t="s">
        <v>1769</v>
      </c>
      <c r="G588">
        <f>MROUND(Table_2[[#This Row],[Amount in Sales]],5)</f>
        <v>820</v>
      </c>
    </row>
    <row r="589" spans="1:7" ht="14.25" customHeight="1" x14ac:dyDescent="0.3">
      <c r="A589" s="2" t="s">
        <v>1345</v>
      </c>
      <c r="B589" s="2" t="s">
        <v>1770</v>
      </c>
      <c r="C589" s="12">
        <v>44787</v>
      </c>
      <c r="D589" s="2">
        <v>319</v>
      </c>
      <c r="E589" s="2">
        <v>220.10999999999999</v>
      </c>
      <c r="F589" s="2" t="s">
        <v>1771</v>
      </c>
      <c r="G589">
        <f>MROUND(Table_2[[#This Row],[Amount in Sales]],5)</f>
        <v>320</v>
      </c>
    </row>
    <row r="590" spans="1:7" ht="14.25" customHeight="1" x14ac:dyDescent="0.3">
      <c r="A590" s="2" t="s">
        <v>1347</v>
      </c>
      <c r="B590" s="2" t="s">
        <v>1772</v>
      </c>
      <c r="C590" s="12">
        <v>44787</v>
      </c>
      <c r="D590" s="2">
        <v>583</v>
      </c>
      <c r="E590" s="2">
        <v>70.34</v>
      </c>
      <c r="F590" s="2" t="s">
        <v>1765</v>
      </c>
      <c r="G590">
        <f>MROUND(Table_2[[#This Row],[Amount in Sales]],5)</f>
        <v>585</v>
      </c>
    </row>
    <row r="591" spans="1:7" ht="14.25" customHeight="1" x14ac:dyDescent="0.3">
      <c r="A591" s="2" t="s">
        <v>1349</v>
      </c>
      <c r="B591" s="2" t="s">
        <v>1773</v>
      </c>
      <c r="C591" s="12">
        <v>44757</v>
      </c>
      <c r="D591" s="2">
        <v>326</v>
      </c>
      <c r="E591" s="2">
        <v>244.47</v>
      </c>
      <c r="F591" s="2" t="s">
        <v>1767</v>
      </c>
      <c r="G591">
        <f>MROUND(Table_2[[#This Row],[Amount in Sales]],5)</f>
        <v>325</v>
      </c>
    </row>
    <row r="592" spans="1:7" ht="14.25" customHeight="1" x14ac:dyDescent="0.3">
      <c r="A592" s="2" t="s">
        <v>1351</v>
      </c>
      <c r="B592" s="2" t="s">
        <v>1764</v>
      </c>
      <c r="C592" s="12">
        <v>44761</v>
      </c>
      <c r="D592" s="2">
        <v>345</v>
      </c>
      <c r="E592" s="2">
        <v>40.659999999999997</v>
      </c>
      <c r="F592" s="2" t="s">
        <v>1769</v>
      </c>
      <c r="G592">
        <f>MROUND(Table_2[[#This Row],[Amount in Sales]],5)</f>
        <v>345</v>
      </c>
    </row>
    <row r="593" spans="1:7" ht="14.25" customHeight="1" x14ac:dyDescent="0.3">
      <c r="A593" s="2" t="s">
        <v>1353</v>
      </c>
      <c r="B593" s="2" t="s">
        <v>1766</v>
      </c>
      <c r="C593" s="12">
        <v>44788</v>
      </c>
      <c r="D593" s="2">
        <v>425</v>
      </c>
      <c r="E593" s="2">
        <v>201.06</v>
      </c>
      <c r="F593" s="2" t="s">
        <v>1771</v>
      </c>
      <c r="G593">
        <f>MROUND(Table_2[[#This Row],[Amount in Sales]],5)</f>
        <v>425</v>
      </c>
    </row>
    <row r="594" spans="1:7" ht="14.25" customHeight="1" x14ac:dyDescent="0.3">
      <c r="A594" s="2" t="s">
        <v>1355</v>
      </c>
      <c r="B594" s="2" t="s">
        <v>1768</v>
      </c>
      <c r="C594" s="12">
        <v>44788</v>
      </c>
      <c r="D594" s="2">
        <v>854</v>
      </c>
      <c r="E594" s="2">
        <v>150.10999999999999</v>
      </c>
      <c r="F594" s="2" t="s">
        <v>1765</v>
      </c>
      <c r="G594">
        <f>MROUND(Table_2[[#This Row],[Amount in Sales]],5)</f>
        <v>855</v>
      </c>
    </row>
    <row r="595" spans="1:7" ht="14.25" customHeight="1" x14ac:dyDescent="0.3">
      <c r="A595" s="2" t="s">
        <v>1357</v>
      </c>
      <c r="B595" s="2" t="s">
        <v>1770</v>
      </c>
      <c r="C595" s="12">
        <v>44758</v>
      </c>
      <c r="D595" s="2">
        <v>310</v>
      </c>
      <c r="E595" s="2">
        <v>152.57999999999998</v>
      </c>
      <c r="F595" s="2" t="s">
        <v>1767</v>
      </c>
      <c r="G595">
        <f>MROUND(Table_2[[#This Row],[Amount in Sales]],5)</f>
        <v>310</v>
      </c>
    </row>
    <row r="596" spans="1:7" ht="14.25" customHeight="1" x14ac:dyDescent="0.3">
      <c r="A596" s="2" t="s">
        <v>1359</v>
      </c>
      <c r="B596" s="2" t="s">
        <v>1764</v>
      </c>
      <c r="C596" s="12">
        <v>44795</v>
      </c>
      <c r="D596" s="2">
        <v>387</v>
      </c>
      <c r="E596" s="2">
        <v>379.69</v>
      </c>
      <c r="F596" s="2" t="s">
        <v>1769</v>
      </c>
      <c r="G596">
        <f>MROUND(Table_2[[#This Row],[Amount in Sales]],5)</f>
        <v>385</v>
      </c>
    </row>
    <row r="597" spans="1:7" ht="14.25" customHeight="1" x14ac:dyDescent="0.3">
      <c r="A597" s="2" t="s">
        <v>1361</v>
      </c>
      <c r="B597" s="2" t="s">
        <v>1766</v>
      </c>
      <c r="C597" s="12">
        <v>44791</v>
      </c>
      <c r="D597" s="2">
        <v>402</v>
      </c>
      <c r="E597" s="2">
        <v>176.37</v>
      </c>
      <c r="F597" s="2" t="s">
        <v>1771</v>
      </c>
      <c r="G597">
        <f>MROUND(Table_2[[#This Row],[Amount in Sales]],5)</f>
        <v>400</v>
      </c>
    </row>
    <row r="598" spans="1:7" ht="14.25" customHeight="1" x14ac:dyDescent="0.3">
      <c r="A598" s="2" t="s">
        <v>1363</v>
      </c>
      <c r="B598" s="2" t="s">
        <v>1768</v>
      </c>
      <c r="C598" s="12">
        <v>44791</v>
      </c>
      <c r="D598" s="2">
        <v>808</v>
      </c>
      <c r="E598" s="2">
        <v>190.39</v>
      </c>
      <c r="F598" s="2" t="s">
        <v>1765</v>
      </c>
      <c r="G598">
        <f>MROUND(Table_2[[#This Row],[Amount in Sales]],5)</f>
        <v>810</v>
      </c>
    </row>
    <row r="599" spans="1:7" ht="14.25" customHeight="1" x14ac:dyDescent="0.3">
      <c r="A599" s="2" t="s">
        <v>1365</v>
      </c>
      <c r="B599" s="2" t="s">
        <v>1770</v>
      </c>
      <c r="C599" s="12">
        <v>44794</v>
      </c>
      <c r="D599" s="2">
        <v>668</v>
      </c>
      <c r="E599" s="2">
        <v>521.72</v>
      </c>
      <c r="F599" s="2" t="s">
        <v>1767</v>
      </c>
      <c r="G599">
        <f>MROUND(Table_2[[#This Row],[Amount in Sales]],5)</f>
        <v>670</v>
      </c>
    </row>
    <row r="600" spans="1:7" ht="14.25" customHeight="1" x14ac:dyDescent="0.3">
      <c r="A600" s="2" t="s">
        <v>1367</v>
      </c>
      <c r="B600" s="2" t="s">
        <v>1764</v>
      </c>
      <c r="C600" s="12">
        <v>44756</v>
      </c>
      <c r="D600" s="2">
        <v>534</v>
      </c>
      <c r="E600" s="2">
        <v>66.81</v>
      </c>
      <c r="F600" s="2" t="s">
        <v>1769</v>
      </c>
      <c r="G600">
        <f>MROUND(Table_2[[#This Row],[Amount in Sales]],5)</f>
        <v>535</v>
      </c>
    </row>
    <row r="601" spans="1:7" ht="14.25" customHeight="1" x14ac:dyDescent="0.3">
      <c r="A601" s="2" t="s">
        <v>1369</v>
      </c>
      <c r="B601" s="2" t="s">
        <v>1766</v>
      </c>
      <c r="C601" s="12">
        <v>44789</v>
      </c>
      <c r="D601" s="2">
        <v>689</v>
      </c>
      <c r="E601" s="2">
        <v>55.879999999999995</v>
      </c>
      <c r="F601" s="2" t="s">
        <v>1771</v>
      </c>
      <c r="G601">
        <f>MROUND(Table_2[[#This Row],[Amount in Sales]],5)</f>
        <v>690</v>
      </c>
    </row>
    <row r="602" spans="1:7" ht="14.25" customHeight="1" x14ac:dyDescent="0.3">
      <c r="A602" s="2" t="s">
        <v>1371</v>
      </c>
      <c r="B602" s="2" t="s">
        <v>1768</v>
      </c>
      <c r="C602" s="12">
        <v>44810</v>
      </c>
      <c r="D602" s="2">
        <v>237</v>
      </c>
      <c r="E602" s="2">
        <v>57.86</v>
      </c>
      <c r="F602" s="2" t="s">
        <v>1765</v>
      </c>
      <c r="G602">
        <f>MROUND(Table_2[[#This Row],[Amount in Sales]],5)</f>
        <v>235</v>
      </c>
    </row>
    <row r="603" spans="1:7" ht="14.25" customHeight="1" x14ac:dyDescent="0.3">
      <c r="A603" s="2" t="s">
        <v>1373</v>
      </c>
      <c r="B603" s="2" t="s">
        <v>1770</v>
      </c>
      <c r="C603" s="12">
        <v>44798</v>
      </c>
      <c r="D603" s="2">
        <v>525</v>
      </c>
      <c r="E603" s="2">
        <v>78.86</v>
      </c>
      <c r="F603" s="2" t="s">
        <v>1767</v>
      </c>
      <c r="G603">
        <f>MROUND(Table_2[[#This Row],[Amount in Sales]],5)</f>
        <v>525</v>
      </c>
    </row>
    <row r="604" spans="1:7" ht="14.25" customHeight="1" x14ac:dyDescent="0.3">
      <c r="A604" s="2" t="s">
        <v>1375</v>
      </c>
      <c r="B604" s="2" t="s">
        <v>1764</v>
      </c>
      <c r="C604" s="12">
        <v>44791</v>
      </c>
      <c r="D604" s="2">
        <v>643</v>
      </c>
      <c r="E604" s="2">
        <v>104.95</v>
      </c>
      <c r="F604" s="2" t="s">
        <v>1769</v>
      </c>
      <c r="G604">
        <f>MROUND(Table_2[[#This Row],[Amount in Sales]],5)</f>
        <v>645</v>
      </c>
    </row>
    <row r="605" spans="1:7" ht="14.25" customHeight="1" x14ac:dyDescent="0.3">
      <c r="A605" s="2" t="s">
        <v>1377</v>
      </c>
      <c r="B605" s="2" t="s">
        <v>1766</v>
      </c>
      <c r="C605" s="12">
        <v>44796</v>
      </c>
      <c r="D605" s="2">
        <v>308</v>
      </c>
      <c r="E605" s="2">
        <v>187.28</v>
      </c>
      <c r="F605" s="2" t="s">
        <v>1771</v>
      </c>
      <c r="G605">
        <f>MROUND(Table_2[[#This Row],[Amount in Sales]],5)</f>
        <v>310</v>
      </c>
    </row>
    <row r="606" spans="1:7" ht="14.25" customHeight="1" x14ac:dyDescent="0.3">
      <c r="A606" s="2" t="s">
        <v>1379</v>
      </c>
      <c r="B606" s="2" t="s">
        <v>1768</v>
      </c>
      <c r="C606" s="12">
        <v>44810</v>
      </c>
      <c r="D606" s="2">
        <v>834</v>
      </c>
      <c r="E606" s="2">
        <v>349.9</v>
      </c>
      <c r="F606" s="2" t="s">
        <v>1765</v>
      </c>
      <c r="G606">
        <f>MROUND(Table_2[[#This Row],[Amount in Sales]],5)</f>
        <v>835</v>
      </c>
    </row>
    <row r="607" spans="1:7" ht="14.25" customHeight="1" x14ac:dyDescent="0.3">
      <c r="A607" s="2" t="s">
        <v>1381</v>
      </c>
      <c r="B607" s="2" t="s">
        <v>1770</v>
      </c>
      <c r="C607" s="12">
        <v>44791</v>
      </c>
      <c r="D607" s="2">
        <v>851</v>
      </c>
      <c r="E607" s="2">
        <v>31.700000000000003</v>
      </c>
      <c r="F607" s="2" t="s">
        <v>1767</v>
      </c>
      <c r="G607">
        <f>MROUND(Table_2[[#This Row],[Amount in Sales]],5)</f>
        <v>850</v>
      </c>
    </row>
    <row r="608" spans="1:7" ht="14.25" customHeight="1" x14ac:dyDescent="0.3">
      <c r="A608" s="2" t="s">
        <v>1383</v>
      </c>
      <c r="B608" s="2" t="s">
        <v>1772</v>
      </c>
      <c r="C608" s="12">
        <v>44797</v>
      </c>
      <c r="D608" s="2">
        <v>567</v>
      </c>
      <c r="E608" s="2">
        <v>222.2</v>
      </c>
      <c r="F608" s="2" t="s">
        <v>1769</v>
      </c>
      <c r="G608">
        <f>MROUND(Table_2[[#This Row],[Amount in Sales]],5)</f>
        <v>565</v>
      </c>
    </row>
    <row r="609" spans="1:7" ht="14.25" customHeight="1" x14ac:dyDescent="0.3">
      <c r="A609" s="2" t="s">
        <v>1385</v>
      </c>
      <c r="B609" s="2" t="s">
        <v>1764</v>
      </c>
      <c r="C609" s="12">
        <v>44777</v>
      </c>
      <c r="D609" s="2">
        <v>565</v>
      </c>
      <c r="E609" s="2">
        <v>133.51</v>
      </c>
      <c r="F609" s="2" t="s">
        <v>1771</v>
      </c>
      <c r="G609">
        <f>MROUND(Table_2[[#This Row],[Amount in Sales]],5)</f>
        <v>565</v>
      </c>
    </row>
    <row r="610" spans="1:7" ht="14.25" customHeight="1" x14ac:dyDescent="0.3">
      <c r="A610" s="2" t="s">
        <v>1387</v>
      </c>
      <c r="B610" s="2" t="s">
        <v>1766</v>
      </c>
      <c r="C610" s="12">
        <v>44802</v>
      </c>
      <c r="D610" s="2">
        <v>245</v>
      </c>
      <c r="E610" s="2">
        <v>243.38</v>
      </c>
      <c r="F610" s="2" t="s">
        <v>1765</v>
      </c>
      <c r="G610">
        <f>MROUND(Table_2[[#This Row],[Amount in Sales]],5)</f>
        <v>245</v>
      </c>
    </row>
    <row r="611" spans="1:7" ht="14.25" customHeight="1" x14ac:dyDescent="0.3">
      <c r="A611" s="2" t="s">
        <v>1389</v>
      </c>
      <c r="B611" s="2" t="s">
        <v>1768</v>
      </c>
      <c r="C611" s="12">
        <v>44758</v>
      </c>
      <c r="D611" s="2">
        <v>765</v>
      </c>
      <c r="E611" s="2">
        <v>628.01</v>
      </c>
      <c r="F611" s="2" t="s">
        <v>1767</v>
      </c>
      <c r="G611">
        <f>MROUND(Table_2[[#This Row],[Amount in Sales]],5)</f>
        <v>765</v>
      </c>
    </row>
    <row r="612" spans="1:7" ht="14.25" customHeight="1" x14ac:dyDescent="0.3">
      <c r="A612" s="2" t="s">
        <v>1391</v>
      </c>
      <c r="B612" s="2" t="s">
        <v>1770</v>
      </c>
      <c r="C612" s="12">
        <v>44768</v>
      </c>
      <c r="D612" s="2">
        <v>746</v>
      </c>
      <c r="E612" s="2">
        <v>598.1</v>
      </c>
      <c r="F612" s="2" t="s">
        <v>1769</v>
      </c>
      <c r="G612">
        <f>MROUND(Table_2[[#This Row],[Amount in Sales]],5)</f>
        <v>745</v>
      </c>
    </row>
    <row r="613" spans="1:7" ht="14.25" customHeight="1" x14ac:dyDescent="0.3">
      <c r="A613" s="2" t="s">
        <v>1393</v>
      </c>
      <c r="B613" s="2" t="s">
        <v>1764</v>
      </c>
      <c r="C613" s="12">
        <v>44756</v>
      </c>
      <c r="D613" s="2">
        <v>470</v>
      </c>
      <c r="E613" s="2">
        <v>109.26</v>
      </c>
      <c r="F613" s="2" t="s">
        <v>1771</v>
      </c>
      <c r="G613">
        <f>MROUND(Table_2[[#This Row],[Amount in Sales]],5)</f>
        <v>470</v>
      </c>
    </row>
    <row r="614" spans="1:7" ht="14.25" customHeight="1" x14ac:dyDescent="0.3">
      <c r="A614" s="2" t="s">
        <v>1395</v>
      </c>
      <c r="B614" s="2" t="s">
        <v>1766</v>
      </c>
      <c r="C614" s="12">
        <v>44809</v>
      </c>
      <c r="D614" s="2">
        <v>694</v>
      </c>
      <c r="E614" s="2">
        <v>528.72</v>
      </c>
      <c r="F614" s="2" t="s">
        <v>1765</v>
      </c>
      <c r="G614">
        <f>MROUND(Table_2[[#This Row],[Amount in Sales]],5)</f>
        <v>695</v>
      </c>
    </row>
    <row r="615" spans="1:7" ht="14.25" customHeight="1" x14ac:dyDescent="0.3">
      <c r="A615" s="2" t="s">
        <v>1397</v>
      </c>
      <c r="B615" s="2" t="s">
        <v>1768</v>
      </c>
      <c r="C615" s="12">
        <v>44801</v>
      </c>
      <c r="D615" s="2">
        <v>839</v>
      </c>
      <c r="E615" s="2">
        <v>694.64</v>
      </c>
      <c r="F615" s="2" t="s">
        <v>1767</v>
      </c>
      <c r="G615">
        <f>MROUND(Table_2[[#This Row],[Amount in Sales]],5)</f>
        <v>840</v>
      </c>
    </row>
    <row r="616" spans="1:7" ht="14.25" customHeight="1" x14ac:dyDescent="0.3">
      <c r="A616" s="2" t="s">
        <v>1399</v>
      </c>
      <c r="B616" s="2" t="s">
        <v>1770</v>
      </c>
      <c r="C616" s="12">
        <v>44794</v>
      </c>
      <c r="D616" s="2">
        <v>476</v>
      </c>
      <c r="E616" s="2">
        <v>141.51</v>
      </c>
      <c r="F616" s="2" t="s">
        <v>1769</v>
      </c>
      <c r="G616">
        <f>MROUND(Table_2[[#This Row],[Amount in Sales]],5)</f>
        <v>475</v>
      </c>
    </row>
    <row r="617" spans="1:7" ht="14.25" customHeight="1" x14ac:dyDescent="0.3">
      <c r="A617" s="2" t="s">
        <v>1401</v>
      </c>
      <c r="B617" s="2" t="s">
        <v>1772</v>
      </c>
      <c r="C617" s="12">
        <v>44792</v>
      </c>
      <c r="D617" s="2">
        <v>201</v>
      </c>
      <c r="E617" s="2">
        <v>162.29</v>
      </c>
      <c r="F617" s="2" t="s">
        <v>1771</v>
      </c>
      <c r="G617">
        <f>MROUND(Table_2[[#This Row],[Amount in Sales]],5)</f>
        <v>200</v>
      </c>
    </row>
    <row r="618" spans="1:7" ht="14.25" customHeight="1" x14ac:dyDescent="0.3">
      <c r="A618" s="2" t="s">
        <v>1403</v>
      </c>
      <c r="B618" s="2" t="s">
        <v>1773</v>
      </c>
      <c r="C618" s="12">
        <v>44770</v>
      </c>
      <c r="D618" s="2">
        <v>217</v>
      </c>
      <c r="E618" s="2">
        <v>15.74</v>
      </c>
      <c r="F618" s="2" t="s">
        <v>1765</v>
      </c>
      <c r="G618">
        <f>MROUND(Table_2[[#This Row],[Amount in Sales]],5)</f>
        <v>215</v>
      </c>
    </row>
    <row r="619" spans="1:7" ht="14.25" customHeight="1" x14ac:dyDescent="0.3">
      <c r="A619" s="2" t="s">
        <v>1405</v>
      </c>
      <c r="B619" s="2" t="s">
        <v>1764</v>
      </c>
      <c r="C619" s="12">
        <v>44761</v>
      </c>
      <c r="D619" s="2">
        <v>709</v>
      </c>
      <c r="E619" s="2">
        <v>92.77000000000001</v>
      </c>
      <c r="F619" s="2" t="s">
        <v>1767</v>
      </c>
      <c r="G619">
        <f>MROUND(Table_2[[#This Row],[Amount in Sales]],5)</f>
        <v>710</v>
      </c>
    </row>
    <row r="620" spans="1:7" ht="14.25" customHeight="1" x14ac:dyDescent="0.3">
      <c r="A620" s="2" t="s">
        <v>1407</v>
      </c>
      <c r="B620" s="2" t="s">
        <v>1766</v>
      </c>
      <c r="C620" s="12">
        <v>44773</v>
      </c>
      <c r="D620" s="2">
        <v>405</v>
      </c>
      <c r="E620" s="2">
        <v>344.51</v>
      </c>
      <c r="F620" s="2" t="s">
        <v>1769</v>
      </c>
      <c r="G620">
        <f>MROUND(Table_2[[#This Row],[Amount in Sales]],5)</f>
        <v>405</v>
      </c>
    </row>
    <row r="621" spans="1:7" ht="14.25" customHeight="1" x14ac:dyDescent="0.3">
      <c r="A621" s="2" t="s">
        <v>1409</v>
      </c>
      <c r="B621" s="2" t="s">
        <v>1768</v>
      </c>
      <c r="C621" s="12">
        <v>44766</v>
      </c>
      <c r="D621" s="2">
        <v>490</v>
      </c>
      <c r="E621" s="2">
        <v>17.720000000000002</v>
      </c>
      <c r="F621" s="2" t="s">
        <v>1771</v>
      </c>
      <c r="G621">
        <f>MROUND(Table_2[[#This Row],[Amount in Sales]],5)</f>
        <v>490</v>
      </c>
    </row>
    <row r="622" spans="1:7" ht="14.25" customHeight="1" x14ac:dyDescent="0.3">
      <c r="A622" s="2" t="s">
        <v>1411</v>
      </c>
      <c r="B622" s="2" t="s">
        <v>1770</v>
      </c>
      <c r="C622" s="12">
        <v>44793</v>
      </c>
      <c r="D622" s="2">
        <v>718</v>
      </c>
      <c r="E622" s="2">
        <v>652.41999999999996</v>
      </c>
      <c r="F622" s="2" t="s">
        <v>1765</v>
      </c>
      <c r="G622">
        <f>MROUND(Table_2[[#This Row],[Amount in Sales]],5)</f>
        <v>720</v>
      </c>
    </row>
    <row r="623" spans="1:7" ht="14.25" customHeight="1" x14ac:dyDescent="0.3">
      <c r="A623" s="2" t="s">
        <v>1413</v>
      </c>
      <c r="B623" s="2" t="s">
        <v>1764</v>
      </c>
      <c r="C623" s="12">
        <v>44769</v>
      </c>
      <c r="D623" s="2">
        <v>298</v>
      </c>
      <c r="E623" s="2">
        <v>24.42</v>
      </c>
      <c r="F623" s="2" t="s">
        <v>1767</v>
      </c>
      <c r="G623">
        <f>MROUND(Table_2[[#This Row],[Amount in Sales]],5)</f>
        <v>300</v>
      </c>
    </row>
    <row r="624" spans="1:7" ht="14.25" customHeight="1" x14ac:dyDescent="0.3">
      <c r="A624" s="2" t="s">
        <v>1415</v>
      </c>
      <c r="B624" s="2" t="s">
        <v>1766</v>
      </c>
      <c r="C624" s="12">
        <v>44758</v>
      </c>
      <c r="D624" s="2">
        <v>612</v>
      </c>
      <c r="E624" s="2">
        <v>432.81</v>
      </c>
      <c r="F624" s="2" t="s">
        <v>1769</v>
      </c>
      <c r="G624">
        <f>MROUND(Table_2[[#This Row],[Amount in Sales]],5)</f>
        <v>610</v>
      </c>
    </row>
    <row r="625" spans="1:7" ht="14.25" customHeight="1" x14ac:dyDescent="0.3">
      <c r="A625" s="2" t="s">
        <v>1417</v>
      </c>
      <c r="B625" s="2" t="s">
        <v>1768</v>
      </c>
      <c r="C625" s="12">
        <v>44803</v>
      </c>
      <c r="D625" s="2">
        <v>797</v>
      </c>
      <c r="E625" s="2">
        <v>599.6</v>
      </c>
      <c r="F625" s="2" t="s">
        <v>1771</v>
      </c>
      <c r="G625">
        <f>MROUND(Table_2[[#This Row],[Amount in Sales]],5)</f>
        <v>795</v>
      </c>
    </row>
    <row r="626" spans="1:7" ht="14.25" customHeight="1" x14ac:dyDescent="0.3">
      <c r="A626" s="2" t="s">
        <v>1419</v>
      </c>
      <c r="B626" s="2" t="s">
        <v>1770</v>
      </c>
      <c r="C626" s="12">
        <v>44808</v>
      </c>
      <c r="D626" s="2">
        <v>448</v>
      </c>
      <c r="E626" s="2">
        <v>353.75</v>
      </c>
      <c r="F626" s="2" t="s">
        <v>1765</v>
      </c>
      <c r="G626">
        <f>MROUND(Table_2[[#This Row],[Amount in Sales]],5)</f>
        <v>450</v>
      </c>
    </row>
    <row r="627" spans="1:7" ht="14.25" customHeight="1" x14ac:dyDescent="0.3">
      <c r="A627" s="2" t="s">
        <v>1421</v>
      </c>
      <c r="B627" s="2" t="s">
        <v>1772</v>
      </c>
      <c r="C627" s="12">
        <v>44784</v>
      </c>
      <c r="D627" s="2">
        <v>512</v>
      </c>
      <c r="E627" s="2">
        <v>350.17</v>
      </c>
      <c r="F627" s="2" t="s">
        <v>1767</v>
      </c>
      <c r="G627">
        <f>MROUND(Table_2[[#This Row],[Amount in Sales]],5)</f>
        <v>510</v>
      </c>
    </row>
    <row r="628" spans="1:7" ht="14.25" customHeight="1" x14ac:dyDescent="0.3">
      <c r="A628" s="2" t="s">
        <v>1423</v>
      </c>
      <c r="B628" s="2" t="s">
        <v>1764</v>
      </c>
      <c r="C628" s="12">
        <v>44764</v>
      </c>
      <c r="D628" s="2">
        <v>427</v>
      </c>
      <c r="E628" s="2">
        <v>334.95</v>
      </c>
      <c r="F628" s="2" t="s">
        <v>1769</v>
      </c>
      <c r="G628">
        <f>MROUND(Table_2[[#This Row],[Amount in Sales]],5)</f>
        <v>425</v>
      </c>
    </row>
    <row r="629" spans="1:7" ht="14.25" customHeight="1" x14ac:dyDescent="0.3">
      <c r="A629" s="2" t="s">
        <v>1425</v>
      </c>
      <c r="B629" s="2" t="s">
        <v>1766</v>
      </c>
      <c r="C629" s="12">
        <v>44795</v>
      </c>
      <c r="D629" s="2">
        <v>256</v>
      </c>
      <c r="E629" s="2">
        <v>56.6</v>
      </c>
      <c r="F629" s="2" t="s">
        <v>1771</v>
      </c>
      <c r="G629">
        <f>MROUND(Table_2[[#This Row],[Amount in Sales]],5)</f>
        <v>255</v>
      </c>
    </row>
    <row r="630" spans="1:7" ht="14.25" customHeight="1" x14ac:dyDescent="0.3">
      <c r="A630" s="2" t="s">
        <v>1427</v>
      </c>
      <c r="B630" s="2" t="s">
        <v>1768</v>
      </c>
      <c r="C630" s="12">
        <v>44799</v>
      </c>
      <c r="D630" s="2">
        <v>413</v>
      </c>
      <c r="E630" s="2">
        <v>72.070000000000007</v>
      </c>
      <c r="F630" s="2" t="s">
        <v>1765</v>
      </c>
      <c r="G630">
        <f>MROUND(Table_2[[#This Row],[Amount in Sales]],5)</f>
        <v>415</v>
      </c>
    </row>
    <row r="631" spans="1:7" ht="14.25" customHeight="1" x14ac:dyDescent="0.3">
      <c r="A631" s="2" t="s">
        <v>1429</v>
      </c>
      <c r="B631" s="2" t="s">
        <v>1770</v>
      </c>
      <c r="C631" s="12">
        <v>44800</v>
      </c>
      <c r="D631" s="2">
        <v>565</v>
      </c>
      <c r="E631" s="2">
        <v>160.51999999999998</v>
      </c>
      <c r="F631" s="2" t="s">
        <v>1767</v>
      </c>
      <c r="G631">
        <f>MROUND(Table_2[[#This Row],[Amount in Sales]],5)</f>
        <v>565</v>
      </c>
    </row>
    <row r="632" spans="1:7" ht="14.25" customHeight="1" x14ac:dyDescent="0.3">
      <c r="A632" s="2" t="s">
        <v>1431</v>
      </c>
      <c r="B632" s="2" t="s">
        <v>1764</v>
      </c>
      <c r="C632" s="12">
        <v>44771</v>
      </c>
      <c r="D632" s="2">
        <v>797</v>
      </c>
      <c r="E632" s="2">
        <v>225.42999999999998</v>
      </c>
      <c r="F632" s="2" t="s">
        <v>1769</v>
      </c>
      <c r="G632">
        <f>MROUND(Table_2[[#This Row],[Amount in Sales]],5)</f>
        <v>795</v>
      </c>
    </row>
    <row r="633" spans="1:7" ht="14.25" customHeight="1" x14ac:dyDescent="0.3">
      <c r="A633" s="2" t="s">
        <v>1433</v>
      </c>
      <c r="B633" s="2" t="s">
        <v>1766</v>
      </c>
      <c r="C633" s="12">
        <v>44760</v>
      </c>
      <c r="D633" s="2">
        <v>828</v>
      </c>
      <c r="E633" s="2">
        <v>209.64999999999998</v>
      </c>
      <c r="F633" s="2" t="s">
        <v>1771</v>
      </c>
      <c r="G633">
        <f>MROUND(Table_2[[#This Row],[Amount in Sales]],5)</f>
        <v>830</v>
      </c>
    </row>
    <row r="634" spans="1:7" ht="14.25" customHeight="1" x14ac:dyDescent="0.3">
      <c r="A634" s="2" t="s">
        <v>1435</v>
      </c>
      <c r="B634" s="2" t="s">
        <v>1768</v>
      </c>
      <c r="C634" s="12">
        <v>44778</v>
      </c>
      <c r="D634" s="2">
        <v>217</v>
      </c>
      <c r="E634" s="2">
        <v>95.77000000000001</v>
      </c>
      <c r="F634" s="2" t="s">
        <v>1765</v>
      </c>
      <c r="G634">
        <f>MROUND(Table_2[[#This Row],[Amount in Sales]],5)</f>
        <v>215</v>
      </c>
    </row>
    <row r="635" spans="1:7" ht="14.25" customHeight="1" x14ac:dyDescent="0.3">
      <c r="A635" s="2" t="s">
        <v>1437</v>
      </c>
      <c r="B635" s="2" t="s">
        <v>1770</v>
      </c>
      <c r="C635" s="12">
        <v>44755</v>
      </c>
      <c r="D635" s="2">
        <v>701</v>
      </c>
      <c r="E635" s="2">
        <v>308.40999999999997</v>
      </c>
      <c r="F635" s="2" t="s">
        <v>1767</v>
      </c>
      <c r="G635">
        <f>MROUND(Table_2[[#This Row],[Amount in Sales]],5)</f>
        <v>700</v>
      </c>
    </row>
    <row r="636" spans="1:7" ht="14.25" customHeight="1" x14ac:dyDescent="0.3">
      <c r="A636" s="2" t="s">
        <v>1439</v>
      </c>
      <c r="B636" s="2" t="s">
        <v>1772</v>
      </c>
      <c r="C636" s="12">
        <v>44770</v>
      </c>
      <c r="D636" s="2">
        <v>613</v>
      </c>
      <c r="E636" s="2">
        <v>270.06</v>
      </c>
      <c r="F636" s="2" t="s">
        <v>1769</v>
      </c>
      <c r="G636">
        <f>MROUND(Table_2[[#This Row],[Amount in Sales]],5)</f>
        <v>615</v>
      </c>
    </row>
    <row r="637" spans="1:7" ht="14.25" customHeight="1" x14ac:dyDescent="0.3">
      <c r="A637" s="2" t="s">
        <v>1441</v>
      </c>
      <c r="B637" s="2" t="s">
        <v>1773</v>
      </c>
      <c r="C637" s="12">
        <v>44772</v>
      </c>
      <c r="D637" s="2">
        <v>513</v>
      </c>
      <c r="E637" s="2">
        <v>416.59999999999997</v>
      </c>
      <c r="F637" s="2" t="s">
        <v>1771</v>
      </c>
      <c r="G637">
        <f>MROUND(Table_2[[#This Row],[Amount in Sales]],5)</f>
        <v>515</v>
      </c>
    </row>
    <row r="638" spans="1:7" ht="14.25" customHeight="1" x14ac:dyDescent="0.3">
      <c r="A638" s="2" t="s">
        <v>1443</v>
      </c>
      <c r="B638" s="2" t="s">
        <v>1764</v>
      </c>
      <c r="C638" s="12">
        <v>44799</v>
      </c>
      <c r="D638" s="2">
        <v>447</v>
      </c>
      <c r="E638" s="2">
        <v>309.19</v>
      </c>
      <c r="F638" s="2" t="s">
        <v>1765</v>
      </c>
      <c r="G638">
        <f>MROUND(Table_2[[#This Row],[Amount in Sales]],5)</f>
        <v>445</v>
      </c>
    </row>
    <row r="639" spans="1:7" ht="14.25" customHeight="1" x14ac:dyDescent="0.3">
      <c r="A639" s="2" t="s">
        <v>1445</v>
      </c>
      <c r="B639" s="2" t="s">
        <v>1766</v>
      </c>
      <c r="C639" s="12">
        <v>44782</v>
      </c>
      <c r="D639" s="2">
        <v>672</v>
      </c>
      <c r="E639" s="2">
        <v>658.53</v>
      </c>
      <c r="F639" s="2" t="s">
        <v>1767</v>
      </c>
      <c r="G639">
        <f>MROUND(Table_2[[#This Row],[Amount in Sales]],5)</f>
        <v>670</v>
      </c>
    </row>
    <row r="640" spans="1:7" ht="14.25" customHeight="1" x14ac:dyDescent="0.3">
      <c r="A640" s="2" t="s">
        <v>1447</v>
      </c>
      <c r="B640" s="2" t="s">
        <v>1768</v>
      </c>
      <c r="C640" s="12">
        <v>44761</v>
      </c>
      <c r="D640" s="2">
        <v>376</v>
      </c>
      <c r="E640" s="2">
        <v>10.56</v>
      </c>
      <c r="F640" s="2" t="s">
        <v>1769</v>
      </c>
      <c r="G640">
        <f>MROUND(Table_2[[#This Row],[Amount in Sales]],5)</f>
        <v>375</v>
      </c>
    </row>
    <row r="641" spans="1:7" ht="14.25" customHeight="1" x14ac:dyDescent="0.3">
      <c r="A641" s="2" t="s">
        <v>1449</v>
      </c>
      <c r="B641" s="2" t="s">
        <v>1770</v>
      </c>
      <c r="C641" s="12">
        <v>44794</v>
      </c>
      <c r="D641" s="2">
        <v>647</v>
      </c>
      <c r="E641" s="2">
        <v>57.97</v>
      </c>
      <c r="F641" s="2" t="s">
        <v>1771</v>
      </c>
      <c r="G641">
        <f>MROUND(Table_2[[#This Row],[Amount in Sales]],5)</f>
        <v>645</v>
      </c>
    </row>
    <row r="642" spans="1:7" ht="14.25" customHeight="1" x14ac:dyDescent="0.3">
      <c r="A642" s="2" t="s">
        <v>1451</v>
      </c>
      <c r="B642" s="2" t="s">
        <v>1764</v>
      </c>
      <c r="C642" s="12">
        <v>44762</v>
      </c>
      <c r="D642" s="2">
        <v>391</v>
      </c>
      <c r="E642" s="2">
        <v>322.61</v>
      </c>
      <c r="F642" s="2" t="s">
        <v>1765</v>
      </c>
      <c r="G642">
        <f>MROUND(Table_2[[#This Row],[Amount in Sales]],5)</f>
        <v>390</v>
      </c>
    </row>
    <row r="643" spans="1:7" ht="14.25" customHeight="1" x14ac:dyDescent="0.3">
      <c r="A643" s="2" t="s">
        <v>1453</v>
      </c>
      <c r="B643" s="2" t="s">
        <v>1766</v>
      </c>
      <c r="C643" s="12">
        <v>44769</v>
      </c>
      <c r="D643" s="2">
        <v>800</v>
      </c>
      <c r="E643" s="2">
        <v>513.64</v>
      </c>
      <c r="F643" s="2" t="s">
        <v>1767</v>
      </c>
      <c r="G643">
        <f>MROUND(Table_2[[#This Row],[Amount in Sales]],5)</f>
        <v>800</v>
      </c>
    </row>
    <row r="644" spans="1:7" ht="14.25" customHeight="1" x14ac:dyDescent="0.3">
      <c r="A644" s="2" t="s">
        <v>1455</v>
      </c>
      <c r="B644" s="2" t="s">
        <v>1768</v>
      </c>
      <c r="C644" s="12">
        <v>44770</v>
      </c>
      <c r="D644" s="2">
        <v>871</v>
      </c>
      <c r="E644" s="2">
        <v>608.68999999999994</v>
      </c>
      <c r="F644" s="2" t="s">
        <v>1769</v>
      </c>
      <c r="G644">
        <f>MROUND(Table_2[[#This Row],[Amount in Sales]],5)</f>
        <v>870</v>
      </c>
    </row>
    <row r="645" spans="1:7" ht="14.25" customHeight="1" x14ac:dyDescent="0.3">
      <c r="A645" s="2" t="s">
        <v>1457</v>
      </c>
      <c r="B645" s="2" t="s">
        <v>1770</v>
      </c>
      <c r="C645" s="12">
        <v>44797</v>
      </c>
      <c r="D645" s="2">
        <v>758</v>
      </c>
      <c r="E645" s="2">
        <v>371.40999999999997</v>
      </c>
      <c r="F645" s="2" t="s">
        <v>1771</v>
      </c>
      <c r="G645">
        <f>MROUND(Table_2[[#This Row],[Amount in Sales]],5)</f>
        <v>760</v>
      </c>
    </row>
    <row r="646" spans="1:7" ht="14.25" customHeight="1" x14ac:dyDescent="0.3">
      <c r="A646" s="2" t="s">
        <v>1459</v>
      </c>
      <c r="B646" s="2" t="s">
        <v>1764</v>
      </c>
      <c r="C646" s="12">
        <v>44783</v>
      </c>
      <c r="D646" s="2">
        <v>433</v>
      </c>
      <c r="E646" s="2">
        <v>299.90999999999997</v>
      </c>
      <c r="F646" s="2" t="s">
        <v>1765</v>
      </c>
      <c r="G646">
        <f>MROUND(Table_2[[#This Row],[Amount in Sales]],5)</f>
        <v>435</v>
      </c>
    </row>
    <row r="647" spans="1:7" ht="14.25" customHeight="1" x14ac:dyDescent="0.3">
      <c r="A647" s="2" t="s">
        <v>1461</v>
      </c>
      <c r="B647" s="2" t="s">
        <v>1766</v>
      </c>
      <c r="C647" s="12">
        <v>44801</v>
      </c>
      <c r="D647" s="2">
        <v>363</v>
      </c>
      <c r="E647" s="2">
        <v>73.150000000000006</v>
      </c>
      <c r="F647" s="2" t="s">
        <v>1767</v>
      </c>
      <c r="G647">
        <f>MROUND(Table_2[[#This Row],[Amount in Sales]],5)</f>
        <v>365</v>
      </c>
    </row>
    <row r="648" spans="1:7" ht="14.25" customHeight="1" x14ac:dyDescent="0.3">
      <c r="A648" s="2" t="s">
        <v>1463</v>
      </c>
      <c r="B648" s="2" t="s">
        <v>1768</v>
      </c>
      <c r="C648" s="12">
        <v>44808</v>
      </c>
      <c r="D648" s="2">
        <v>453</v>
      </c>
      <c r="E648" s="2">
        <v>144.97</v>
      </c>
      <c r="F648" s="2" t="s">
        <v>1769</v>
      </c>
      <c r="G648">
        <f>MROUND(Table_2[[#This Row],[Amount in Sales]],5)</f>
        <v>455</v>
      </c>
    </row>
    <row r="649" spans="1:7" ht="14.25" customHeight="1" x14ac:dyDescent="0.3">
      <c r="A649" s="2" t="s">
        <v>1465</v>
      </c>
      <c r="B649" s="2" t="s">
        <v>1770</v>
      </c>
      <c r="C649" s="12">
        <v>44808</v>
      </c>
      <c r="D649" s="2">
        <v>306</v>
      </c>
      <c r="E649" s="2">
        <v>150.1</v>
      </c>
      <c r="F649" s="2" t="s">
        <v>1771</v>
      </c>
      <c r="G649">
        <f>MROUND(Table_2[[#This Row],[Amount in Sales]],5)</f>
        <v>305</v>
      </c>
    </row>
    <row r="650" spans="1:7" ht="14.25" customHeight="1" x14ac:dyDescent="0.3">
      <c r="A650" s="2" t="s">
        <v>1467</v>
      </c>
      <c r="B650" s="2" t="s">
        <v>1764</v>
      </c>
      <c r="C650" s="12">
        <v>44781</v>
      </c>
      <c r="D650" s="2">
        <v>697</v>
      </c>
      <c r="E650" s="2">
        <v>640.86</v>
      </c>
      <c r="F650" s="2" t="s">
        <v>1765</v>
      </c>
      <c r="G650">
        <f>MROUND(Table_2[[#This Row],[Amount in Sales]],5)</f>
        <v>695</v>
      </c>
    </row>
    <row r="651" spans="1:7" ht="14.25" customHeight="1" x14ac:dyDescent="0.3">
      <c r="A651" s="2" t="s">
        <v>1469</v>
      </c>
      <c r="B651" s="2" t="s">
        <v>1766</v>
      </c>
      <c r="C651" s="12">
        <v>44783</v>
      </c>
      <c r="D651" s="2">
        <v>794</v>
      </c>
      <c r="E651" s="2">
        <v>392.90999999999997</v>
      </c>
      <c r="F651" s="2" t="s">
        <v>1767</v>
      </c>
      <c r="G651">
        <f>MROUND(Table_2[[#This Row],[Amount in Sales]],5)</f>
        <v>795</v>
      </c>
    </row>
    <row r="652" spans="1:7" ht="14.25" customHeight="1" x14ac:dyDescent="0.3">
      <c r="A652" s="2" t="s">
        <v>1471</v>
      </c>
      <c r="B652" s="2" t="s">
        <v>1768</v>
      </c>
      <c r="C652" s="12">
        <v>44762</v>
      </c>
      <c r="D652" s="2">
        <v>335</v>
      </c>
      <c r="E652" s="2">
        <v>124.44000000000001</v>
      </c>
      <c r="F652" s="2" t="s">
        <v>1769</v>
      </c>
      <c r="G652">
        <f>MROUND(Table_2[[#This Row],[Amount in Sales]],5)</f>
        <v>335</v>
      </c>
    </row>
    <row r="653" spans="1:7" ht="14.25" customHeight="1" x14ac:dyDescent="0.3">
      <c r="A653" s="2" t="s">
        <v>1473</v>
      </c>
      <c r="B653" s="2" t="s">
        <v>1770</v>
      </c>
      <c r="C653" s="12">
        <v>44800</v>
      </c>
      <c r="D653" s="2">
        <v>669</v>
      </c>
      <c r="E653" s="2">
        <v>145.26</v>
      </c>
      <c r="F653" s="2" t="s">
        <v>1771</v>
      </c>
      <c r="G653">
        <f>MROUND(Table_2[[#This Row],[Amount in Sales]],5)</f>
        <v>670</v>
      </c>
    </row>
    <row r="654" spans="1:7" ht="14.25" customHeight="1" x14ac:dyDescent="0.3">
      <c r="A654" s="2" t="s">
        <v>1475</v>
      </c>
      <c r="B654" s="2" t="s">
        <v>1772</v>
      </c>
      <c r="C654" s="12">
        <v>44799</v>
      </c>
      <c r="D654" s="2">
        <v>519</v>
      </c>
      <c r="E654" s="2">
        <v>476.52</v>
      </c>
      <c r="F654" s="2" t="s">
        <v>1765</v>
      </c>
      <c r="G654">
        <f>MROUND(Table_2[[#This Row],[Amount in Sales]],5)</f>
        <v>520</v>
      </c>
    </row>
    <row r="655" spans="1:7" ht="14.25" customHeight="1" x14ac:dyDescent="0.3">
      <c r="A655" s="2" t="s">
        <v>1477</v>
      </c>
      <c r="B655" s="2" t="s">
        <v>1764</v>
      </c>
      <c r="C655" s="12">
        <v>44777</v>
      </c>
      <c r="D655" s="2">
        <v>304</v>
      </c>
      <c r="E655" s="2">
        <v>272.07</v>
      </c>
      <c r="F655" s="2" t="s">
        <v>1767</v>
      </c>
      <c r="G655">
        <f>MROUND(Table_2[[#This Row],[Amount in Sales]],5)</f>
        <v>305</v>
      </c>
    </row>
    <row r="656" spans="1:7" ht="14.25" customHeight="1" x14ac:dyDescent="0.3">
      <c r="A656" s="2" t="s">
        <v>1479</v>
      </c>
      <c r="B656" s="2" t="s">
        <v>1766</v>
      </c>
      <c r="C656" s="12">
        <v>44800</v>
      </c>
      <c r="D656" s="2">
        <v>594</v>
      </c>
      <c r="E656" s="2">
        <v>23.700000000000003</v>
      </c>
      <c r="F656" s="2" t="s">
        <v>1769</v>
      </c>
      <c r="G656">
        <f>MROUND(Table_2[[#This Row],[Amount in Sales]],5)</f>
        <v>595</v>
      </c>
    </row>
    <row r="657" spans="1:7" ht="14.25" customHeight="1" x14ac:dyDescent="0.3">
      <c r="A657" s="2" t="s">
        <v>1481</v>
      </c>
      <c r="B657" s="2" t="s">
        <v>1768</v>
      </c>
      <c r="C657" s="12">
        <v>44770</v>
      </c>
      <c r="D657" s="2">
        <v>300</v>
      </c>
      <c r="E657" s="2">
        <v>57.379999999999995</v>
      </c>
      <c r="F657" s="2" t="s">
        <v>1771</v>
      </c>
      <c r="G657">
        <f>MROUND(Table_2[[#This Row],[Amount in Sales]],5)</f>
        <v>300</v>
      </c>
    </row>
    <row r="658" spans="1:7" ht="14.25" customHeight="1" x14ac:dyDescent="0.3">
      <c r="A658" s="2" t="s">
        <v>1483</v>
      </c>
      <c r="B658" s="2" t="s">
        <v>1770</v>
      </c>
      <c r="C658" s="12">
        <v>44774</v>
      </c>
      <c r="D658" s="2">
        <v>400</v>
      </c>
      <c r="E658" s="2">
        <v>331</v>
      </c>
      <c r="F658" s="2" t="s">
        <v>1765</v>
      </c>
      <c r="G658">
        <f>MROUND(Table_2[[#This Row],[Amount in Sales]],5)</f>
        <v>400</v>
      </c>
    </row>
    <row r="659" spans="1:7" ht="14.25" customHeight="1" x14ac:dyDescent="0.3">
      <c r="A659" s="2" t="s">
        <v>1485</v>
      </c>
      <c r="B659" s="2" t="s">
        <v>1764</v>
      </c>
      <c r="C659" s="12">
        <v>44779</v>
      </c>
      <c r="D659" s="2">
        <v>495</v>
      </c>
      <c r="E659" s="2">
        <v>225.19</v>
      </c>
      <c r="F659" s="2" t="s">
        <v>1767</v>
      </c>
      <c r="G659">
        <f>MROUND(Table_2[[#This Row],[Amount in Sales]],5)</f>
        <v>495</v>
      </c>
    </row>
    <row r="660" spans="1:7" ht="14.25" customHeight="1" x14ac:dyDescent="0.3">
      <c r="A660" s="2" t="s">
        <v>1487</v>
      </c>
      <c r="B660" s="2" t="s">
        <v>1766</v>
      </c>
      <c r="C660" s="12">
        <v>44796</v>
      </c>
      <c r="D660" s="2">
        <v>526</v>
      </c>
      <c r="E660" s="2">
        <v>435.08</v>
      </c>
      <c r="F660" s="2" t="s">
        <v>1769</v>
      </c>
      <c r="G660">
        <f>MROUND(Table_2[[#This Row],[Amount in Sales]],5)</f>
        <v>525</v>
      </c>
    </row>
    <row r="661" spans="1:7" ht="14.25" customHeight="1" x14ac:dyDescent="0.3">
      <c r="A661" s="2" t="s">
        <v>1489</v>
      </c>
      <c r="B661" s="2" t="s">
        <v>1768</v>
      </c>
      <c r="C661" s="12">
        <v>44772</v>
      </c>
      <c r="D661" s="2">
        <v>243</v>
      </c>
      <c r="E661" s="2">
        <v>116.46000000000001</v>
      </c>
      <c r="F661" s="2" t="s">
        <v>1771</v>
      </c>
      <c r="G661">
        <f>MROUND(Table_2[[#This Row],[Amount in Sales]],5)</f>
        <v>245</v>
      </c>
    </row>
    <row r="662" spans="1:7" ht="14.25" customHeight="1" x14ac:dyDescent="0.3">
      <c r="A662" s="2" t="s">
        <v>1491</v>
      </c>
      <c r="B662" s="2" t="s">
        <v>1770</v>
      </c>
      <c r="C662" s="12">
        <v>44809</v>
      </c>
      <c r="D662" s="2">
        <v>637</v>
      </c>
      <c r="E662" s="2">
        <v>31.810000000000002</v>
      </c>
      <c r="F662" s="2" t="s">
        <v>1765</v>
      </c>
      <c r="G662">
        <f>MROUND(Table_2[[#This Row],[Amount in Sales]],5)</f>
        <v>635</v>
      </c>
    </row>
    <row r="663" spans="1:7" ht="14.25" customHeight="1" x14ac:dyDescent="0.3">
      <c r="A663" s="2" t="s">
        <v>1493</v>
      </c>
      <c r="B663" s="2" t="s">
        <v>1772</v>
      </c>
      <c r="C663" s="12">
        <v>44757</v>
      </c>
      <c r="D663" s="2">
        <v>270</v>
      </c>
      <c r="E663" s="2">
        <v>98.36</v>
      </c>
      <c r="F663" s="2" t="s">
        <v>1767</v>
      </c>
      <c r="G663">
        <f>MROUND(Table_2[[#This Row],[Amount in Sales]],5)</f>
        <v>270</v>
      </c>
    </row>
    <row r="664" spans="1:7" ht="14.25" customHeight="1" x14ac:dyDescent="0.3">
      <c r="A664" s="2" t="s">
        <v>1495</v>
      </c>
      <c r="B664" s="2" t="s">
        <v>1773</v>
      </c>
      <c r="C664" s="12">
        <v>44782</v>
      </c>
      <c r="D664" s="2">
        <v>364</v>
      </c>
      <c r="E664" s="2">
        <v>22.970000000000002</v>
      </c>
      <c r="F664" s="2" t="s">
        <v>1769</v>
      </c>
      <c r="G664">
        <f>MROUND(Table_2[[#This Row],[Amount in Sales]],5)</f>
        <v>365</v>
      </c>
    </row>
    <row r="665" spans="1:7" ht="14.25" customHeight="1" x14ac:dyDescent="0.3">
      <c r="A665" s="2" t="s">
        <v>1497</v>
      </c>
      <c r="B665" s="2" t="s">
        <v>1764</v>
      </c>
      <c r="C665" s="12">
        <v>44809</v>
      </c>
      <c r="D665" s="2">
        <v>645</v>
      </c>
      <c r="E665" s="2">
        <v>38.199999999999996</v>
      </c>
      <c r="F665" s="2" t="s">
        <v>1771</v>
      </c>
      <c r="G665">
        <f>MROUND(Table_2[[#This Row],[Amount in Sales]],5)</f>
        <v>645</v>
      </c>
    </row>
    <row r="666" spans="1:7" ht="14.25" customHeight="1" x14ac:dyDescent="0.3">
      <c r="A666" s="2" t="s">
        <v>1499</v>
      </c>
      <c r="B666" s="2" t="s">
        <v>1766</v>
      </c>
      <c r="C666" s="12">
        <v>44795</v>
      </c>
      <c r="D666" s="2">
        <v>746</v>
      </c>
      <c r="E666" s="2">
        <v>242.97</v>
      </c>
      <c r="F666" s="2" t="s">
        <v>1765</v>
      </c>
      <c r="G666">
        <f>MROUND(Table_2[[#This Row],[Amount in Sales]],5)</f>
        <v>745</v>
      </c>
    </row>
    <row r="667" spans="1:7" ht="14.25" customHeight="1" x14ac:dyDescent="0.3">
      <c r="A667" s="2" t="s">
        <v>1501</v>
      </c>
      <c r="B667" s="2" t="s">
        <v>1768</v>
      </c>
      <c r="C667" s="12">
        <v>44801</v>
      </c>
      <c r="D667" s="2">
        <v>450</v>
      </c>
      <c r="E667" s="2">
        <v>164.06</v>
      </c>
      <c r="F667" s="2" t="s">
        <v>1767</v>
      </c>
      <c r="G667">
        <f>MROUND(Table_2[[#This Row],[Amount in Sales]],5)</f>
        <v>450</v>
      </c>
    </row>
    <row r="668" spans="1:7" ht="14.25" customHeight="1" x14ac:dyDescent="0.3">
      <c r="A668" s="2" t="s">
        <v>1503</v>
      </c>
      <c r="B668" s="2" t="s">
        <v>1770</v>
      </c>
      <c r="C668" s="12">
        <v>44770</v>
      </c>
      <c r="D668" s="2">
        <v>413</v>
      </c>
      <c r="E668" s="2">
        <v>200.25</v>
      </c>
      <c r="F668" s="2" t="s">
        <v>1769</v>
      </c>
      <c r="G668">
        <f>MROUND(Table_2[[#This Row],[Amount in Sales]],5)</f>
        <v>415</v>
      </c>
    </row>
    <row r="669" spans="1:7" ht="14.25" customHeight="1" x14ac:dyDescent="0.3">
      <c r="A669" s="2" t="s">
        <v>1505</v>
      </c>
      <c r="B669" s="2" t="s">
        <v>1764</v>
      </c>
      <c r="C669" s="12">
        <v>44764</v>
      </c>
      <c r="D669" s="2">
        <v>471</v>
      </c>
      <c r="E669" s="2">
        <v>313.19</v>
      </c>
      <c r="F669" s="2" t="s">
        <v>1771</v>
      </c>
      <c r="G669">
        <f>MROUND(Table_2[[#This Row],[Amount in Sales]],5)</f>
        <v>470</v>
      </c>
    </row>
    <row r="670" spans="1:7" ht="14.25" customHeight="1" x14ac:dyDescent="0.3">
      <c r="A670" s="2" t="s">
        <v>1507</v>
      </c>
      <c r="B670" s="2" t="s">
        <v>1766</v>
      </c>
      <c r="C670" s="12">
        <v>44776</v>
      </c>
      <c r="D670" s="2">
        <v>550</v>
      </c>
      <c r="E670" s="2">
        <v>124.68</v>
      </c>
      <c r="F670" s="2" t="s">
        <v>1765</v>
      </c>
      <c r="G670">
        <f>MROUND(Table_2[[#This Row],[Amount in Sales]],5)</f>
        <v>550</v>
      </c>
    </row>
    <row r="671" spans="1:7" ht="14.25" customHeight="1" x14ac:dyDescent="0.3">
      <c r="A671" s="2" t="s">
        <v>1509</v>
      </c>
      <c r="B671" s="2" t="s">
        <v>1768</v>
      </c>
      <c r="C671" s="12">
        <v>44771</v>
      </c>
      <c r="D671" s="2">
        <v>747</v>
      </c>
      <c r="E671" s="2">
        <v>288.3</v>
      </c>
      <c r="F671" s="2" t="s">
        <v>1767</v>
      </c>
      <c r="G671">
        <f>MROUND(Table_2[[#This Row],[Amount in Sales]],5)</f>
        <v>745</v>
      </c>
    </row>
    <row r="672" spans="1:7" ht="14.25" customHeight="1" x14ac:dyDescent="0.3">
      <c r="A672" s="2" t="s">
        <v>1511</v>
      </c>
      <c r="B672" s="2" t="s">
        <v>1770</v>
      </c>
      <c r="C672" s="12">
        <v>44794</v>
      </c>
      <c r="D672" s="2">
        <v>552</v>
      </c>
      <c r="E672" s="2">
        <v>12.77</v>
      </c>
      <c r="F672" s="2" t="s">
        <v>1769</v>
      </c>
      <c r="G672">
        <f>MROUND(Table_2[[#This Row],[Amount in Sales]],5)</f>
        <v>550</v>
      </c>
    </row>
    <row r="673" spans="1:7" ht="14.25" customHeight="1" x14ac:dyDescent="0.3">
      <c r="A673" s="2" t="s">
        <v>1513</v>
      </c>
      <c r="B673" s="2" t="s">
        <v>1772</v>
      </c>
      <c r="C673" s="12">
        <v>44792</v>
      </c>
      <c r="D673" s="2">
        <v>441</v>
      </c>
      <c r="E673" s="2">
        <v>181.06</v>
      </c>
      <c r="F673" s="2" t="s">
        <v>1771</v>
      </c>
      <c r="G673">
        <f>MROUND(Table_2[[#This Row],[Amount in Sales]],5)</f>
        <v>440</v>
      </c>
    </row>
    <row r="674" spans="1:7" ht="14.25" customHeight="1" x14ac:dyDescent="0.3">
      <c r="A674" s="2" t="s">
        <v>1515</v>
      </c>
      <c r="B674" s="2" t="s">
        <v>1764</v>
      </c>
      <c r="C674" s="12">
        <v>44792</v>
      </c>
      <c r="D674" s="2">
        <v>311</v>
      </c>
      <c r="E674" s="2">
        <v>89.160000000000011</v>
      </c>
      <c r="F674" s="2" t="s">
        <v>1765</v>
      </c>
      <c r="G674">
        <f>MROUND(Table_2[[#This Row],[Amount in Sales]],5)</f>
        <v>310</v>
      </c>
    </row>
    <row r="675" spans="1:7" ht="14.25" customHeight="1" x14ac:dyDescent="0.3">
      <c r="A675" s="2" t="s">
        <v>1517</v>
      </c>
      <c r="B675" s="2" t="s">
        <v>1766</v>
      </c>
      <c r="C675" s="12">
        <v>44790</v>
      </c>
      <c r="D675" s="2">
        <v>830</v>
      </c>
      <c r="E675" s="2">
        <v>633.31999999999994</v>
      </c>
      <c r="F675" s="2" t="s">
        <v>1767</v>
      </c>
      <c r="G675">
        <f>MROUND(Table_2[[#This Row],[Amount in Sales]],5)</f>
        <v>830</v>
      </c>
    </row>
    <row r="676" spans="1:7" ht="14.25" customHeight="1" x14ac:dyDescent="0.3">
      <c r="A676" s="2" t="s">
        <v>1519</v>
      </c>
      <c r="B676" s="2" t="s">
        <v>1768</v>
      </c>
      <c r="C676" s="12">
        <v>44809</v>
      </c>
      <c r="D676" s="2">
        <v>258</v>
      </c>
      <c r="E676" s="2">
        <v>176.7</v>
      </c>
      <c r="F676" s="2" t="s">
        <v>1769</v>
      </c>
      <c r="G676">
        <f>MROUND(Table_2[[#This Row],[Amount in Sales]],5)</f>
        <v>260</v>
      </c>
    </row>
    <row r="677" spans="1:7" ht="14.25" customHeight="1" x14ac:dyDescent="0.3">
      <c r="A677" s="2" t="s">
        <v>1521</v>
      </c>
      <c r="B677" s="2" t="s">
        <v>1770</v>
      </c>
      <c r="C677" s="12">
        <v>44772</v>
      </c>
      <c r="D677" s="2">
        <v>430</v>
      </c>
      <c r="E677" s="2">
        <v>371.15999999999997</v>
      </c>
      <c r="F677" s="2" t="s">
        <v>1771</v>
      </c>
      <c r="G677">
        <f>MROUND(Table_2[[#This Row],[Amount in Sales]],5)</f>
        <v>430</v>
      </c>
    </row>
    <row r="678" spans="1:7" ht="14.25" customHeight="1" x14ac:dyDescent="0.3">
      <c r="A678" s="2" t="s">
        <v>1523</v>
      </c>
      <c r="B678" s="2" t="s">
        <v>1764</v>
      </c>
      <c r="C678" s="12">
        <v>44802</v>
      </c>
      <c r="D678" s="2">
        <v>788</v>
      </c>
      <c r="E678" s="2">
        <v>35.58</v>
      </c>
      <c r="F678" s="2" t="s">
        <v>1765</v>
      </c>
      <c r="G678">
        <f>MROUND(Table_2[[#This Row],[Amount in Sales]],5)</f>
        <v>790</v>
      </c>
    </row>
    <row r="679" spans="1:7" ht="14.25" customHeight="1" x14ac:dyDescent="0.3">
      <c r="A679" s="2" t="s">
        <v>1525</v>
      </c>
      <c r="B679" s="2" t="s">
        <v>1766</v>
      </c>
      <c r="C679" s="12">
        <v>44809</v>
      </c>
      <c r="D679" s="2">
        <v>605</v>
      </c>
      <c r="E679" s="2">
        <v>14.12</v>
      </c>
      <c r="F679" s="2" t="s">
        <v>1767</v>
      </c>
      <c r="G679">
        <f>MROUND(Table_2[[#This Row],[Amount in Sales]],5)</f>
        <v>605</v>
      </c>
    </row>
    <row r="680" spans="1:7" ht="14.25" customHeight="1" x14ac:dyDescent="0.3">
      <c r="A680" s="2" t="s">
        <v>1527</v>
      </c>
      <c r="B680" s="2" t="s">
        <v>1768</v>
      </c>
      <c r="C680" s="12">
        <v>44793</v>
      </c>
      <c r="D680" s="2">
        <v>321</v>
      </c>
      <c r="E680" s="2">
        <v>51.3</v>
      </c>
      <c r="F680" s="2" t="s">
        <v>1769</v>
      </c>
      <c r="G680">
        <f>MROUND(Table_2[[#This Row],[Amount in Sales]],5)</f>
        <v>320</v>
      </c>
    </row>
    <row r="681" spans="1:7" ht="14.25" customHeight="1" x14ac:dyDescent="0.3">
      <c r="A681" s="2" t="s">
        <v>1529</v>
      </c>
      <c r="B681" s="2" t="s">
        <v>1770</v>
      </c>
      <c r="C681" s="12">
        <v>44802</v>
      </c>
      <c r="D681" s="2">
        <v>579</v>
      </c>
      <c r="E681" s="2">
        <v>260.45999999999998</v>
      </c>
      <c r="F681" s="2" t="s">
        <v>1771</v>
      </c>
      <c r="G681">
        <f>MROUND(Table_2[[#This Row],[Amount in Sales]],5)</f>
        <v>580</v>
      </c>
    </row>
    <row r="682" spans="1:7" ht="14.25" customHeight="1" x14ac:dyDescent="0.3">
      <c r="A682" s="2" t="s">
        <v>1531</v>
      </c>
      <c r="B682" s="2" t="s">
        <v>1772</v>
      </c>
      <c r="C682" s="12">
        <v>44766</v>
      </c>
      <c r="D682" s="2">
        <v>677</v>
      </c>
      <c r="E682" s="2">
        <v>411.40999999999997</v>
      </c>
      <c r="F682" s="2" t="s">
        <v>1765</v>
      </c>
      <c r="G682">
        <f>MROUND(Table_2[[#This Row],[Amount in Sales]],5)</f>
        <v>675</v>
      </c>
    </row>
    <row r="683" spans="1:7" ht="14.25" customHeight="1" x14ac:dyDescent="0.3">
      <c r="A683" s="2" t="s">
        <v>1533</v>
      </c>
      <c r="B683" s="2" t="s">
        <v>1773</v>
      </c>
      <c r="C683" s="12">
        <v>44807</v>
      </c>
      <c r="D683" s="2">
        <v>686</v>
      </c>
      <c r="E683" s="2">
        <v>98.77000000000001</v>
      </c>
      <c r="F683" s="2" t="s">
        <v>1767</v>
      </c>
      <c r="G683">
        <f>MROUND(Table_2[[#This Row],[Amount in Sales]],5)</f>
        <v>685</v>
      </c>
    </row>
    <row r="684" spans="1:7" ht="14.25" customHeight="1" x14ac:dyDescent="0.3">
      <c r="A684" s="2" t="s">
        <v>1535</v>
      </c>
      <c r="B684" s="2" t="s">
        <v>1764</v>
      </c>
      <c r="C684" s="12">
        <v>44784</v>
      </c>
      <c r="D684" s="2">
        <v>875</v>
      </c>
      <c r="E684" s="2">
        <v>116.58</v>
      </c>
      <c r="F684" s="2" t="s">
        <v>1769</v>
      </c>
      <c r="G684">
        <f>MROUND(Table_2[[#This Row],[Amount in Sales]],5)</f>
        <v>875</v>
      </c>
    </row>
    <row r="685" spans="1:7" ht="14.25" customHeight="1" x14ac:dyDescent="0.3">
      <c r="A685" s="2" t="s">
        <v>1537</v>
      </c>
      <c r="B685" s="2" t="s">
        <v>1766</v>
      </c>
      <c r="C685" s="12">
        <v>44763</v>
      </c>
      <c r="D685" s="2">
        <v>693</v>
      </c>
      <c r="E685" s="2">
        <v>328.81</v>
      </c>
      <c r="F685" s="2" t="s">
        <v>1771</v>
      </c>
      <c r="G685">
        <f>MROUND(Table_2[[#This Row],[Amount in Sales]],5)</f>
        <v>695</v>
      </c>
    </row>
    <row r="686" spans="1:7" ht="14.25" customHeight="1" x14ac:dyDescent="0.3">
      <c r="A686" s="2" t="s">
        <v>1539</v>
      </c>
      <c r="B686" s="2" t="s">
        <v>1768</v>
      </c>
      <c r="C686" s="12">
        <v>44799</v>
      </c>
      <c r="D686" s="2">
        <v>820</v>
      </c>
      <c r="E686" s="2">
        <v>208.35999999999999</v>
      </c>
      <c r="F686" s="2" t="s">
        <v>1765</v>
      </c>
      <c r="G686">
        <f>MROUND(Table_2[[#This Row],[Amount in Sales]],5)</f>
        <v>820</v>
      </c>
    </row>
    <row r="687" spans="1:7" ht="14.25" customHeight="1" x14ac:dyDescent="0.3">
      <c r="A687" s="2" t="s">
        <v>1541</v>
      </c>
      <c r="B687" s="2" t="s">
        <v>1770</v>
      </c>
      <c r="C687" s="12">
        <v>44808</v>
      </c>
      <c r="D687" s="2">
        <v>314</v>
      </c>
      <c r="E687" s="2">
        <v>200.92999999999998</v>
      </c>
      <c r="F687" s="2" t="s">
        <v>1767</v>
      </c>
      <c r="G687">
        <f>MROUND(Table_2[[#This Row],[Amount in Sales]],5)</f>
        <v>315</v>
      </c>
    </row>
    <row r="688" spans="1:7" ht="14.25" customHeight="1" x14ac:dyDescent="0.3">
      <c r="A688" s="2" t="s">
        <v>1543</v>
      </c>
      <c r="B688" s="2" t="s">
        <v>1764</v>
      </c>
      <c r="C688" s="12">
        <v>44786</v>
      </c>
      <c r="D688" s="2">
        <v>275</v>
      </c>
      <c r="E688" s="2">
        <v>126.82000000000001</v>
      </c>
      <c r="F688" s="2" t="s">
        <v>1769</v>
      </c>
      <c r="G688">
        <f>MROUND(Table_2[[#This Row],[Amount in Sales]],5)</f>
        <v>275</v>
      </c>
    </row>
    <row r="689" spans="1:7" ht="14.25" customHeight="1" x14ac:dyDescent="0.3">
      <c r="A689" s="2" t="s">
        <v>1545</v>
      </c>
      <c r="B689" s="2" t="s">
        <v>1766</v>
      </c>
      <c r="C689" s="12">
        <v>44770</v>
      </c>
      <c r="D689" s="2">
        <v>686</v>
      </c>
      <c r="E689" s="2">
        <v>249.29999999999998</v>
      </c>
      <c r="F689" s="2" t="s">
        <v>1771</v>
      </c>
      <c r="G689">
        <f>MROUND(Table_2[[#This Row],[Amount in Sales]],5)</f>
        <v>685</v>
      </c>
    </row>
    <row r="690" spans="1:7" ht="14.25" customHeight="1" x14ac:dyDescent="0.3">
      <c r="A690" s="2" t="s">
        <v>1547</v>
      </c>
      <c r="B690" s="2" t="s">
        <v>1768</v>
      </c>
      <c r="C690" s="12">
        <v>44777</v>
      </c>
      <c r="D690" s="2">
        <v>267</v>
      </c>
      <c r="E690" s="2">
        <v>3.36</v>
      </c>
      <c r="F690" s="2" t="s">
        <v>1765</v>
      </c>
      <c r="G690">
        <f>MROUND(Table_2[[#This Row],[Amount in Sales]],5)</f>
        <v>265</v>
      </c>
    </row>
    <row r="691" spans="1:7" ht="14.25" customHeight="1" x14ac:dyDescent="0.3">
      <c r="A691" s="2" t="s">
        <v>1549</v>
      </c>
      <c r="B691" s="2" t="s">
        <v>1770</v>
      </c>
      <c r="C691" s="12">
        <v>44780</v>
      </c>
      <c r="D691" s="2">
        <v>642</v>
      </c>
      <c r="E691" s="2">
        <v>315.8</v>
      </c>
      <c r="F691" s="2" t="s">
        <v>1767</v>
      </c>
      <c r="G691">
        <f>MROUND(Table_2[[#This Row],[Amount in Sales]],5)</f>
        <v>640</v>
      </c>
    </row>
    <row r="692" spans="1:7" ht="14.25" customHeight="1" x14ac:dyDescent="0.3">
      <c r="A692" s="2" t="s">
        <v>1551</v>
      </c>
      <c r="B692" s="2" t="s">
        <v>1764</v>
      </c>
      <c r="C692" s="12">
        <v>44778</v>
      </c>
      <c r="D692" s="2">
        <v>464</v>
      </c>
      <c r="E692" s="2">
        <v>157.23999999999998</v>
      </c>
      <c r="F692" s="2" t="s">
        <v>1769</v>
      </c>
      <c r="G692">
        <f>MROUND(Table_2[[#This Row],[Amount in Sales]],5)</f>
        <v>465</v>
      </c>
    </row>
    <row r="693" spans="1:7" ht="14.25" customHeight="1" x14ac:dyDescent="0.3">
      <c r="A693" s="2" t="s">
        <v>1553</v>
      </c>
      <c r="B693" s="2" t="s">
        <v>1766</v>
      </c>
      <c r="C693" s="12">
        <v>44774</v>
      </c>
      <c r="D693" s="2">
        <v>751</v>
      </c>
      <c r="E693" s="2">
        <v>740.55</v>
      </c>
      <c r="F693" s="2" t="s">
        <v>1771</v>
      </c>
      <c r="G693">
        <f>MROUND(Table_2[[#This Row],[Amount in Sales]],5)</f>
        <v>750</v>
      </c>
    </row>
    <row r="694" spans="1:7" ht="14.25" customHeight="1" x14ac:dyDescent="0.3">
      <c r="A694" s="2" t="s">
        <v>1555</v>
      </c>
      <c r="B694" s="2" t="s">
        <v>1768</v>
      </c>
      <c r="C694" s="12">
        <v>44760</v>
      </c>
      <c r="D694" s="2">
        <v>215</v>
      </c>
      <c r="E694" s="2">
        <v>184.82999999999998</v>
      </c>
      <c r="F694" s="2" t="s">
        <v>1765</v>
      </c>
      <c r="G694">
        <f>MROUND(Table_2[[#This Row],[Amount in Sales]],5)</f>
        <v>215</v>
      </c>
    </row>
    <row r="695" spans="1:7" ht="14.25" customHeight="1" x14ac:dyDescent="0.3">
      <c r="A695" s="2" t="s">
        <v>1557</v>
      </c>
      <c r="B695" s="2" t="s">
        <v>1770</v>
      </c>
      <c r="C695" s="12">
        <v>44756</v>
      </c>
      <c r="D695" s="2">
        <v>577</v>
      </c>
      <c r="E695" s="2">
        <v>493.09</v>
      </c>
      <c r="F695" s="2" t="s">
        <v>1767</v>
      </c>
      <c r="G695">
        <f>MROUND(Table_2[[#This Row],[Amount in Sales]],5)</f>
        <v>575</v>
      </c>
    </row>
    <row r="696" spans="1:7" ht="14.25" customHeight="1" x14ac:dyDescent="0.3">
      <c r="A696" s="2" t="s">
        <v>1559</v>
      </c>
      <c r="B696" s="2" t="s">
        <v>1764</v>
      </c>
      <c r="C696" s="12">
        <v>44755</v>
      </c>
      <c r="D696" s="2">
        <v>643</v>
      </c>
      <c r="E696" s="2">
        <v>176.76999999999998</v>
      </c>
      <c r="F696" s="2" t="s">
        <v>1769</v>
      </c>
      <c r="G696">
        <f>MROUND(Table_2[[#This Row],[Amount in Sales]],5)</f>
        <v>645</v>
      </c>
    </row>
    <row r="697" spans="1:7" ht="14.25" customHeight="1" x14ac:dyDescent="0.3">
      <c r="A697" s="2" t="s">
        <v>1561</v>
      </c>
      <c r="B697" s="2" t="s">
        <v>1766</v>
      </c>
      <c r="C697" s="12">
        <v>44770</v>
      </c>
      <c r="D697" s="2">
        <v>627</v>
      </c>
      <c r="E697" s="2">
        <v>468.83</v>
      </c>
      <c r="F697" s="2" t="s">
        <v>1771</v>
      </c>
      <c r="G697">
        <f>MROUND(Table_2[[#This Row],[Amount in Sales]],5)</f>
        <v>625</v>
      </c>
    </row>
    <row r="698" spans="1:7" ht="14.25" customHeight="1" x14ac:dyDescent="0.3">
      <c r="A698" s="2" t="s">
        <v>1563</v>
      </c>
      <c r="B698" s="2" t="s">
        <v>1768</v>
      </c>
      <c r="C698" s="12">
        <v>44755</v>
      </c>
      <c r="D698" s="2">
        <v>677</v>
      </c>
      <c r="E698" s="2">
        <v>251.57</v>
      </c>
      <c r="F698" s="2" t="s">
        <v>1765</v>
      </c>
      <c r="G698">
        <f>MROUND(Table_2[[#This Row],[Amount in Sales]],5)</f>
        <v>675</v>
      </c>
    </row>
    <row r="699" spans="1:7" ht="14.25" customHeight="1" x14ac:dyDescent="0.3">
      <c r="A699" s="2" t="s">
        <v>1565</v>
      </c>
      <c r="B699" s="2" t="s">
        <v>1770</v>
      </c>
      <c r="C699" s="12">
        <v>44775</v>
      </c>
      <c r="D699" s="2">
        <v>461</v>
      </c>
      <c r="E699" s="2">
        <v>310.89999999999998</v>
      </c>
      <c r="F699" s="2" t="s">
        <v>1767</v>
      </c>
      <c r="G699">
        <f>MROUND(Table_2[[#This Row],[Amount in Sales]],5)</f>
        <v>460</v>
      </c>
    </row>
    <row r="700" spans="1:7" ht="14.25" customHeight="1" x14ac:dyDescent="0.3">
      <c r="A700" s="2" t="s">
        <v>1567</v>
      </c>
      <c r="B700" s="2" t="s">
        <v>1772</v>
      </c>
      <c r="C700" s="12">
        <v>44797</v>
      </c>
      <c r="D700" s="2">
        <v>524</v>
      </c>
      <c r="E700" s="2">
        <v>88.9</v>
      </c>
      <c r="F700" s="2" t="s">
        <v>1769</v>
      </c>
      <c r="G700">
        <f>MROUND(Table_2[[#This Row],[Amount in Sales]],5)</f>
        <v>525</v>
      </c>
    </row>
    <row r="701" spans="1:7" ht="14.25" customHeight="1" x14ac:dyDescent="0.3">
      <c r="A701" s="2" t="s">
        <v>1569</v>
      </c>
      <c r="B701" s="2" t="s">
        <v>1764</v>
      </c>
      <c r="C701" s="12">
        <v>44802</v>
      </c>
      <c r="D701" s="2">
        <v>862</v>
      </c>
      <c r="E701" s="2">
        <v>761.42</v>
      </c>
      <c r="F701" s="2" t="s">
        <v>1771</v>
      </c>
      <c r="G701">
        <f>MROUND(Table_2[[#This Row],[Amount in Sales]],5)</f>
        <v>860</v>
      </c>
    </row>
    <row r="702" spans="1:7" ht="14.25" customHeight="1" x14ac:dyDescent="0.3">
      <c r="A702" s="2" t="s">
        <v>1571</v>
      </c>
      <c r="B702" s="2" t="s">
        <v>1766</v>
      </c>
      <c r="C702" s="12">
        <v>44764</v>
      </c>
      <c r="D702" s="2">
        <v>508</v>
      </c>
      <c r="E702" s="2">
        <v>141.57999999999998</v>
      </c>
      <c r="F702" s="2" t="s">
        <v>1765</v>
      </c>
      <c r="G702">
        <f>MROUND(Table_2[[#This Row],[Amount in Sales]],5)</f>
        <v>510</v>
      </c>
    </row>
    <row r="703" spans="1:7" ht="14.25" customHeight="1" x14ac:dyDescent="0.3">
      <c r="A703" s="2" t="s">
        <v>1573</v>
      </c>
      <c r="B703" s="2" t="s">
        <v>1768</v>
      </c>
      <c r="C703" s="12">
        <v>44780</v>
      </c>
      <c r="D703" s="2">
        <v>208</v>
      </c>
      <c r="E703" s="2">
        <v>89.100000000000009</v>
      </c>
      <c r="F703" s="2" t="s">
        <v>1767</v>
      </c>
      <c r="G703">
        <f>MROUND(Table_2[[#This Row],[Amount in Sales]],5)</f>
        <v>210</v>
      </c>
    </row>
    <row r="704" spans="1:7" ht="14.25" customHeight="1" x14ac:dyDescent="0.3">
      <c r="A704" s="2" t="s">
        <v>1575</v>
      </c>
      <c r="B704" s="2" t="s">
        <v>1770</v>
      </c>
      <c r="C704" s="12">
        <v>44799</v>
      </c>
      <c r="D704" s="2">
        <v>356</v>
      </c>
      <c r="E704" s="2">
        <v>199.64</v>
      </c>
      <c r="F704" s="2" t="s">
        <v>1769</v>
      </c>
      <c r="G704">
        <f>MROUND(Table_2[[#This Row],[Amount in Sales]],5)</f>
        <v>355</v>
      </c>
    </row>
    <row r="705" spans="1:7" ht="14.25" customHeight="1" x14ac:dyDescent="0.3">
      <c r="A705" s="2" t="s">
        <v>1577</v>
      </c>
      <c r="B705" s="2" t="s">
        <v>1764</v>
      </c>
      <c r="C705" s="12">
        <v>44761</v>
      </c>
      <c r="D705" s="2">
        <v>853</v>
      </c>
      <c r="E705" s="2">
        <v>335.96</v>
      </c>
      <c r="F705" s="2" t="s">
        <v>1771</v>
      </c>
      <c r="G705">
        <f>MROUND(Table_2[[#This Row],[Amount in Sales]],5)</f>
        <v>855</v>
      </c>
    </row>
    <row r="706" spans="1:7" ht="14.25" customHeight="1" x14ac:dyDescent="0.3">
      <c r="A706" s="2" t="s">
        <v>1579</v>
      </c>
      <c r="B706" s="2" t="s">
        <v>1766</v>
      </c>
      <c r="C706" s="12">
        <v>44782</v>
      </c>
      <c r="D706" s="2">
        <v>871</v>
      </c>
      <c r="E706" s="2">
        <v>127.28</v>
      </c>
      <c r="F706" s="2" t="s">
        <v>1765</v>
      </c>
      <c r="G706">
        <f>MROUND(Table_2[[#This Row],[Amount in Sales]],5)</f>
        <v>870</v>
      </c>
    </row>
    <row r="707" spans="1:7" ht="14.25" customHeight="1" x14ac:dyDescent="0.3">
      <c r="A707" s="2" t="s">
        <v>1581</v>
      </c>
      <c r="B707" s="2" t="s">
        <v>1768</v>
      </c>
      <c r="C707" s="12">
        <v>44806</v>
      </c>
      <c r="D707" s="2">
        <v>320</v>
      </c>
      <c r="E707" s="2">
        <v>192.14</v>
      </c>
      <c r="F707" s="2" t="s">
        <v>1767</v>
      </c>
      <c r="G707">
        <f>MROUND(Table_2[[#This Row],[Amount in Sales]],5)</f>
        <v>320</v>
      </c>
    </row>
    <row r="708" spans="1:7" ht="14.25" customHeight="1" x14ac:dyDescent="0.3">
      <c r="A708" s="2" t="s">
        <v>1583</v>
      </c>
      <c r="B708" s="2" t="s">
        <v>1770</v>
      </c>
      <c r="C708" s="12">
        <v>44798</v>
      </c>
      <c r="D708" s="2">
        <v>345</v>
      </c>
      <c r="E708" s="2">
        <v>326.02999999999997</v>
      </c>
      <c r="F708" s="2" t="s">
        <v>1769</v>
      </c>
      <c r="G708">
        <f>MROUND(Table_2[[#This Row],[Amount in Sales]],5)</f>
        <v>345</v>
      </c>
    </row>
    <row r="709" spans="1:7" ht="14.25" customHeight="1" x14ac:dyDescent="0.3">
      <c r="A709" s="2" t="s">
        <v>1585</v>
      </c>
      <c r="B709" s="2" t="s">
        <v>1772</v>
      </c>
      <c r="C709" s="12">
        <v>44758</v>
      </c>
      <c r="D709" s="2">
        <v>372</v>
      </c>
      <c r="E709" s="2">
        <v>275.33999999999997</v>
      </c>
      <c r="F709" s="2" t="s">
        <v>1771</v>
      </c>
      <c r="G709">
        <f>MROUND(Table_2[[#This Row],[Amount in Sales]],5)</f>
        <v>370</v>
      </c>
    </row>
    <row r="710" spans="1:7" ht="14.25" customHeight="1" x14ac:dyDescent="0.3">
      <c r="A710" s="2" t="s">
        <v>1587</v>
      </c>
      <c r="B710" s="2" t="s">
        <v>1773</v>
      </c>
      <c r="C710" s="12">
        <v>44785</v>
      </c>
      <c r="D710" s="2">
        <v>330</v>
      </c>
      <c r="E710" s="2">
        <v>289.02</v>
      </c>
      <c r="F710" s="2" t="s">
        <v>1765</v>
      </c>
      <c r="G710">
        <f>MROUND(Table_2[[#This Row],[Amount in Sales]],5)</f>
        <v>330</v>
      </c>
    </row>
    <row r="711" spans="1:7" ht="14.25" customHeight="1" x14ac:dyDescent="0.3">
      <c r="A711" s="2" t="s">
        <v>1589</v>
      </c>
      <c r="B711" s="2" t="s">
        <v>1764</v>
      </c>
      <c r="C711" s="12">
        <v>44761</v>
      </c>
      <c r="D711" s="2">
        <v>555</v>
      </c>
      <c r="E711" s="2">
        <v>40.93</v>
      </c>
      <c r="F711" s="2" t="s">
        <v>1767</v>
      </c>
      <c r="G711">
        <f>MROUND(Table_2[[#This Row],[Amount in Sales]],5)</f>
        <v>555</v>
      </c>
    </row>
    <row r="712" spans="1:7" ht="14.25" customHeight="1" x14ac:dyDescent="0.3">
      <c r="A712" s="2" t="s">
        <v>1591</v>
      </c>
      <c r="B712" s="2" t="s">
        <v>1766</v>
      </c>
      <c r="C712" s="12">
        <v>44800</v>
      </c>
      <c r="D712" s="2">
        <v>397</v>
      </c>
      <c r="E712" s="2">
        <v>273.77</v>
      </c>
      <c r="F712" s="2" t="s">
        <v>1769</v>
      </c>
      <c r="G712">
        <f>MROUND(Table_2[[#This Row],[Amount in Sales]],5)</f>
        <v>395</v>
      </c>
    </row>
    <row r="713" spans="1:7" ht="14.25" customHeight="1" x14ac:dyDescent="0.3">
      <c r="A713" s="2" t="s">
        <v>1593</v>
      </c>
      <c r="B713" s="2" t="s">
        <v>1768</v>
      </c>
      <c r="C713" s="12">
        <v>44807</v>
      </c>
      <c r="D713" s="2">
        <v>405</v>
      </c>
      <c r="E713" s="2">
        <v>131.34</v>
      </c>
      <c r="F713" s="2" t="s">
        <v>1771</v>
      </c>
      <c r="G713">
        <f>MROUND(Table_2[[#This Row],[Amount in Sales]],5)</f>
        <v>405</v>
      </c>
    </row>
    <row r="714" spans="1:7" ht="14.25" customHeight="1" x14ac:dyDescent="0.3">
      <c r="A714" s="2" t="s">
        <v>1595</v>
      </c>
      <c r="B714" s="2" t="s">
        <v>1770</v>
      </c>
      <c r="C714" s="12">
        <v>44799</v>
      </c>
      <c r="D714" s="2">
        <v>724</v>
      </c>
      <c r="E714" s="2">
        <v>230.53</v>
      </c>
      <c r="F714" s="2" t="s">
        <v>1765</v>
      </c>
      <c r="G714">
        <f>MROUND(Table_2[[#This Row],[Amount in Sales]],5)</f>
        <v>725</v>
      </c>
    </row>
    <row r="715" spans="1:7" ht="14.25" customHeight="1" x14ac:dyDescent="0.3">
      <c r="A715" s="2" t="s">
        <v>1597</v>
      </c>
      <c r="B715" s="2" t="s">
        <v>1764</v>
      </c>
      <c r="C715" s="12">
        <v>44759</v>
      </c>
      <c r="D715" s="2">
        <v>285</v>
      </c>
      <c r="E715" s="2">
        <v>265.02</v>
      </c>
      <c r="F715" s="2" t="s">
        <v>1767</v>
      </c>
      <c r="G715">
        <f>MROUND(Table_2[[#This Row],[Amount in Sales]],5)</f>
        <v>285</v>
      </c>
    </row>
    <row r="716" spans="1:7" ht="14.25" customHeight="1" x14ac:dyDescent="0.3">
      <c r="A716" s="2" t="s">
        <v>1599</v>
      </c>
      <c r="B716" s="2" t="s">
        <v>1766</v>
      </c>
      <c r="C716" s="12">
        <v>44763</v>
      </c>
      <c r="D716" s="2">
        <v>275</v>
      </c>
      <c r="E716" s="2">
        <v>210.06</v>
      </c>
      <c r="F716" s="2" t="s">
        <v>1769</v>
      </c>
      <c r="G716">
        <f>MROUND(Table_2[[#This Row],[Amount in Sales]],5)</f>
        <v>275</v>
      </c>
    </row>
    <row r="717" spans="1:7" ht="14.25" customHeight="1" x14ac:dyDescent="0.3">
      <c r="A717" s="2" t="s">
        <v>1601</v>
      </c>
      <c r="B717" s="2" t="s">
        <v>1768</v>
      </c>
      <c r="C717" s="12">
        <v>44776</v>
      </c>
      <c r="D717" s="2">
        <v>870</v>
      </c>
      <c r="E717" s="2">
        <v>571.76</v>
      </c>
      <c r="F717" s="2" t="s">
        <v>1771</v>
      </c>
      <c r="G717">
        <f>MROUND(Table_2[[#This Row],[Amount in Sales]],5)</f>
        <v>870</v>
      </c>
    </row>
    <row r="718" spans="1:7" ht="14.25" customHeight="1" x14ac:dyDescent="0.3">
      <c r="A718" s="2" t="s">
        <v>1603</v>
      </c>
      <c r="B718" s="2" t="s">
        <v>1770</v>
      </c>
      <c r="C718" s="12">
        <v>44763</v>
      </c>
      <c r="D718" s="2">
        <v>603</v>
      </c>
      <c r="E718" s="2">
        <v>21.82</v>
      </c>
      <c r="F718" s="2" t="s">
        <v>1765</v>
      </c>
      <c r="G718">
        <f>MROUND(Table_2[[#This Row],[Amount in Sales]],5)</f>
        <v>605</v>
      </c>
    </row>
    <row r="719" spans="1:7" ht="14.25" customHeight="1" x14ac:dyDescent="0.3">
      <c r="A719" s="2" t="s">
        <v>1605</v>
      </c>
      <c r="B719" s="2" t="s">
        <v>1772</v>
      </c>
      <c r="C719" s="12">
        <v>44803</v>
      </c>
      <c r="D719" s="2">
        <v>431</v>
      </c>
      <c r="E719" s="2">
        <v>303.84999999999997</v>
      </c>
      <c r="F719" s="2" t="s">
        <v>1767</v>
      </c>
      <c r="G719">
        <f>MROUND(Table_2[[#This Row],[Amount in Sales]],5)</f>
        <v>430</v>
      </c>
    </row>
    <row r="720" spans="1:7" ht="14.25" customHeight="1" x14ac:dyDescent="0.3">
      <c r="A720" s="2" t="s">
        <v>1607</v>
      </c>
      <c r="B720" s="2" t="s">
        <v>1764</v>
      </c>
      <c r="C720" s="12">
        <v>44806</v>
      </c>
      <c r="D720" s="2">
        <v>311</v>
      </c>
      <c r="E720" s="2">
        <v>147.38999999999999</v>
      </c>
      <c r="F720" s="2" t="s">
        <v>1769</v>
      </c>
      <c r="G720">
        <f>MROUND(Table_2[[#This Row],[Amount in Sales]],5)</f>
        <v>310</v>
      </c>
    </row>
    <row r="721" spans="1:7" ht="14.25" customHeight="1" x14ac:dyDescent="0.3">
      <c r="A721" s="2" t="s">
        <v>1609</v>
      </c>
      <c r="B721" s="2" t="s">
        <v>1766</v>
      </c>
      <c r="C721" s="12">
        <v>44774</v>
      </c>
      <c r="D721" s="2">
        <v>743</v>
      </c>
      <c r="E721" s="2">
        <v>260.75</v>
      </c>
      <c r="F721" s="2" t="s">
        <v>1771</v>
      </c>
      <c r="G721">
        <f>MROUND(Table_2[[#This Row],[Amount in Sales]],5)</f>
        <v>745</v>
      </c>
    </row>
    <row r="722" spans="1:7" ht="14.25" customHeight="1" x14ac:dyDescent="0.3">
      <c r="A722" s="2" t="s">
        <v>1611</v>
      </c>
      <c r="B722" s="2" t="s">
        <v>1768</v>
      </c>
      <c r="C722" s="12">
        <v>44769</v>
      </c>
      <c r="D722" s="2">
        <v>507</v>
      </c>
      <c r="E722" s="2">
        <v>164.7</v>
      </c>
      <c r="F722" s="2" t="s">
        <v>1765</v>
      </c>
      <c r="G722">
        <f>MROUND(Table_2[[#This Row],[Amount in Sales]],5)</f>
        <v>505</v>
      </c>
    </row>
    <row r="723" spans="1:7" ht="14.25" customHeight="1" x14ac:dyDescent="0.3">
      <c r="A723" s="2" t="s">
        <v>1613</v>
      </c>
      <c r="B723" s="2" t="s">
        <v>1770</v>
      </c>
      <c r="C723" s="12">
        <v>44793</v>
      </c>
      <c r="D723" s="2">
        <v>592</v>
      </c>
      <c r="E723" s="2">
        <v>44.879999999999995</v>
      </c>
      <c r="F723" s="2" t="s">
        <v>1767</v>
      </c>
      <c r="G723">
        <f>MROUND(Table_2[[#This Row],[Amount in Sales]],5)</f>
        <v>590</v>
      </c>
    </row>
    <row r="724" spans="1:7" ht="14.25" customHeight="1" x14ac:dyDescent="0.3">
      <c r="A724" s="2" t="s">
        <v>1615</v>
      </c>
      <c r="B724" s="2" t="s">
        <v>1764</v>
      </c>
      <c r="C724" s="12">
        <v>44768</v>
      </c>
      <c r="D724" s="2">
        <v>288</v>
      </c>
      <c r="E724" s="2">
        <v>201.94</v>
      </c>
      <c r="F724" s="2" t="s">
        <v>1769</v>
      </c>
      <c r="G724">
        <f>MROUND(Table_2[[#This Row],[Amount in Sales]],5)</f>
        <v>290</v>
      </c>
    </row>
    <row r="725" spans="1:7" ht="14.25" customHeight="1" x14ac:dyDescent="0.3">
      <c r="A725" s="2" t="s">
        <v>1617</v>
      </c>
      <c r="B725" s="2" t="s">
        <v>1766</v>
      </c>
      <c r="C725" s="12">
        <v>44803</v>
      </c>
      <c r="D725" s="2">
        <v>434</v>
      </c>
      <c r="E725" s="2">
        <v>122.89</v>
      </c>
      <c r="F725" s="2" t="s">
        <v>1771</v>
      </c>
      <c r="G725">
        <f>MROUND(Table_2[[#This Row],[Amount in Sales]],5)</f>
        <v>435</v>
      </c>
    </row>
    <row r="726" spans="1:7" ht="14.25" customHeight="1" x14ac:dyDescent="0.3">
      <c r="A726" s="2" t="s">
        <v>1619</v>
      </c>
      <c r="B726" s="2" t="s">
        <v>1768</v>
      </c>
      <c r="C726" s="12">
        <v>44755</v>
      </c>
      <c r="D726" s="2">
        <v>538</v>
      </c>
      <c r="E726" s="2">
        <v>164.45999999999998</v>
      </c>
      <c r="F726" s="2" t="s">
        <v>1765</v>
      </c>
      <c r="G726">
        <f>MROUND(Table_2[[#This Row],[Amount in Sales]],5)</f>
        <v>540</v>
      </c>
    </row>
    <row r="727" spans="1:7" ht="14.25" customHeight="1" x14ac:dyDescent="0.3">
      <c r="A727" s="2" t="s">
        <v>1621</v>
      </c>
      <c r="B727" s="2" t="s">
        <v>1770</v>
      </c>
      <c r="C727" s="12">
        <v>44789</v>
      </c>
      <c r="D727" s="2">
        <v>356</v>
      </c>
      <c r="E727" s="2">
        <v>72.45</v>
      </c>
      <c r="F727" s="2" t="s">
        <v>1767</v>
      </c>
      <c r="G727">
        <f>MROUND(Table_2[[#This Row],[Amount in Sales]],5)</f>
        <v>355</v>
      </c>
    </row>
    <row r="728" spans="1:7" ht="14.25" customHeight="1" x14ac:dyDescent="0.3">
      <c r="A728" s="2" t="s">
        <v>1623</v>
      </c>
      <c r="B728" s="2" t="s">
        <v>1772</v>
      </c>
      <c r="C728" s="12">
        <v>44785</v>
      </c>
      <c r="D728" s="2">
        <v>666</v>
      </c>
      <c r="E728" s="2">
        <v>616.83000000000004</v>
      </c>
      <c r="F728" s="2" t="s">
        <v>1769</v>
      </c>
      <c r="G728">
        <f>MROUND(Table_2[[#This Row],[Amount in Sales]],5)</f>
        <v>665</v>
      </c>
    </row>
    <row r="729" spans="1:7" ht="14.25" customHeight="1" x14ac:dyDescent="0.3">
      <c r="A729" s="2" t="s">
        <v>1625</v>
      </c>
      <c r="B729" s="2" t="s">
        <v>1773</v>
      </c>
      <c r="C729" s="12">
        <v>44775</v>
      </c>
      <c r="D729" s="2">
        <v>409</v>
      </c>
      <c r="E729" s="2">
        <v>399.59</v>
      </c>
      <c r="F729" s="2" t="s">
        <v>1771</v>
      </c>
      <c r="G729">
        <f>MROUND(Table_2[[#This Row],[Amount in Sales]],5)</f>
        <v>410</v>
      </c>
    </row>
    <row r="730" spans="1:7" ht="14.25" customHeight="1" x14ac:dyDescent="0.3">
      <c r="A730" s="2" t="s">
        <v>1627</v>
      </c>
      <c r="B730" s="2" t="s">
        <v>1764</v>
      </c>
      <c r="C730" s="12">
        <v>44807</v>
      </c>
      <c r="D730" s="2">
        <v>328</v>
      </c>
      <c r="E730" s="2">
        <v>46.41</v>
      </c>
      <c r="F730" s="2" t="s">
        <v>1765</v>
      </c>
      <c r="G730">
        <f>MROUND(Table_2[[#This Row],[Amount in Sales]],5)</f>
        <v>330</v>
      </c>
    </row>
    <row r="731" spans="1:7" ht="14.25" customHeight="1" x14ac:dyDescent="0.3">
      <c r="A731" s="2" t="s">
        <v>1629</v>
      </c>
      <c r="B731" s="2" t="s">
        <v>1766</v>
      </c>
      <c r="C731" s="12">
        <v>44765</v>
      </c>
      <c r="D731" s="2">
        <v>666</v>
      </c>
      <c r="E731" s="2">
        <v>408.55</v>
      </c>
      <c r="F731" s="2" t="s">
        <v>1767</v>
      </c>
      <c r="G731">
        <f>MROUND(Table_2[[#This Row],[Amount in Sales]],5)</f>
        <v>665</v>
      </c>
    </row>
    <row r="732" spans="1:7" ht="14.25" customHeight="1" x14ac:dyDescent="0.3">
      <c r="A732" s="2" t="s">
        <v>1631</v>
      </c>
      <c r="B732" s="2" t="s">
        <v>1768</v>
      </c>
      <c r="C732" s="12">
        <v>44791</v>
      </c>
      <c r="D732" s="2">
        <v>713</v>
      </c>
      <c r="E732" s="2">
        <v>15.42</v>
      </c>
      <c r="F732" s="2" t="s">
        <v>1769</v>
      </c>
      <c r="G732">
        <f>MROUND(Table_2[[#This Row],[Amount in Sales]],5)</f>
        <v>715</v>
      </c>
    </row>
    <row r="733" spans="1:7" ht="14.25" customHeight="1" x14ac:dyDescent="0.3">
      <c r="A733" s="2" t="s">
        <v>1633</v>
      </c>
      <c r="B733" s="2" t="s">
        <v>1770</v>
      </c>
      <c r="C733" s="12">
        <v>44777</v>
      </c>
      <c r="D733" s="2">
        <v>236</v>
      </c>
      <c r="E733" s="2">
        <v>185.34</v>
      </c>
      <c r="F733" s="2" t="s">
        <v>1771</v>
      </c>
      <c r="G733">
        <f>MROUND(Table_2[[#This Row],[Amount in Sales]],5)</f>
        <v>235</v>
      </c>
    </row>
    <row r="734" spans="1:7" ht="14.25" customHeight="1" x14ac:dyDescent="0.3">
      <c r="A734" s="2" t="s">
        <v>1635</v>
      </c>
      <c r="B734" s="2" t="s">
        <v>1764</v>
      </c>
      <c r="C734" s="12">
        <v>44806</v>
      </c>
      <c r="D734" s="2">
        <v>601</v>
      </c>
      <c r="E734" s="2">
        <v>67.28</v>
      </c>
      <c r="F734" s="2" t="s">
        <v>1765</v>
      </c>
      <c r="G734">
        <f>MROUND(Table_2[[#This Row],[Amount in Sales]],5)</f>
        <v>600</v>
      </c>
    </row>
    <row r="735" spans="1:7" ht="14.25" customHeight="1" x14ac:dyDescent="0.3">
      <c r="A735" s="2" t="s">
        <v>1637</v>
      </c>
      <c r="B735" s="2" t="s">
        <v>1766</v>
      </c>
      <c r="C735" s="12">
        <v>44796</v>
      </c>
      <c r="D735" s="2">
        <v>791</v>
      </c>
      <c r="E735" s="2">
        <v>652.06999999999994</v>
      </c>
      <c r="F735" s="2" t="s">
        <v>1767</v>
      </c>
      <c r="G735">
        <f>MROUND(Table_2[[#This Row],[Amount in Sales]],5)</f>
        <v>790</v>
      </c>
    </row>
    <row r="736" spans="1:7" ht="14.25" customHeight="1" x14ac:dyDescent="0.3">
      <c r="A736" s="2" t="s">
        <v>1639</v>
      </c>
      <c r="B736" s="2" t="s">
        <v>1768</v>
      </c>
      <c r="C736" s="12">
        <v>44760</v>
      </c>
      <c r="D736" s="2">
        <v>657</v>
      </c>
      <c r="E736" s="2">
        <v>53.94</v>
      </c>
      <c r="F736" s="2" t="s">
        <v>1769</v>
      </c>
      <c r="G736">
        <f>MROUND(Table_2[[#This Row],[Amount in Sales]],5)</f>
        <v>655</v>
      </c>
    </row>
    <row r="737" spans="1:7" ht="14.25" customHeight="1" x14ac:dyDescent="0.3">
      <c r="A737" s="2" t="s">
        <v>1641</v>
      </c>
      <c r="B737" s="2" t="s">
        <v>1770</v>
      </c>
      <c r="C737" s="12">
        <v>44759</v>
      </c>
      <c r="D737" s="2">
        <v>383</v>
      </c>
      <c r="E737" s="2">
        <v>70.490000000000009</v>
      </c>
      <c r="F737" s="2" t="s">
        <v>1771</v>
      </c>
      <c r="G737">
        <f>MROUND(Table_2[[#This Row],[Amount in Sales]],5)</f>
        <v>385</v>
      </c>
    </row>
    <row r="738" spans="1:7" ht="14.25" customHeight="1" x14ac:dyDescent="0.3">
      <c r="A738" s="2" t="s">
        <v>1643</v>
      </c>
      <c r="B738" s="2" t="s">
        <v>1764</v>
      </c>
      <c r="C738" s="12">
        <v>44795</v>
      </c>
      <c r="D738" s="2">
        <v>458</v>
      </c>
      <c r="E738" s="2">
        <v>194.14999999999998</v>
      </c>
      <c r="F738" s="2" t="s">
        <v>1765</v>
      </c>
      <c r="G738">
        <f>MROUND(Table_2[[#This Row],[Amount in Sales]],5)</f>
        <v>460</v>
      </c>
    </row>
    <row r="739" spans="1:7" ht="14.25" customHeight="1" x14ac:dyDescent="0.3">
      <c r="A739" s="2" t="s">
        <v>1645</v>
      </c>
      <c r="B739" s="2" t="s">
        <v>1766</v>
      </c>
      <c r="C739" s="12">
        <v>44808</v>
      </c>
      <c r="D739" s="2">
        <v>212</v>
      </c>
      <c r="E739" s="2">
        <v>9.18</v>
      </c>
      <c r="F739" s="2" t="s">
        <v>1767</v>
      </c>
      <c r="G739">
        <f>MROUND(Table_2[[#This Row],[Amount in Sales]],5)</f>
        <v>210</v>
      </c>
    </row>
    <row r="740" spans="1:7" ht="14.25" customHeight="1" x14ac:dyDescent="0.3">
      <c r="A740" s="2" t="s">
        <v>1647</v>
      </c>
      <c r="B740" s="2" t="s">
        <v>1768</v>
      </c>
      <c r="C740" s="12">
        <v>44756</v>
      </c>
      <c r="D740" s="2">
        <v>897</v>
      </c>
      <c r="E740" s="2">
        <v>643.14</v>
      </c>
      <c r="F740" s="2" t="s">
        <v>1769</v>
      </c>
      <c r="G740">
        <f>MROUND(Table_2[[#This Row],[Amount in Sales]],5)</f>
        <v>895</v>
      </c>
    </row>
    <row r="741" spans="1:7" ht="14.25" customHeight="1" x14ac:dyDescent="0.3">
      <c r="A741" s="2" t="s">
        <v>1649</v>
      </c>
      <c r="B741" s="2" t="s">
        <v>1770</v>
      </c>
      <c r="C741" s="12">
        <v>44801</v>
      </c>
      <c r="D741" s="2">
        <v>341</v>
      </c>
      <c r="E741" s="2">
        <v>101.25</v>
      </c>
      <c r="F741" s="2" t="s">
        <v>1771</v>
      </c>
      <c r="G741">
        <f>MROUND(Table_2[[#This Row],[Amount in Sales]],5)</f>
        <v>340</v>
      </c>
    </row>
    <row r="742" spans="1:7" ht="14.25" customHeight="1" x14ac:dyDescent="0.3">
      <c r="A742" s="2" t="s">
        <v>1651</v>
      </c>
      <c r="B742" s="2" t="s">
        <v>1764</v>
      </c>
      <c r="C742" s="12">
        <v>44806</v>
      </c>
      <c r="D742" s="2">
        <v>789</v>
      </c>
      <c r="E742" s="2">
        <v>217.32999999999998</v>
      </c>
      <c r="F742" s="2" t="s">
        <v>1765</v>
      </c>
      <c r="G742">
        <f>MROUND(Table_2[[#This Row],[Amount in Sales]],5)</f>
        <v>790</v>
      </c>
    </row>
    <row r="743" spans="1:7" ht="14.25" customHeight="1" x14ac:dyDescent="0.3">
      <c r="A743" s="2" t="s">
        <v>1653</v>
      </c>
      <c r="B743" s="2" t="s">
        <v>1766</v>
      </c>
      <c r="C743" s="12">
        <v>44794</v>
      </c>
      <c r="D743" s="2">
        <v>250</v>
      </c>
      <c r="E743" s="2">
        <v>158.38999999999999</v>
      </c>
      <c r="F743" s="2" t="s">
        <v>1767</v>
      </c>
      <c r="G743">
        <f>MROUND(Table_2[[#This Row],[Amount in Sales]],5)</f>
        <v>250</v>
      </c>
    </row>
    <row r="744" spans="1:7" ht="14.25" customHeight="1" x14ac:dyDescent="0.3">
      <c r="A744" s="2" t="s">
        <v>1655</v>
      </c>
      <c r="B744" s="2" t="s">
        <v>1768</v>
      </c>
      <c r="C744" s="12">
        <v>44800</v>
      </c>
      <c r="D744" s="2">
        <v>470</v>
      </c>
      <c r="E744" s="2">
        <v>335.3</v>
      </c>
      <c r="F744" s="2" t="s">
        <v>1769</v>
      </c>
      <c r="G744">
        <f>MROUND(Table_2[[#This Row],[Amount in Sales]],5)</f>
        <v>470</v>
      </c>
    </row>
    <row r="745" spans="1:7" ht="14.25" customHeight="1" x14ac:dyDescent="0.3">
      <c r="A745" s="2" t="s">
        <v>1657</v>
      </c>
      <c r="B745" s="2" t="s">
        <v>1770</v>
      </c>
      <c r="C745" s="12">
        <v>44789</v>
      </c>
      <c r="D745" s="2">
        <v>775</v>
      </c>
      <c r="E745" s="2">
        <v>516.29</v>
      </c>
      <c r="F745" s="2" t="s">
        <v>1771</v>
      </c>
      <c r="G745">
        <f>MROUND(Table_2[[#This Row],[Amount in Sales]],5)</f>
        <v>775</v>
      </c>
    </row>
    <row r="746" spans="1:7" ht="14.25" customHeight="1" x14ac:dyDescent="0.3">
      <c r="A746" s="2" t="s">
        <v>1659</v>
      </c>
      <c r="B746" s="2" t="s">
        <v>1772</v>
      </c>
      <c r="C746" s="12">
        <v>44802</v>
      </c>
      <c r="D746" s="2">
        <v>741</v>
      </c>
      <c r="E746" s="2">
        <v>464.24</v>
      </c>
      <c r="F746" s="2" t="s">
        <v>1765</v>
      </c>
      <c r="G746">
        <f>MROUND(Table_2[[#This Row],[Amount in Sales]],5)</f>
        <v>740</v>
      </c>
    </row>
    <row r="747" spans="1:7" ht="14.25" customHeight="1" x14ac:dyDescent="0.3">
      <c r="A747" s="2" t="s">
        <v>1661</v>
      </c>
      <c r="B747" s="2" t="s">
        <v>1764</v>
      </c>
      <c r="C747" s="12">
        <v>44793</v>
      </c>
      <c r="D747" s="2">
        <v>479</v>
      </c>
      <c r="E747" s="2">
        <v>326.75</v>
      </c>
      <c r="F747" s="2" t="s">
        <v>1767</v>
      </c>
      <c r="G747">
        <f>MROUND(Table_2[[#This Row],[Amount in Sales]],5)</f>
        <v>480</v>
      </c>
    </row>
    <row r="748" spans="1:7" ht="14.25" customHeight="1" x14ac:dyDescent="0.3">
      <c r="A748" s="2" t="s">
        <v>1663</v>
      </c>
      <c r="B748" s="2" t="s">
        <v>1766</v>
      </c>
      <c r="C748" s="12">
        <v>44793</v>
      </c>
      <c r="D748" s="2">
        <v>459</v>
      </c>
      <c r="E748" s="2">
        <v>17.66</v>
      </c>
      <c r="F748" s="2" t="s">
        <v>1769</v>
      </c>
      <c r="G748">
        <f>MROUND(Table_2[[#This Row],[Amount in Sales]],5)</f>
        <v>460</v>
      </c>
    </row>
    <row r="749" spans="1:7" ht="14.25" customHeight="1" x14ac:dyDescent="0.3">
      <c r="A749" s="2" t="s">
        <v>1665</v>
      </c>
      <c r="B749" s="2" t="s">
        <v>1768</v>
      </c>
      <c r="C749" s="12">
        <v>44785</v>
      </c>
      <c r="D749" s="2">
        <v>303</v>
      </c>
      <c r="E749" s="2">
        <v>125.46000000000001</v>
      </c>
      <c r="F749" s="2" t="s">
        <v>1771</v>
      </c>
      <c r="G749">
        <f>MROUND(Table_2[[#This Row],[Amount in Sales]],5)</f>
        <v>305</v>
      </c>
    </row>
    <row r="750" spans="1:7" ht="14.25" customHeight="1" x14ac:dyDescent="0.3">
      <c r="A750" s="2" t="s">
        <v>1667</v>
      </c>
      <c r="B750" s="2" t="s">
        <v>1770</v>
      </c>
      <c r="C750" s="12">
        <v>44778</v>
      </c>
      <c r="D750" s="2">
        <v>586</v>
      </c>
      <c r="E750" s="2">
        <v>171.23</v>
      </c>
      <c r="F750" s="2" t="s">
        <v>1765</v>
      </c>
      <c r="G750">
        <f>MROUND(Table_2[[#This Row],[Amount in Sales]],5)</f>
        <v>585</v>
      </c>
    </row>
    <row r="751" spans="1:7" ht="14.25" customHeight="1" x14ac:dyDescent="0.3">
      <c r="A751" s="2" t="s">
        <v>1669</v>
      </c>
      <c r="B751" s="2" t="s">
        <v>1764</v>
      </c>
      <c r="C751" s="12">
        <v>44764</v>
      </c>
      <c r="D751" s="2">
        <v>771</v>
      </c>
      <c r="E751" s="2">
        <v>307.45</v>
      </c>
      <c r="F751" s="2" t="s">
        <v>1767</v>
      </c>
      <c r="G751">
        <f>MROUND(Table_2[[#This Row],[Amount in Sales]],5)</f>
        <v>770</v>
      </c>
    </row>
    <row r="752" spans="1:7" ht="14.25" customHeight="1" x14ac:dyDescent="0.3">
      <c r="A752" s="2" t="s">
        <v>1671</v>
      </c>
      <c r="B752" s="2" t="s">
        <v>1766</v>
      </c>
      <c r="C752" s="12">
        <v>44769</v>
      </c>
      <c r="D752" s="2">
        <v>711</v>
      </c>
      <c r="E752" s="2">
        <v>535.02</v>
      </c>
      <c r="F752" s="2" t="s">
        <v>1769</v>
      </c>
      <c r="G752">
        <f>MROUND(Table_2[[#This Row],[Amount in Sales]],5)</f>
        <v>710</v>
      </c>
    </row>
    <row r="753" spans="1:7" ht="14.25" customHeight="1" x14ac:dyDescent="0.3">
      <c r="A753" s="2" t="s">
        <v>1673</v>
      </c>
      <c r="B753" s="2" t="s">
        <v>1768</v>
      </c>
      <c r="C753" s="12">
        <v>44794</v>
      </c>
      <c r="D753" s="2">
        <v>557</v>
      </c>
      <c r="E753" s="2">
        <v>0.4</v>
      </c>
      <c r="F753" s="2" t="s">
        <v>1771</v>
      </c>
      <c r="G753">
        <f>MROUND(Table_2[[#This Row],[Amount in Sales]],5)</f>
        <v>555</v>
      </c>
    </row>
    <row r="754" spans="1:7" ht="14.25" customHeight="1" x14ac:dyDescent="0.3">
      <c r="A754" s="2" t="s">
        <v>1675</v>
      </c>
      <c r="B754" s="2" t="s">
        <v>1770</v>
      </c>
      <c r="C754" s="12">
        <v>44766</v>
      </c>
      <c r="D754" s="2">
        <v>823</v>
      </c>
      <c r="E754" s="2">
        <v>817.01</v>
      </c>
      <c r="F754" s="2" t="s">
        <v>1765</v>
      </c>
      <c r="G754">
        <f>MROUND(Table_2[[#This Row],[Amount in Sales]],5)</f>
        <v>825</v>
      </c>
    </row>
    <row r="755" spans="1:7" ht="14.25" customHeight="1" x14ac:dyDescent="0.3">
      <c r="A755" s="2" t="s">
        <v>1677</v>
      </c>
      <c r="B755" s="2" t="s">
        <v>1772</v>
      </c>
      <c r="C755" s="12">
        <v>44772</v>
      </c>
      <c r="D755" s="2">
        <v>553</v>
      </c>
      <c r="E755" s="2">
        <v>119.82000000000001</v>
      </c>
      <c r="F755" s="2" t="s">
        <v>1767</v>
      </c>
      <c r="G755">
        <f>MROUND(Table_2[[#This Row],[Amount in Sales]],5)</f>
        <v>555</v>
      </c>
    </row>
    <row r="756" spans="1:7" ht="14.25" customHeight="1" x14ac:dyDescent="0.3">
      <c r="A756" s="2" t="s">
        <v>1679</v>
      </c>
      <c r="B756" s="2" t="s">
        <v>1773</v>
      </c>
      <c r="C756" s="12">
        <v>44787</v>
      </c>
      <c r="D756" s="2">
        <v>756</v>
      </c>
      <c r="E756" s="2">
        <v>754.06</v>
      </c>
      <c r="F756" s="2" t="s">
        <v>1769</v>
      </c>
      <c r="G756">
        <f>MROUND(Table_2[[#This Row],[Amount in Sales]],5)</f>
        <v>755</v>
      </c>
    </row>
    <row r="757" spans="1:7" ht="14.25" customHeight="1" x14ac:dyDescent="0.3">
      <c r="A757" s="2" t="s">
        <v>1681</v>
      </c>
      <c r="B757" s="2" t="s">
        <v>1764</v>
      </c>
      <c r="C757" s="12">
        <v>44755</v>
      </c>
      <c r="D757" s="2">
        <v>325</v>
      </c>
      <c r="E757" s="2">
        <v>167.51</v>
      </c>
      <c r="F757" s="2" t="s">
        <v>1771</v>
      </c>
      <c r="G757">
        <f>MROUND(Table_2[[#This Row],[Amount in Sales]],5)</f>
        <v>325</v>
      </c>
    </row>
    <row r="758" spans="1:7" ht="14.25" customHeight="1" x14ac:dyDescent="0.3">
      <c r="A758" s="2" t="s">
        <v>1683</v>
      </c>
      <c r="B758" s="2" t="s">
        <v>1766</v>
      </c>
      <c r="C758" s="12">
        <v>44785</v>
      </c>
      <c r="D758" s="2">
        <v>769</v>
      </c>
      <c r="E758" s="2">
        <v>477.88</v>
      </c>
      <c r="F758" s="2" t="s">
        <v>1765</v>
      </c>
      <c r="G758">
        <f>MROUND(Table_2[[#This Row],[Amount in Sales]],5)</f>
        <v>770</v>
      </c>
    </row>
    <row r="759" spans="1:7" ht="14.25" customHeight="1" x14ac:dyDescent="0.3">
      <c r="A759" s="2" t="s">
        <v>1685</v>
      </c>
      <c r="B759" s="2" t="s">
        <v>1768</v>
      </c>
      <c r="C759" s="12">
        <v>44761</v>
      </c>
      <c r="D759" s="2">
        <v>873</v>
      </c>
      <c r="E759" s="2">
        <v>635.64</v>
      </c>
      <c r="F759" s="2" t="s">
        <v>1767</v>
      </c>
      <c r="G759">
        <f>MROUND(Table_2[[#This Row],[Amount in Sales]],5)</f>
        <v>875</v>
      </c>
    </row>
    <row r="760" spans="1:7" ht="14.25" customHeight="1" x14ac:dyDescent="0.3">
      <c r="A760" s="2" t="s">
        <v>1687</v>
      </c>
      <c r="B760" s="2" t="s">
        <v>1770</v>
      </c>
      <c r="C760" s="12">
        <v>44770</v>
      </c>
      <c r="D760" s="2">
        <v>350</v>
      </c>
      <c r="E760" s="2">
        <v>270.82</v>
      </c>
      <c r="F760" s="2" t="s">
        <v>1769</v>
      </c>
      <c r="G760">
        <f>MROUND(Table_2[[#This Row],[Amount in Sales]],5)</f>
        <v>350</v>
      </c>
    </row>
    <row r="761" spans="1:7" ht="14.25" customHeight="1" x14ac:dyDescent="0.3">
      <c r="A761" s="2" t="s">
        <v>1689</v>
      </c>
      <c r="B761" s="2" t="s">
        <v>1764</v>
      </c>
      <c r="C761" s="12">
        <v>44769</v>
      </c>
      <c r="D761" s="2">
        <v>738</v>
      </c>
      <c r="E761" s="2">
        <v>238.98</v>
      </c>
      <c r="F761" s="2" t="s">
        <v>1771</v>
      </c>
      <c r="G761">
        <f>MROUND(Table_2[[#This Row],[Amount in Sales]],5)</f>
        <v>740</v>
      </c>
    </row>
    <row r="762" spans="1:7" ht="14.25" customHeight="1" x14ac:dyDescent="0.3">
      <c r="A762" s="2" t="s">
        <v>1691</v>
      </c>
      <c r="B762" s="2" t="s">
        <v>1766</v>
      </c>
      <c r="C762" s="12">
        <v>44785</v>
      </c>
      <c r="D762" s="2">
        <v>712</v>
      </c>
      <c r="E762" s="2">
        <v>83.940000000000012</v>
      </c>
      <c r="F762" s="2" t="s">
        <v>1765</v>
      </c>
      <c r="G762">
        <f>MROUND(Table_2[[#This Row],[Amount in Sales]],5)</f>
        <v>710</v>
      </c>
    </row>
    <row r="763" spans="1:7" ht="14.25" customHeight="1" x14ac:dyDescent="0.3">
      <c r="A763" s="2" t="s">
        <v>1693</v>
      </c>
      <c r="B763" s="2" t="s">
        <v>1768</v>
      </c>
      <c r="C763" s="12">
        <v>44771</v>
      </c>
      <c r="D763" s="2">
        <v>577</v>
      </c>
      <c r="E763" s="2">
        <v>19.400000000000002</v>
      </c>
      <c r="F763" s="2" t="s">
        <v>1767</v>
      </c>
      <c r="G763">
        <f>MROUND(Table_2[[#This Row],[Amount in Sales]],5)</f>
        <v>575</v>
      </c>
    </row>
    <row r="764" spans="1:7" ht="14.25" customHeight="1" x14ac:dyDescent="0.3">
      <c r="A764" s="2" t="s">
        <v>1695</v>
      </c>
      <c r="B764" s="2" t="s">
        <v>1770</v>
      </c>
      <c r="C764" s="12">
        <v>44776</v>
      </c>
      <c r="D764" s="2">
        <v>233</v>
      </c>
      <c r="E764" s="2">
        <v>193.35999999999999</v>
      </c>
      <c r="F764" s="2" t="s">
        <v>1769</v>
      </c>
      <c r="G764">
        <f>MROUND(Table_2[[#This Row],[Amount in Sales]],5)</f>
        <v>235</v>
      </c>
    </row>
    <row r="765" spans="1:7" ht="14.25" customHeight="1" x14ac:dyDescent="0.3">
      <c r="A765" s="2" t="s">
        <v>1697</v>
      </c>
      <c r="B765" s="2" t="s">
        <v>1772</v>
      </c>
      <c r="C765" s="12">
        <v>44782</v>
      </c>
      <c r="D765" s="2">
        <v>863</v>
      </c>
      <c r="E765" s="2">
        <v>531.63</v>
      </c>
      <c r="F765" s="2" t="s">
        <v>1771</v>
      </c>
      <c r="G765">
        <f>MROUND(Table_2[[#This Row],[Amount in Sales]],5)</f>
        <v>865</v>
      </c>
    </row>
    <row r="766" spans="1:7" ht="14.25" customHeight="1" x14ac:dyDescent="0.3">
      <c r="A766" s="2" t="s">
        <v>1699</v>
      </c>
      <c r="B766" s="2" t="s">
        <v>1764</v>
      </c>
      <c r="C766" s="12">
        <v>44765</v>
      </c>
      <c r="D766" s="2">
        <v>854</v>
      </c>
      <c r="E766" s="2">
        <v>251.81</v>
      </c>
      <c r="F766" s="2" t="s">
        <v>1765</v>
      </c>
      <c r="G766">
        <f>MROUND(Table_2[[#This Row],[Amount in Sales]],5)</f>
        <v>855</v>
      </c>
    </row>
    <row r="767" spans="1:7" ht="14.25" customHeight="1" x14ac:dyDescent="0.3">
      <c r="A767" s="2" t="s">
        <v>1701</v>
      </c>
      <c r="B767" s="2" t="s">
        <v>1766</v>
      </c>
      <c r="C767" s="12">
        <v>44778</v>
      </c>
      <c r="D767" s="2">
        <v>434</v>
      </c>
      <c r="E767" s="2">
        <v>17.200000000000003</v>
      </c>
      <c r="F767" s="2" t="s">
        <v>1767</v>
      </c>
      <c r="G767">
        <f>MROUND(Table_2[[#This Row],[Amount in Sales]],5)</f>
        <v>435</v>
      </c>
    </row>
    <row r="768" spans="1:7" ht="14.25" customHeight="1" x14ac:dyDescent="0.3">
      <c r="A768" s="2" t="s">
        <v>1703</v>
      </c>
      <c r="B768" s="2" t="s">
        <v>1768</v>
      </c>
      <c r="C768" s="12">
        <v>44774</v>
      </c>
      <c r="D768" s="2">
        <v>708</v>
      </c>
      <c r="E768" s="2">
        <v>402.25</v>
      </c>
      <c r="F768" s="2" t="s">
        <v>1769</v>
      </c>
      <c r="G768">
        <f>MROUND(Table_2[[#This Row],[Amount in Sales]],5)</f>
        <v>710</v>
      </c>
    </row>
    <row r="769" spans="1:7" ht="14.25" customHeight="1" x14ac:dyDescent="0.3">
      <c r="A769" s="2" t="s">
        <v>1705</v>
      </c>
      <c r="B769" s="2" t="s">
        <v>1770</v>
      </c>
      <c r="C769" s="12">
        <v>44803</v>
      </c>
      <c r="D769" s="2">
        <v>339</v>
      </c>
      <c r="E769" s="2">
        <v>262.68</v>
      </c>
      <c r="F769" s="2" t="s">
        <v>1771</v>
      </c>
      <c r="G769">
        <f>MROUND(Table_2[[#This Row],[Amount in Sales]],5)</f>
        <v>340</v>
      </c>
    </row>
    <row r="770" spans="1:7" ht="14.25" customHeight="1" x14ac:dyDescent="0.3">
      <c r="A770" s="2" t="s">
        <v>1707</v>
      </c>
      <c r="B770" s="2" t="s">
        <v>1764</v>
      </c>
      <c r="C770" s="12">
        <v>44782</v>
      </c>
      <c r="D770" s="2">
        <v>414</v>
      </c>
      <c r="E770" s="2">
        <v>105.7</v>
      </c>
      <c r="F770" s="2" t="s">
        <v>1765</v>
      </c>
      <c r="G770">
        <f>MROUND(Table_2[[#This Row],[Amount in Sales]],5)</f>
        <v>415</v>
      </c>
    </row>
    <row r="771" spans="1:7" ht="14.25" customHeight="1" x14ac:dyDescent="0.3">
      <c r="A771" s="2" t="s">
        <v>1709</v>
      </c>
      <c r="B771" s="2" t="s">
        <v>1766</v>
      </c>
      <c r="C771" s="12">
        <v>44774</v>
      </c>
      <c r="D771" s="2">
        <v>573</v>
      </c>
      <c r="E771" s="2">
        <v>500.94</v>
      </c>
      <c r="F771" s="2" t="s">
        <v>1767</v>
      </c>
      <c r="G771">
        <f>MROUND(Table_2[[#This Row],[Amount in Sales]],5)</f>
        <v>575</v>
      </c>
    </row>
    <row r="772" spans="1:7" ht="14.25" customHeight="1" x14ac:dyDescent="0.3">
      <c r="A772" s="2" t="s">
        <v>1711</v>
      </c>
      <c r="B772" s="2" t="s">
        <v>1768</v>
      </c>
      <c r="C772" s="12">
        <v>44790</v>
      </c>
      <c r="D772" s="2">
        <v>318</v>
      </c>
      <c r="E772" s="2">
        <v>96.27000000000001</v>
      </c>
      <c r="F772" s="2" t="s">
        <v>1769</v>
      </c>
      <c r="G772">
        <f>MROUND(Table_2[[#This Row],[Amount in Sales]],5)</f>
        <v>320</v>
      </c>
    </row>
    <row r="773" spans="1:7" ht="14.25" customHeight="1" x14ac:dyDescent="0.3">
      <c r="A773" s="2" t="s">
        <v>1713</v>
      </c>
      <c r="B773" s="2" t="s">
        <v>1770</v>
      </c>
      <c r="C773" s="12">
        <v>44790</v>
      </c>
      <c r="D773" s="2">
        <v>265</v>
      </c>
      <c r="E773" s="2">
        <v>236.20999999999998</v>
      </c>
      <c r="F773" s="2" t="s">
        <v>1771</v>
      </c>
      <c r="G773">
        <f>MROUND(Table_2[[#This Row],[Amount in Sales]],5)</f>
        <v>265</v>
      </c>
    </row>
    <row r="774" spans="1:7" ht="14.25" customHeight="1" x14ac:dyDescent="0.3">
      <c r="A774" s="2" t="s">
        <v>1715</v>
      </c>
      <c r="B774" s="2" t="s">
        <v>1772</v>
      </c>
      <c r="C774" s="12">
        <v>44757</v>
      </c>
      <c r="D774" s="2">
        <v>626</v>
      </c>
      <c r="E774" s="2">
        <v>433.83</v>
      </c>
      <c r="F774" s="2" t="s">
        <v>1765</v>
      </c>
      <c r="G774">
        <f>MROUND(Table_2[[#This Row],[Amount in Sales]],5)</f>
        <v>625</v>
      </c>
    </row>
    <row r="775" spans="1:7" ht="14.25" customHeight="1" x14ac:dyDescent="0.3">
      <c r="A775" s="2" t="s">
        <v>1717</v>
      </c>
      <c r="B775" s="2" t="s">
        <v>1773</v>
      </c>
      <c r="C775" s="12">
        <v>44778</v>
      </c>
      <c r="D775" s="2">
        <v>332</v>
      </c>
      <c r="E775" s="2">
        <v>174.76</v>
      </c>
      <c r="F775" s="2" t="s">
        <v>1767</v>
      </c>
      <c r="G775">
        <f>MROUND(Table_2[[#This Row],[Amount in Sales]],5)</f>
        <v>330</v>
      </c>
    </row>
    <row r="776" spans="1:7" ht="14.25" customHeight="1" x14ac:dyDescent="0.3">
      <c r="A776" s="2" t="s">
        <v>1719</v>
      </c>
      <c r="B776" s="2" t="s">
        <v>1764</v>
      </c>
      <c r="C776" s="12">
        <v>44795</v>
      </c>
      <c r="D776" s="2">
        <v>881</v>
      </c>
      <c r="E776" s="2">
        <v>111.65</v>
      </c>
      <c r="F776" s="2" t="s">
        <v>1769</v>
      </c>
      <c r="G776">
        <f>MROUND(Table_2[[#This Row],[Amount in Sales]],5)</f>
        <v>880</v>
      </c>
    </row>
    <row r="777" spans="1:7" ht="14.25" customHeight="1" x14ac:dyDescent="0.3">
      <c r="A777" s="2" t="s">
        <v>1721</v>
      </c>
      <c r="B777" s="2" t="s">
        <v>1766</v>
      </c>
      <c r="C777" s="12">
        <v>44800</v>
      </c>
      <c r="D777" s="2">
        <v>699</v>
      </c>
      <c r="E777" s="2">
        <v>542.18999999999994</v>
      </c>
      <c r="F777" s="2" t="s">
        <v>1771</v>
      </c>
      <c r="G777">
        <f>MROUND(Table_2[[#This Row],[Amount in Sales]],5)</f>
        <v>700</v>
      </c>
    </row>
    <row r="778" spans="1:7" ht="14.25" customHeight="1" x14ac:dyDescent="0.3">
      <c r="A778" s="2" t="s">
        <v>1723</v>
      </c>
      <c r="B778" s="2" t="s">
        <v>1768</v>
      </c>
      <c r="C778" s="12">
        <v>44783</v>
      </c>
      <c r="D778" s="2">
        <v>579</v>
      </c>
      <c r="E778" s="2">
        <v>383.37</v>
      </c>
      <c r="F778" s="2" t="s">
        <v>1765</v>
      </c>
      <c r="G778">
        <f>MROUND(Table_2[[#This Row],[Amount in Sales]],5)</f>
        <v>580</v>
      </c>
    </row>
    <row r="779" spans="1:7" ht="14.25" customHeight="1" x14ac:dyDescent="0.3">
      <c r="A779" s="2" t="s">
        <v>1725</v>
      </c>
      <c r="B779" s="2" t="s">
        <v>1770</v>
      </c>
      <c r="C779" s="12">
        <v>44770</v>
      </c>
      <c r="D779" s="2">
        <v>858</v>
      </c>
      <c r="E779" s="2">
        <v>849.24</v>
      </c>
      <c r="F779" s="2" t="s">
        <v>1767</v>
      </c>
      <c r="G779">
        <f>MROUND(Table_2[[#This Row],[Amount in Sales]],5)</f>
        <v>860</v>
      </c>
    </row>
    <row r="780" spans="1:7" ht="14.25" customHeight="1" x14ac:dyDescent="0.3">
      <c r="A780" s="2" t="s">
        <v>1727</v>
      </c>
      <c r="B780" s="2" t="s">
        <v>1764</v>
      </c>
      <c r="C780" s="12">
        <v>44764</v>
      </c>
      <c r="D780" s="2">
        <v>435</v>
      </c>
      <c r="E780" s="2">
        <v>136.07999999999998</v>
      </c>
      <c r="F780" s="2" t="s">
        <v>1769</v>
      </c>
      <c r="G780">
        <f>MROUND(Table_2[[#This Row],[Amount in Sales]],5)</f>
        <v>435</v>
      </c>
    </row>
    <row r="781" spans="1:7" ht="14.25" customHeight="1" x14ac:dyDescent="0.3">
      <c r="A781" s="2" t="s">
        <v>1729</v>
      </c>
      <c r="B781" s="2" t="s">
        <v>1766</v>
      </c>
      <c r="C781" s="12">
        <v>44810</v>
      </c>
      <c r="D781" s="2">
        <v>275</v>
      </c>
      <c r="E781" s="2">
        <v>177.67</v>
      </c>
      <c r="F781" s="2" t="s">
        <v>1771</v>
      </c>
      <c r="G781">
        <f>MROUND(Table_2[[#This Row],[Amount in Sales]],5)</f>
        <v>275</v>
      </c>
    </row>
    <row r="782" spans="1:7" ht="14.25" customHeight="1" x14ac:dyDescent="0.3">
      <c r="A782" s="2" t="s">
        <v>1731</v>
      </c>
      <c r="B782" s="2" t="s">
        <v>1768</v>
      </c>
      <c r="C782" s="12">
        <v>44793</v>
      </c>
      <c r="D782" s="2">
        <v>599</v>
      </c>
      <c r="E782" s="2">
        <v>27.23</v>
      </c>
      <c r="F782" s="2" t="s">
        <v>1765</v>
      </c>
      <c r="G782">
        <f>MROUND(Table_2[[#This Row],[Amount in Sales]],5)</f>
        <v>600</v>
      </c>
    </row>
    <row r="783" spans="1:7" ht="14.25" customHeight="1" x14ac:dyDescent="0.3">
      <c r="A783" s="2" t="s">
        <v>1733</v>
      </c>
      <c r="B783" s="2" t="s">
        <v>1770</v>
      </c>
      <c r="C783" s="12">
        <v>44787</v>
      </c>
      <c r="D783" s="2">
        <v>503</v>
      </c>
      <c r="E783" s="2">
        <v>439.4</v>
      </c>
      <c r="F783" s="2" t="s">
        <v>1767</v>
      </c>
      <c r="G783">
        <f>MROUND(Table_2[[#This Row],[Amount in Sales]],5)</f>
        <v>505</v>
      </c>
    </row>
    <row r="784" spans="1:7" ht="14.25" customHeight="1" x14ac:dyDescent="0.3">
      <c r="A784" s="2" t="s">
        <v>1735</v>
      </c>
      <c r="B784" s="2" t="s">
        <v>1764</v>
      </c>
      <c r="C784" s="12">
        <v>44774</v>
      </c>
      <c r="D784" s="2">
        <v>501</v>
      </c>
      <c r="E784" s="2">
        <v>270.42</v>
      </c>
      <c r="F784" s="2" t="s">
        <v>1769</v>
      </c>
      <c r="G784">
        <f>MROUND(Table_2[[#This Row],[Amount in Sales]],5)</f>
        <v>500</v>
      </c>
    </row>
    <row r="785" spans="1:7" ht="14.25" customHeight="1" x14ac:dyDescent="0.3">
      <c r="A785" s="2" t="s">
        <v>1737</v>
      </c>
      <c r="B785" s="2" t="s">
        <v>1766</v>
      </c>
      <c r="C785" s="12">
        <v>44756</v>
      </c>
      <c r="D785" s="2">
        <v>257</v>
      </c>
      <c r="E785" s="2">
        <v>83.37</v>
      </c>
      <c r="F785" s="2" t="s">
        <v>1771</v>
      </c>
      <c r="G785">
        <f>MROUND(Table_2[[#This Row],[Amount in Sales]],5)</f>
        <v>255</v>
      </c>
    </row>
    <row r="786" spans="1:7" ht="14.25" customHeight="1" x14ac:dyDescent="0.3">
      <c r="A786" s="2" t="s">
        <v>1739</v>
      </c>
      <c r="B786" s="2" t="s">
        <v>1768</v>
      </c>
      <c r="C786" s="12">
        <v>44810</v>
      </c>
      <c r="D786" s="2">
        <v>350</v>
      </c>
      <c r="E786" s="2">
        <v>192.26999999999998</v>
      </c>
      <c r="F786" s="2" t="s">
        <v>1765</v>
      </c>
      <c r="G786">
        <f>MROUND(Table_2[[#This Row],[Amount in Sales]],5)</f>
        <v>350</v>
      </c>
    </row>
    <row r="787" spans="1:7" ht="14.25" customHeight="1" x14ac:dyDescent="0.3">
      <c r="A787" s="2" t="s">
        <v>1741</v>
      </c>
      <c r="B787" s="2" t="s">
        <v>1770</v>
      </c>
      <c r="C787" s="12">
        <v>44774</v>
      </c>
      <c r="D787" s="2">
        <v>725</v>
      </c>
      <c r="E787" s="2">
        <v>20.680000000000003</v>
      </c>
      <c r="F787" s="2" t="s">
        <v>1767</v>
      </c>
      <c r="G787">
        <f>MROUND(Table_2[[#This Row],[Amount in Sales]],5)</f>
        <v>725</v>
      </c>
    </row>
    <row r="788" spans="1:7" ht="14.25" customHeight="1" x14ac:dyDescent="0.3">
      <c r="A788" s="2" t="s">
        <v>1743</v>
      </c>
      <c r="B788" s="2" t="s">
        <v>1764</v>
      </c>
      <c r="C788" s="12">
        <v>44804</v>
      </c>
      <c r="D788" s="2">
        <v>514</v>
      </c>
      <c r="E788" s="2">
        <v>491.09999999999997</v>
      </c>
      <c r="F788" s="2" t="s">
        <v>1769</v>
      </c>
      <c r="G788">
        <f>MROUND(Table_2[[#This Row],[Amount in Sales]],5)</f>
        <v>515</v>
      </c>
    </row>
    <row r="789" spans="1:7" ht="14.25" customHeight="1" x14ac:dyDescent="0.3">
      <c r="A789" s="2" t="s">
        <v>1745</v>
      </c>
      <c r="B789" s="2" t="s">
        <v>1766</v>
      </c>
      <c r="C789" s="12">
        <v>44803</v>
      </c>
      <c r="D789" s="2">
        <v>359</v>
      </c>
      <c r="E789" s="2">
        <v>190.45</v>
      </c>
      <c r="F789" s="2" t="s">
        <v>1771</v>
      </c>
      <c r="G789">
        <f>MROUND(Table_2[[#This Row],[Amount in Sales]],5)</f>
        <v>360</v>
      </c>
    </row>
    <row r="790" spans="1:7" ht="14.25" customHeight="1" x14ac:dyDescent="0.3">
      <c r="A790" s="2" t="s">
        <v>1747</v>
      </c>
      <c r="B790" s="2" t="s">
        <v>1768</v>
      </c>
      <c r="C790" s="12">
        <v>44808</v>
      </c>
      <c r="D790" s="2">
        <v>479</v>
      </c>
      <c r="E790" s="2">
        <v>213.29999999999998</v>
      </c>
      <c r="F790" s="2" t="s">
        <v>1765</v>
      </c>
      <c r="G790">
        <f>MROUND(Table_2[[#This Row],[Amount in Sales]],5)</f>
        <v>480</v>
      </c>
    </row>
    <row r="791" spans="1:7" ht="14.25" customHeight="1" x14ac:dyDescent="0.3">
      <c r="A791" s="2" t="s">
        <v>1749</v>
      </c>
      <c r="B791" s="2" t="s">
        <v>1770</v>
      </c>
      <c r="C791" s="12">
        <v>44786</v>
      </c>
      <c r="D791" s="2">
        <v>328</v>
      </c>
      <c r="E791" s="2">
        <v>121.88000000000001</v>
      </c>
      <c r="F791" s="2" t="s">
        <v>1767</v>
      </c>
      <c r="G791">
        <f>MROUND(Table_2[[#This Row],[Amount in Sales]],5)</f>
        <v>330</v>
      </c>
    </row>
    <row r="792" spans="1:7" ht="14.25" customHeight="1" x14ac:dyDescent="0.3">
      <c r="A792" s="2" t="s">
        <v>1751</v>
      </c>
      <c r="B792" s="2" t="s">
        <v>1772</v>
      </c>
      <c r="C792" s="12">
        <v>44788</v>
      </c>
      <c r="D792" s="2">
        <v>751</v>
      </c>
      <c r="E792" s="2">
        <v>397.84</v>
      </c>
      <c r="F792" s="2" t="s">
        <v>1769</v>
      </c>
      <c r="G792">
        <f>MROUND(Table_2[[#This Row],[Amount in Sales]],5)</f>
        <v>750</v>
      </c>
    </row>
    <row r="793" spans="1:7" ht="14.25" customHeight="1" x14ac:dyDescent="0.3">
      <c r="A793" s="2" t="s">
        <v>1753</v>
      </c>
      <c r="B793" s="2" t="s">
        <v>1764</v>
      </c>
      <c r="C793" s="12">
        <v>44772</v>
      </c>
      <c r="D793" s="2">
        <v>777</v>
      </c>
      <c r="E793" s="2">
        <v>234.03</v>
      </c>
      <c r="F793" s="2" t="s">
        <v>1771</v>
      </c>
      <c r="G793">
        <f>MROUND(Table_2[[#This Row],[Amount in Sales]],5)</f>
        <v>775</v>
      </c>
    </row>
    <row r="794" spans="1:7" ht="14.25" customHeight="1" x14ac:dyDescent="0.3">
      <c r="A794" s="2" t="s">
        <v>1755</v>
      </c>
      <c r="B794" s="2" t="s">
        <v>1766</v>
      </c>
      <c r="C794" s="12">
        <v>44756</v>
      </c>
      <c r="D794" s="2">
        <v>602</v>
      </c>
      <c r="E794" s="2">
        <v>192.73999999999998</v>
      </c>
      <c r="F794" s="2" t="s">
        <v>1765</v>
      </c>
      <c r="G794">
        <f>MROUND(Table_2[[#This Row],[Amount in Sales]],5)</f>
        <v>600</v>
      </c>
    </row>
    <row r="795" spans="1:7" ht="14.25" customHeight="1" x14ac:dyDescent="0.3">
      <c r="A795" s="2" t="s">
        <v>1757</v>
      </c>
      <c r="B795" s="2" t="s">
        <v>1768</v>
      </c>
      <c r="C795" s="12">
        <v>44808</v>
      </c>
      <c r="D795" s="2">
        <v>880</v>
      </c>
      <c r="E795" s="2">
        <v>753.21</v>
      </c>
      <c r="F795" s="2" t="s">
        <v>1767</v>
      </c>
      <c r="G795">
        <f>MROUND(Table_2[[#This Row],[Amount in Sales]],5)</f>
        <v>880</v>
      </c>
    </row>
    <row r="796" spans="1:7" ht="14.25" customHeight="1" x14ac:dyDescent="0.3"/>
    <row r="797" spans="1:7" ht="14.25" customHeight="1" x14ac:dyDescent="0.3"/>
    <row r="798" spans="1:7" ht="14.25" customHeight="1" x14ac:dyDescent="0.3"/>
    <row r="799" spans="1:7" ht="14.25" customHeight="1" x14ac:dyDescent="0.3"/>
    <row r="800" spans="1:7"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C709D-39A8-4089-B855-C5F9FDE70F12}">
  <dimension ref="A1:T131"/>
  <sheetViews>
    <sheetView topLeftCell="P117" workbookViewId="0">
      <selection activeCell="R121" sqref="R121:V140"/>
    </sheetView>
  </sheetViews>
  <sheetFormatPr defaultRowHeight="14.4" x14ac:dyDescent="0.3"/>
  <cols>
    <col min="1" max="1" width="16.33203125" bestFit="1" customWidth="1"/>
    <col min="2" max="2" width="17.33203125" bestFit="1" customWidth="1"/>
    <col min="3" max="3" width="20.21875" bestFit="1" customWidth="1"/>
    <col min="16" max="16" width="12.44140625" bestFit="1" customWidth="1"/>
    <col min="17" max="17" width="23.44140625" bestFit="1" customWidth="1"/>
    <col min="18" max="18" width="16.33203125" bestFit="1" customWidth="1"/>
    <col min="19" max="19" width="20.21875" bestFit="1" customWidth="1"/>
    <col min="20" max="20" width="23.44140625" bestFit="1" customWidth="1"/>
  </cols>
  <sheetData>
    <row r="1" spans="1:20" ht="25.8" x14ac:dyDescent="0.5">
      <c r="A1" s="29" t="s">
        <v>1788</v>
      </c>
    </row>
    <row r="2" spans="1:20" ht="25.8" x14ac:dyDescent="0.5">
      <c r="S2" s="29" t="s">
        <v>1789</v>
      </c>
    </row>
    <row r="3" spans="1:20" x14ac:dyDescent="0.3">
      <c r="A3" s="18" t="s">
        <v>21</v>
      </c>
      <c r="B3" s="16" t="s">
        <v>1825</v>
      </c>
    </row>
    <row r="4" spans="1:20" x14ac:dyDescent="0.3">
      <c r="A4" s="22" t="s">
        <v>32</v>
      </c>
      <c r="B4" s="16">
        <v>617.53846153846155</v>
      </c>
    </row>
    <row r="5" spans="1:20" x14ac:dyDescent="0.3">
      <c r="A5" s="23" t="s">
        <v>33</v>
      </c>
      <c r="B5" s="24">
        <v>550</v>
      </c>
      <c r="S5" s="18" t="s">
        <v>21</v>
      </c>
      <c r="T5" s="16" t="s">
        <v>1825</v>
      </c>
    </row>
    <row r="6" spans="1:20" x14ac:dyDescent="0.3">
      <c r="A6" s="23" t="s">
        <v>34</v>
      </c>
      <c r="B6" s="24">
        <v>543.22222222222217</v>
      </c>
      <c r="S6" s="22" t="s">
        <v>32</v>
      </c>
      <c r="T6" s="16">
        <v>617.53846153846155</v>
      </c>
    </row>
    <row r="7" spans="1:20" x14ac:dyDescent="0.3">
      <c r="A7" s="23" t="s">
        <v>35</v>
      </c>
      <c r="B7" s="24">
        <v>527.42857142857144</v>
      </c>
      <c r="S7" s="23" t="s">
        <v>33</v>
      </c>
      <c r="T7" s="24">
        <v>550</v>
      </c>
    </row>
    <row r="8" spans="1:20" x14ac:dyDescent="0.3">
      <c r="A8" s="23" t="s">
        <v>36</v>
      </c>
      <c r="B8" s="24">
        <v>665.41666666666663</v>
      </c>
      <c r="S8" s="23" t="s">
        <v>34</v>
      </c>
      <c r="T8" s="24">
        <v>543.22222222222217</v>
      </c>
    </row>
    <row r="9" spans="1:20" x14ac:dyDescent="0.3">
      <c r="A9" s="23" t="s">
        <v>37</v>
      </c>
      <c r="B9" s="24">
        <v>550.33333333333337</v>
      </c>
      <c r="S9" s="23" t="s">
        <v>35</v>
      </c>
      <c r="T9" s="24">
        <v>527.42857142857144</v>
      </c>
    </row>
    <row r="10" spans="1:20" x14ac:dyDescent="0.3">
      <c r="A10" s="23" t="s">
        <v>38</v>
      </c>
      <c r="B10" s="24">
        <v>578.92307692307691</v>
      </c>
      <c r="S10" s="23" t="s">
        <v>36</v>
      </c>
      <c r="T10" s="24">
        <v>665.41666666666663</v>
      </c>
    </row>
    <row r="11" spans="1:20" x14ac:dyDescent="0.3">
      <c r="A11" s="23" t="s">
        <v>39</v>
      </c>
      <c r="B11" s="24">
        <v>524.875</v>
      </c>
      <c r="S11" s="23" t="s">
        <v>37</v>
      </c>
      <c r="T11" s="24">
        <v>550.33333333333337</v>
      </c>
    </row>
    <row r="12" spans="1:20" x14ac:dyDescent="0.3">
      <c r="A12" s="23" t="s">
        <v>40</v>
      </c>
      <c r="B12" s="24">
        <v>429</v>
      </c>
      <c r="S12" s="23" t="s">
        <v>38</v>
      </c>
      <c r="T12" s="24">
        <v>578.92307692307691</v>
      </c>
    </row>
    <row r="13" spans="1:20" x14ac:dyDescent="0.3">
      <c r="A13" s="23" t="s">
        <v>41</v>
      </c>
      <c r="B13" s="24">
        <v>595.38235294117646</v>
      </c>
      <c r="S13" s="23" t="s">
        <v>39</v>
      </c>
      <c r="T13" s="24">
        <v>524.875</v>
      </c>
    </row>
    <row r="14" spans="1:20" x14ac:dyDescent="0.3">
      <c r="A14" s="23" t="s">
        <v>42</v>
      </c>
      <c r="B14" s="24">
        <v>517.72413793103453</v>
      </c>
      <c r="S14" s="23" t="s">
        <v>40</v>
      </c>
      <c r="T14" s="24">
        <v>429</v>
      </c>
    </row>
    <row r="15" spans="1:20" x14ac:dyDescent="0.3">
      <c r="A15" s="23" t="s">
        <v>43</v>
      </c>
      <c r="B15" s="24">
        <v>506.92307692307691</v>
      </c>
      <c r="S15" s="23" t="s">
        <v>41</v>
      </c>
      <c r="T15" s="24">
        <v>595.38235294117646</v>
      </c>
    </row>
    <row r="16" spans="1:20" x14ac:dyDescent="0.3">
      <c r="A16" s="23" t="s">
        <v>44</v>
      </c>
      <c r="B16" s="24">
        <v>504.88461538461536</v>
      </c>
      <c r="S16" s="23" t="s">
        <v>42</v>
      </c>
      <c r="T16" s="24">
        <v>517.72413793103453</v>
      </c>
    </row>
    <row r="17" spans="1:20" x14ac:dyDescent="0.3">
      <c r="A17" s="23" t="s">
        <v>45</v>
      </c>
      <c r="B17" s="24">
        <v>630.94117647058829</v>
      </c>
      <c r="S17" s="23" t="s">
        <v>43</v>
      </c>
      <c r="T17" s="24">
        <v>506.92307692307691</v>
      </c>
    </row>
    <row r="18" spans="1:20" x14ac:dyDescent="0.3">
      <c r="A18" s="23" t="s">
        <v>46</v>
      </c>
      <c r="B18" s="24">
        <v>523.36363636363637</v>
      </c>
      <c r="S18" s="23" t="s">
        <v>44</v>
      </c>
      <c r="T18" s="24">
        <v>504.88461538461536</v>
      </c>
    </row>
    <row r="19" spans="1:20" x14ac:dyDescent="0.3">
      <c r="A19" s="23" t="s">
        <v>47</v>
      </c>
      <c r="B19" s="24">
        <v>546.62962962962968</v>
      </c>
      <c r="S19" s="23" t="s">
        <v>45</v>
      </c>
      <c r="T19" s="24">
        <v>630.94117647058829</v>
      </c>
    </row>
    <row r="20" spans="1:20" x14ac:dyDescent="0.3">
      <c r="A20" s="23" t="s">
        <v>48</v>
      </c>
      <c r="B20" s="24">
        <v>605.5</v>
      </c>
      <c r="S20" s="23" t="s">
        <v>46</v>
      </c>
      <c r="T20" s="24">
        <v>523.36363636363637</v>
      </c>
    </row>
    <row r="21" spans="1:20" x14ac:dyDescent="0.3">
      <c r="A21" s="23" t="s">
        <v>1796</v>
      </c>
      <c r="B21" s="24">
        <v>516.6</v>
      </c>
      <c r="S21" s="23" t="s">
        <v>47</v>
      </c>
      <c r="T21" s="24">
        <v>546.62962962962968</v>
      </c>
    </row>
    <row r="22" spans="1:20" x14ac:dyDescent="0.3">
      <c r="A22" s="23" t="s">
        <v>1797</v>
      </c>
      <c r="B22" s="24">
        <v>540.6</v>
      </c>
      <c r="S22" s="23" t="s">
        <v>48</v>
      </c>
      <c r="T22" s="24">
        <v>605.5</v>
      </c>
    </row>
    <row r="23" spans="1:20" x14ac:dyDescent="0.3">
      <c r="A23" s="23" t="s">
        <v>1798</v>
      </c>
      <c r="B23" s="24">
        <v>505.2</v>
      </c>
      <c r="S23" s="23" t="s">
        <v>1796</v>
      </c>
      <c r="T23" s="24">
        <v>516.6</v>
      </c>
    </row>
    <row r="24" spans="1:20" x14ac:dyDescent="0.3">
      <c r="A24" s="23" t="s">
        <v>1799</v>
      </c>
      <c r="B24" s="24">
        <v>498.0625</v>
      </c>
      <c r="S24" s="23" t="s">
        <v>1797</v>
      </c>
      <c r="T24" s="24">
        <v>540.6</v>
      </c>
    </row>
    <row r="25" spans="1:20" x14ac:dyDescent="0.3">
      <c r="A25" s="23" t="s">
        <v>1800</v>
      </c>
      <c r="B25" s="24">
        <v>539.29999999999995</v>
      </c>
      <c r="S25" s="23" t="s">
        <v>1798</v>
      </c>
      <c r="T25" s="24">
        <v>505.2</v>
      </c>
    </row>
    <row r="26" spans="1:20" x14ac:dyDescent="0.3">
      <c r="A26" s="23" t="s">
        <v>1801</v>
      </c>
      <c r="B26" s="24">
        <v>566.29999999999995</v>
      </c>
      <c r="S26" s="23" t="s">
        <v>1799</v>
      </c>
      <c r="T26" s="24">
        <v>498.0625</v>
      </c>
    </row>
    <row r="27" spans="1:20" x14ac:dyDescent="0.3">
      <c r="A27" s="23" t="s">
        <v>1802</v>
      </c>
      <c r="B27" s="24">
        <v>690.6</v>
      </c>
      <c r="S27" s="23" t="s">
        <v>1800</v>
      </c>
      <c r="T27" s="24">
        <v>539.29999999999995</v>
      </c>
    </row>
    <row r="28" spans="1:20" x14ac:dyDescent="0.3">
      <c r="A28" s="23" t="s">
        <v>1803</v>
      </c>
      <c r="B28" s="24">
        <v>563.79999999999995</v>
      </c>
      <c r="S28" s="23" t="s">
        <v>1801</v>
      </c>
      <c r="T28" s="24">
        <v>566.29999999999995</v>
      </c>
    </row>
    <row r="29" spans="1:20" x14ac:dyDescent="0.3">
      <c r="A29" s="23" t="s">
        <v>1804</v>
      </c>
      <c r="B29" s="24">
        <v>556.20000000000005</v>
      </c>
      <c r="S29" s="23" t="s">
        <v>1802</v>
      </c>
      <c r="T29" s="24">
        <v>690.6</v>
      </c>
    </row>
    <row r="30" spans="1:20" x14ac:dyDescent="0.3">
      <c r="A30" s="23" t="s">
        <v>58</v>
      </c>
      <c r="B30" s="24">
        <v>539.26666666666665</v>
      </c>
      <c r="S30" s="23" t="s">
        <v>1803</v>
      </c>
      <c r="T30" s="24">
        <v>563.79999999999995</v>
      </c>
    </row>
    <row r="31" spans="1:20" x14ac:dyDescent="0.3">
      <c r="A31" s="23" t="s">
        <v>59</v>
      </c>
      <c r="B31" s="24">
        <v>584.70000000000005</v>
      </c>
      <c r="S31" s="23" t="s">
        <v>1804</v>
      </c>
      <c r="T31" s="24">
        <v>556.20000000000005</v>
      </c>
    </row>
    <row r="32" spans="1:20" x14ac:dyDescent="0.3">
      <c r="A32" s="23" t="s">
        <v>60</v>
      </c>
      <c r="B32" s="24">
        <v>545.70000000000005</v>
      </c>
      <c r="S32" s="23" t="s">
        <v>58</v>
      </c>
      <c r="T32" s="24">
        <v>539.26666666666665</v>
      </c>
    </row>
    <row r="33" spans="1:20" x14ac:dyDescent="0.3">
      <c r="A33" s="23" t="s">
        <v>61</v>
      </c>
      <c r="B33" s="24">
        <v>547.19230769230774</v>
      </c>
      <c r="S33" s="23" t="s">
        <v>59</v>
      </c>
      <c r="T33" s="24">
        <v>584.70000000000005</v>
      </c>
    </row>
    <row r="34" spans="1:20" x14ac:dyDescent="0.3">
      <c r="A34" s="23" t="s">
        <v>62</v>
      </c>
      <c r="B34" s="24">
        <v>562.28571428571433</v>
      </c>
      <c r="S34" s="23" t="s">
        <v>60</v>
      </c>
      <c r="T34" s="24">
        <v>545.70000000000005</v>
      </c>
    </row>
    <row r="35" spans="1:20" x14ac:dyDescent="0.3">
      <c r="A35" s="23" t="s">
        <v>63</v>
      </c>
      <c r="B35" s="24">
        <v>529.07142857142856</v>
      </c>
      <c r="S35" s="23" t="s">
        <v>61</v>
      </c>
      <c r="T35" s="24">
        <v>547.19230769230774</v>
      </c>
    </row>
    <row r="36" spans="1:20" x14ac:dyDescent="0.3">
      <c r="A36" s="23" t="s">
        <v>64</v>
      </c>
      <c r="B36" s="24">
        <v>447.85714285714283</v>
      </c>
      <c r="S36" s="23" t="s">
        <v>62</v>
      </c>
      <c r="T36" s="24">
        <v>562.28571428571433</v>
      </c>
    </row>
    <row r="37" spans="1:20" x14ac:dyDescent="0.3">
      <c r="A37" s="23" t="s">
        <v>65</v>
      </c>
      <c r="B37" s="24">
        <v>494.0625</v>
      </c>
      <c r="S37" s="23" t="s">
        <v>63</v>
      </c>
      <c r="T37" s="24">
        <v>529.07142857142856</v>
      </c>
    </row>
    <row r="38" spans="1:20" x14ac:dyDescent="0.3">
      <c r="A38" s="23" t="s">
        <v>66</v>
      </c>
      <c r="B38" s="24">
        <v>622.57142857142856</v>
      </c>
      <c r="S38" s="23" t="s">
        <v>64</v>
      </c>
      <c r="T38" s="24">
        <v>447.85714285714283</v>
      </c>
    </row>
    <row r="39" spans="1:20" x14ac:dyDescent="0.3">
      <c r="A39" s="23" t="s">
        <v>67</v>
      </c>
      <c r="B39" s="24">
        <v>643.75</v>
      </c>
      <c r="S39" s="23" t="s">
        <v>65</v>
      </c>
      <c r="T39" s="24">
        <v>494.0625</v>
      </c>
    </row>
    <row r="40" spans="1:20" x14ac:dyDescent="0.3">
      <c r="A40" s="23" t="s">
        <v>68</v>
      </c>
      <c r="B40" s="24">
        <v>582.38461538461536</v>
      </c>
      <c r="S40" s="23" t="s">
        <v>66</v>
      </c>
      <c r="T40" s="24">
        <v>622.57142857142856</v>
      </c>
    </row>
    <row r="41" spans="1:20" x14ac:dyDescent="0.3">
      <c r="A41" s="23" t="s">
        <v>69</v>
      </c>
      <c r="B41" s="24">
        <v>556.15789473684208</v>
      </c>
      <c r="S41" s="23" t="s">
        <v>67</v>
      </c>
      <c r="T41" s="24">
        <v>643.75</v>
      </c>
    </row>
    <row r="42" spans="1:20" x14ac:dyDescent="0.3">
      <c r="A42" s="23" t="s">
        <v>70</v>
      </c>
      <c r="B42" s="24">
        <v>594.8125</v>
      </c>
      <c r="S42" s="23" t="s">
        <v>68</v>
      </c>
      <c r="T42" s="24">
        <v>582.38461538461536</v>
      </c>
    </row>
    <row r="43" spans="1:20" x14ac:dyDescent="0.3">
      <c r="A43" s="23" t="s">
        <v>71</v>
      </c>
      <c r="B43" s="24">
        <v>623.28571428571433</v>
      </c>
      <c r="S43" s="23" t="s">
        <v>69</v>
      </c>
      <c r="T43" s="24">
        <v>556.15789473684208</v>
      </c>
    </row>
    <row r="44" spans="1:20" x14ac:dyDescent="0.3">
      <c r="A44" s="23" t="s">
        <v>72</v>
      </c>
      <c r="B44" s="24">
        <v>527.4</v>
      </c>
      <c r="S44" s="23" t="s">
        <v>70</v>
      </c>
      <c r="T44" s="24">
        <v>594.8125</v>
      </c>
    </row>
    <row r="45" spans="1:20" x14ac:dyDescent="0.3">
      <c r="A45" s="23" t="s">
        <v>73</v>
      </c>
      <c r="B45" s="24">
        <v>608.66666666666663</v>
      </c>
      <c r="S45" s="23" t="s">
        <v>71</v>
      </c>
      <c r="T45" s="24">
        <v>623.28571428571433</v>
      </c>
    </row>
    <row r="46" spans="1:20" x14ac:dyDescent="0.3">
      <c r="A46" s="23" t="s">
        <v>74</v>
      </c>
      <c r="B46" s="24">
        <v>576.11111111111109</v>
      </c>
      <c r="S46" s="23" t="s">
        <v>72</v>
      </c>
      <c r="T46" s="24">
        <v>527.4</v>
      </c>
    </row>
    <row r="47" spans="1:20" x14ac:dyDescent="0.3">
      <c r="A47" s="23" t="s">
        <v>75</v>
      </c>
      <c r="B47" s="24">
        <v>583.29999999999995</v>
      </c>
      <c r="S47" s="23" t="s">
        <v>73</v>
      </c>
      <c r="T47" s="24">
        <v>608.66666666666663</v>
      </c>
    </row>
    <row r="48" spans="1:20" x14ac:dyDescent="0.3">
      <c r="A48" s="23" t="s">
        <v>76</v>
      </c>
      <c r="B48" s="24">
        <v>665.5</v>
      </c>
      <c r="S48" s="23" t="s">
        <v>74</v>
      </c>
      <c r="T48" s="24">
        <v>576.11111111111109</v>
      </c>
    </row>
    <row r="49" spans="1:20" x14ac:dyDescent="0.3">
      <c r="A49" s="23" t="s">
        <v>77</v>
      </c>
      <c r="B49" s="24">
        <v>499.16666666666669</v>
      </c>
      <c r="S49" s="23" t="s">
        <v>75</v>
      </c>
      <c r="T49" s="24">
        <v>583.29999999999995</v>
      </c>
    </row>
    <row r="50" spans="1:20" x14ac:dyDescent="0.3">
      <c r="A50" s="23" t="s">
        <v>78</v>
      </c>
      <c r="B50" s="24">
        <v>478</v>
      </c>
      <c r="S50" s="23" t="s">
        <v>76</v>
      </c>
      <c r="T50" s="24">
        <v>665.5</v>
      </c>
    </row>
    <row r="51" spans="1:20" x14ac:dyDescent="0.3">
      <c r="A51" s="23" t="s">
        <v>1805</v>
      </c>
      <c r="B51" s="24">
        <v>636.625</v>
      </c>
      <c r="S51" s="23" t="s">
        <v>77</v>
      </c>
      <c r="T51" s="24">
        <v>499.16666666666669</v>
      </c>
    </row>
    <row r="52" spans="1:20" x14ac:dyDescent="0.3">
      <c r="A52" s="23" t="s">
        <v>1806</v>
      </c>
      <c r="B52" s="24">
        <v>521.66666666666663</v>
      </c>
      <c r="S52" s="23" t="s">
        <v>78</v>
      </c>
      <c r="T52" s="24">
        <v>478</v>
      </c>
    </row>
    <row r="53" spans="1:20" x14ac:dyDescent="0.3">
      <c r="A53" s="23" t="s">
        <v>1807</v>
      </c>
      <c r="B53" s="24">
        <v>629.75</v>
      </c>
      <c r="S53" s="23" t="s">
        <v>1805</v>
      </c>
      <c r="T53" s="24">
        <v>636.625</v>
      </c>
    </row>
    <row r="54" spans="1:20" x14ac:dyDescent="0.3">
      <c r="A54" s="23" t="s">
        <v>1808</v>
      </c>
      <c r="B54" s="24">
        <v>343</v>
      </c>
      <c r="S54" s="23" t="s">
        <v>1806</v>
      </c>
      <c r="T54" s="24">
        <v>521.66666666666663</v>
      </c>
    </row>
    <row r="55" spans="1:20" x14ac:dyDescent="0.3">
      <c r="A55" s="23" t="s">
        <v>1809</v>
      </c>
      <c r="B55" s="24">
        <v>406.6</v>
      </c>
      <c r="S55" s="23" t="s">
        <v>1807</v>
      </c>
      <c r="T55" s="24">
        <v>629.75</v>
      </c>
    </row>
    <row r="56" spans="1:20" x14ac:dyDescent="0.3">
      <c r="A56" s="23" t="s">
        <v>1810</v>
      </c>
      <c r="B56" s="24">
        <v>426.33333333333331</v>
      </c>
      <c r="S56" s="23" t="s">
        <v>1808</v>
      </c>
      <c r="T56" s="24">
        <v>343</v>
      </c>
    </row>
    <row r="57" spans="1:20" x14ac:dyDescent="0.3">
      <c r="A57" s="23" t="s">
        <v>1811</v>
      </c>
      <c r="B57" s="24">
        <v>420</v>
      </c>
      <c r="S57" s="23" t="s">
        <v>1809</v>
      </c>
      <c r="T57" s="24">
        <v>406.6</v>
      </c>
    </row>
    <row r="58" spans="1:20" x14ac:dyDescent="0.3">
      <c r="A58" s="23" t="s">
        <v>1812</v>
      </c>
      <c r="B58" s="24">
        <v>753</v>
      </c>
      <c r="S58" s="23" t="s">
        <v>1810</v>
      </c>
      <c r="T58" s="24">
        <v>426.33333333333331</v>
      </c>
    </row>
    <row r="59" spans="1:20" x14ac:dyDescent="0.3">
      <c r="A59" s="23" t="s">
        <v>1813</v>
      </c>
      <c r="B59" s="24">
        <v>598.125</v>
      </c>
      <c r="S59" s="23" t="s">
        <v>1811</v>
      </c>
      <c r="T59" s="24">
        <v>420</v>
      </c>
    </row>
    <row r="60" spans="1:20" x14ac:dyDescent="0.3">
      <c r="A60" s="23" t="s">
        <v>88</v>
      </c>
      <c r="B60" s="24">
        <v>602</v>
      </c>
      <c r="S60" s="23" t="s">
        <v>1812</v>
      </c>
      <c r="T60" s="24">
        <v>753</v>
      </c>
    </row>
    <row r="61" spans="1:20" x14ac:dyDescent="0.3">
      <c r="A61" s="23" t="s">
        <v>89</v>
      </c>
      <c r="B61" s="24">
        <v>590.33333333333337</v>
      </c>
      <c r="S61" s="23" t="s">
        <v>1813</v>
      </c>
      <c r="T61" s="24">
        <v>598.125</v>
      </c>
    </row>
    <row r="62" spans="1:20" x14ac:dyDescent="0.3">
      <c r="A62" s="23" t="s">
        <v>90</v>
      </c>
      <c r="B62" s="24">
        <v>521.16666666666663</v>
      </c>
      <c r="S62" s="23" t="s">
        <v>88</v>
      </c>
      <c r="T62" s="24">
        <v>602</v>
      </c>
    </row>
    <row r="63" spans="1:20" x14ac:dyDescent="0.3">
      <c r="A63" s="23" t="s">
        <v>91</v>
      </c>
      <c r="B63" s="24">
        <v>452.66666666666669</v>
      </c>
      <c r="S63" s="23" t="s">
        <v>89</v>
      </c>
      <c r="T63" s="24">
        <v>590.33333333333337</v>
      </c>
    </row>
    <row r="64" spans="1:20" x14ac:dyDescent="0.3">
      <c r="A64" s="23" t="s">
        <v>92</v>
      </c>
      <c r="B64" s="24">
        <v>533.83333333333337</v>
      </c>
      <c r="S64" s="23" t="s">
        <v>90</v>
      </c>
      <c r="T64" s="24">
        <v>521.16666666666663</v>
      </c>
    </row>
    <row r="65" spans="1:20" x14ac:dyDescent="0.3">
      <c r="A65" s="23" t="s">
        <v>93</v>
      </c>
      <c r="B65" s="24">
        <v>530.20000000000005</v>
      </c>
      <c r="S65" s="23" t="s">
        <v>91</v>
      </c>
      <c r="T65" s="24">
        <v>452.66666666666669</v>
      </c>
    </row>
    <row r="66" spans="1:20" x14ac:dyDescent="0.3">
      <c r="A66" s="23" t="s">
        <v>94</v>
      </c>
      <c r="B66" s="24">
        <v>677.2</v>
      </c>
      <c r="S66" s="23" t="s">
        <v>92</v>
      </c>
      <c r="T66" s="24">
        <v>533.83333333333337</v>
      </c>
    </row>
    <row r="67" spans="1:20" x14ac:dyDescent="0.3">
      <c r="A67" s="23" t="s">
        <v>95</v>
      </c>
      <c r="B67" s="24">
        <v>550.83333333333337</v>
      </c>
      <c r="S67" s="23" t="s">
        <v>93</v>
      </c>
      <c r="T67" s="24">
        <v>530.20000000000005</v>
      </c>
    </row>
    <row r="68" spans="1:20" x14ac:dyDescent="0.3">
      <c r="A68" s="23" t="s">
        <v>96</v>
      </c>
      <c r="B68" s="24">
        <v>558.28571428571433</v>
      </c>
      <c r="S68" s="23" t="s">
        <v>94</v>
      </c>
      <c r="T68" s="24">
        <v>677.2</v>
      </c>
    </row>
    <row r="69" spans="1:20" x14ac:dyDescent="0.3">
      <c r="A69" s="23" t="s">
        <v>97</v>
      </c>
      <c r="B69" s="24">
        <v>392.25</v>
      </c>
      <c r="S69" s="23" t="s">
        <v>95</v>
      </c>
      <c r="T69" s="24">
        <v>550.83333333333337</v>
      </c>
    </row>
    <row r="70" spans="1:20" x14ac:dyDescent="0.3">
      <c r="A70" s="23" t="s">
        <v>98</v>
      </c>
      <c r="B70" s="24">
        <v>540.875</v>
      </c>
      <c r="S70" s="23" t="s">
        <v>96</v>
      </c>
      <c r="T70" s="24">
        <v>558.28571428571433</v>
      </c>
    </row>
    <row r="71" spans="1:20" x14ac:dyDescent="0.3">
      <c r="A71" s="23" t="s">
        <v>99</v>
      </c>
      <c r="B71" s="24">
        <v>538</v>
      </c>
      <c r="S71" s="23" t="s">
        <v>97</v>
      </c>
      <c r="T71" s="24">
        <v>392.25</v>
      </c>
    </row>
    <row r="72" spans="1:20" x14ac:dyDescent="0.3">
      <c r="A72" s="23" t="s">
        <v>100</v>
      </c>
      <c r="B72" s="24">
        <v>518.66666666666663</v>
      </c>
      <c r="S72" s="23" t="s">
        <v>98</v>
      </c>
      <c r="T72" s="24">
        <v>540.875</v>
      </c>
    </row>
    <row r="73" spans="1:20" x14ac:dyDescent="0.3">
      <c r="A73" s="23" t="s">
        <v>101</v>
      </c>
      <c r="B73" s="24">
        <v>547.66666666666663</v>
      </c>
      <c r="S73" s="23" t="s">
        <v>99</v>
      </c>
      <c r="T73" s="24">
        <v>538</v>
      </c>
    </row>
    <row r="74" spans="1:20" x14ac:dyDescent="0.3">
      <c r="A74" s="23" t="s">
        <v>102</v>
      </c>
      <c r="B74" s="24">
        <v>544.5</v>
      </c>
      <c r="S74" s="23" t="s">
        <v>100</v>
      </c>
      <c r="T74" s="24">
        <v>518.66666666666663</v>
      </c>
    </row>
    <row r="75" spans="1:20" x14ac:dyDescent="0.3">
      <c r="A75" s="23" t="s">
        <v>103</v>
      </c>
      <c r="B75" s="24">
        <v>519</v>
      </c>
      <c r="S75" s="23" t="s">
        <v>101</v>
      </c>
      <c r="T75" s="24">
        <v>547.66666666666663</v>
      </c>
    </row>
    <row r="76" spans="1:20" x14ac:dyDescent="0.3">
      <c r="A76" s="23" t="s">
        <v>104</v>
      </c>
      <c r="B76" s="24">
        <v>605.44444444444446</v>
      </c>
      <c r="S76" s="23" t="s">
        <v>102</v>
      </c>
      <c r="T76" s="24">
        <v>544.5</v>
      </c>
    </row>
    <row r="77" spans="1:20" x14ac:dyDescent="0.3">
      <c r="A77" s="23" t="s">
        <v>105</v>
      </c>
      <c r="B77" s="24">
        <v>589.29999999999995</v>
      </c>
      <c r="S77" s="23" t="s">
        <v>103</v>
      </c>
      <c r="T77" s="24">
        <v>519</v>
      </c>
    </row>
    <row r="78" spans="1:20" x14ac:dyDescent="0.3">
      <c r="A78" s="23" t="s">
        <v>106</v>
      </c>
      <c r="B78" s="24">
        <v>512.66666666666663</v>
      </c>
      <c r="S78" s="23" t="s">
        <v>104</v>
      </c>
      <c r="T78" s="24">
        <v>605.44444444444446</v>
      </c>
    </row>
    <row r="79" spans="1:20" x14ac:dyDescent="0.3">
      <c r="A79" s="23" t="s">
        <v>107</v>
      </c>
      <c r="B79" s="24">
        <v>543.71428571428567</v>
      </c>
      <c r="S79" s="23" t="s">
        <v>105</v>
      </c>
      <c r="T79" s="24">
        <v>589.29999999999995</v>
      </c>
    </row>
    <row r="80" spans="1:20" x14ac:dyDescent="0.3">
      <c r="A80" s="23" t="s">
        <v>108</v>
      </c>
      <c r="B80" s="24">
        <v>472</v>
      </c>
      <c r="S80" s="23" t="s">
        <v>106</v>
      </c>
      <c r="T80" s="24">
        <v>512.66666666666663</v>
      </c>
    </row>
    <row r="81" spans="1:20" x14ac:dyDescent="0.3">
      <c r="A81" s="23" t="s">
        <v>109</v>
      </c>
      <c r="B81" s="24">
        <v>514</v>
      </c>
      <c r="S81" s="23" t="s">
        <v>107</v>
      </c>
      <c r="T81" s="24">
        <v>543.71428571428567</v>
      </c>
    </row>
    <row r="82" spans="1:20" x14ac:dyDescent="0.3">
      <c r="A82" s="23" t="s">
        <v>1814</v>
      </c>
      <c r="B82" s="24">
        <v>385</v>
      </c>
      <c r="S82" s="23" t="s">
        <v>108</v>
      </c>
      <c r="T82" s="24">
        <v>472</v>
      </c>
    </row>
    <row r="83" spans="1:20" x14ac:dyDescent="0.3">
      <c r="A83" s="23" t="s">
        <v>1815</v>
      </c>
      <c r="B83" s="24">
        <v>505.25</v>
      </c>
      <c r="S83" s="23" t="s">
        <v>109</v>
      </c>
      <c r="T83" s="24">
        <v>514</v>
      </c>
    </row>
    <row r="84" spans="1:20" x14ac:dyDescent="0.3">
      <c r="A84" s="23" t="s">
        <v>1816</v>
      </c>
      <c r="B84" s="24">
        <v>475.16666666666669</v>
      </c>
      <c r="S84" s="23" t="s">
        <v>1814</v>
      </c>
      <c r="T84" s="24">
        <v>385</v>
      </c>
    </row>
    <row r="85" spans="1:20" x14ac:dyDescent="0.3">
      <c r="A85" s="23" t="s">
        <v>1817</v>
      </c>
      <c r="B85" s="24">
        <v>540.55555555555554</v>
      </c>
      <c r="S85" s="23" t="s">
        <v>1815</v>
      </c>
      <c r="T85" s="24">
        <v>505.25</v>
      </c>
    </row>
    <row r="86" spans="1:20" x14ac:dyDescent="0.3">
      <c r="A86" s="23" t="s">
        <v>1818</v>
      </c>
      <c r="B86" s="24">
        <v>515.16666666666663</v>
      </c>
      <c r="S86" s="23" t="s">
        <v>1816</v>
      </c>
      <c r="T86" s="24">
        <v>475.16666666666669</v>
      </c>
    </row>
    <row r="87" spans="1:20" x14ac:dyDescent="0.3">
      <c r="A87" s="23" t="s">
        <v>1819</v>
      </c>
      <c r="B87" s="24">
        <v>481.4</v>
      </c>
      <c r="S87" s="23" t="s">
        <v>1817</v>
      </c>
      <c r="T87" s="24">
        <v>540.55555555555554</v>
      </c>
    </row>
    <row r="88" spans="1:20" x14ac:dyDescent="0.3">
      <c r="A88" s="25" t="s">
        <v>27</v>
      </c>
      <c r="B88" s="17">
        <v>552.85642317380348</v>
      </c>
      <c r="S88" s="23" t="s">
        <v>1818</v>
      </c>
      <c r="T88" s="24">
        <v>515.16666666666663</v>
      </c>
    </row>
    <row r="89" spans="1:20" x14ac:dyDescent="0.3">
      <c r="S89" s="23" t="s">
        <v>1819</v>
      </c>
      <c r="T89" s="24">
        <v>481.4</v>
      </c>
    </row>
    <row r="90" spans="1:20" x14ac:dyDescent="0.3">
      <c r="S90" s="25" t="s">
        <v>27</v>
      </c>
      <c r="T90" s="17">
        <v>552.85642317380348</v>
      </c>
    </row>
    <row r="98" spans="1:19" ht="23.4" x14ac:dyDescent="0.45">
      <c r="A98" s="27" t="s">
        <v>1790</v>
      </c>
    </row>
    <row r="99" spans="1:19" ht="23.4" x14ac:dyDescent="0.45">
      <c r="R99" s="27" t="s">
        <v>1791</v>
      </c>
    </row>
    <row r="101" spans="1:19" x14ac:dyDescent="0.3">
      <c r="A101" s="18" t="s">
        <v>21</v>
      </c>
      <c r="B101" s="15" t="s">
        <v>1827</v>
      </c>
      <c r="C101" s="31" t="s">
        <v>1824</v>
      </c>
      <c r="R101" s="18" t="s">
        <v>21</v>
      </c>
      <c r="S101" s="16" t="s">
        <v>1824</v>
      </c>
    </row>
    <row r="102" spans="1:19" x14ac:dyDescent="0.3">
      <c r="A102" s="22" t="s">
        <v>1792</v>
      </c>
      <c r="B102" s="15">
        <v>145805</v>
      </c>
      <c r="C102" s="31">
        <v>145834</v>
      </c>
      <c r="R102" s="22" t="s">
        <v>1828</v>
      </c>
      <c r="S102" s="16">
        <v>26900</v>
      </c>
    </row>
    <row r="103" spans="1:19" x14ac:dyDescent="0.3">
      <c r="A103" s="22" t="s">
        <v>1793</v>
      </c>
      <c r="B103" s="15">
        <v>189190</v>
      </c>
      <c r="C103" s="31">
        <v>189271</v>
      </c>
      <c r="R103" s="23" t="s">
        <v>1829</v>
      </c>
      <c r="S103" s="24">
        <v>93582</v>
      </c>
    </row>
    <row r="104" spans="1:19" x14ac:dyDescent="0.3">
      <c r="A104" s="22" t="s">
        <v>1794</v>
      </c>
      <c r="B104" s="15">
        <v>87865</v>
      </c>
      <c r="C104" s="31">
        <v>87858</v>
      </c>
      <c r="R104" s="23" t="s">
        <v>1830</v>
      </c>
      <c r="S104" s="24">
        <v>132315</v>
      </c>
    </row>
    <row r="105" spans="1:19" x14ac:dyDescent="0.3">
      <c r="A105" s="22" t="s">
        <v>1795</v>
      </c>
      <c r="B105" s="15">
        <v>16005</v>
      </c>
      <c r="C105" s="31">
        <v>16005</v>
      </c>
      <c r="R105" s="23" t="s">
        <v>1831</v>
      </c>
      <c r="S105" s="24">
        <v>186171</v>
      </c>
    </row>
    <row r="106" spans="1:19" x14ac:dyDescent="0.3">
      <c r="A106" s="25" t="s">
        <v>27</v>
      </c>
      <c r="B106" s="20">
        <v>438865</v>
      </c>
      <c r="C106" s="32">
        <v>438968</v>
      </c>
      <c r="R106" s="25" t="s">
        <v>27</v>
      </c>
      <c r="S106" s="17">
        <v>438968</v>
      </c>
    </row>
    <row r="118" spans="1:17" ht="21" x14ac:dyDescent="0.4">
      <c r="P118" s="33" t="s">
        <v>1823</v>
      </c>
    </row>
    <row r="122" spans="1:17" ht="23.4" x14ac:dyDescent="0.45">
      <c r="A122" s="27" t="s">
        <v>1820</v>
      </c>
    </row>
    <row r="123" spans="1:17" x14ac:dyDescent="0.3">
      <c r="P123" s="18" t="s">
        <v>21</v>
      </c>
      <c r="Q123" s="16" t="s">
        <v>1825</v>
      </c>
    </row>
    <row r="124" spans="1:17" x14ac:dyDescent="0.3">
      <c r="P124" s="22" t="s">
        <v>1764</v>
      </c>
      <c r="Q124" s="16">
        <v>551.73988439306356</v>
      </c>
    </row>
    <row r="125" spans="1:17" x14ac:dyDescent="0.3">
      <c r="P125" s="23" t="s">
        <v>1766</v>
      </c>
      <c r="Q125" s="24">
        <v>557.49132947976875</v>
      </c>
    </row>
    <row r="126" spans="1:17" x14ac:dyDescent="0.3">
      <c r="A126" s="18" t="s">
        <v>21</v>
      </c>
      <c r="B126" s="16" t="s">
        <v>1832</v>
      </c>
      <c r="P126" s="23" t="s">
        <v>1768</v>
      </c>
      <c r="Q126" s="24">
        <v>554.54335260115602</v>
      </c>
    </row>
    <row r="127" spans="1:17" x14ac:dyDescent="0.3">
      <c r="A127" s="22" t="s">
        <v>1828</v>
      </c>
      <c r="B127" s="16">
        <v>106</v>
      </c>
      <c r="P127" s="23" t="s">
        <v>1770</v>
      </c>
      <c r="Q127" s="24">
        <v>544.6104651162791</v>
      </c>
    </row>
    <row r="128" spans="1:17" x14ac:dyDescent="0.3">
      <c r="A128" s="23" t="s">
        <v>1829</v>
      </c>
      <c r="B128" s="24">
        <v>235</v>
      </c>
      <c r="P128" s="23" t="s">
        <v>1772</v>
      </c>
      <c r="Q128" s="24">
        <v>584.44927536231887</v>
      </c>
    </row>
    <row r="129" spans="1:17" x14ac:dyDescent="0.3">
      <c r="A129" s="23" t="s">
        <v>1830</v>
      </c>
      <c r="B129" s="24">
        <v>221</v>
      </c>
      <c r="P129" s="23" t="s">
        <v>1773</v>
      </c>
      <c r="Q129" s="24">
        <v>503.97058823529414</v>
      </c>
    </row>
    <row r="130" spans="1:17" x14ac:dyDescent="0.3">
      <c r="A130" s="23" t="s">
        <v>1831</v>
      </c>
      <c r="B130" s="24">
        <v>232</v>
      </c>
      <c r="P130" s="25" t="s">
        <v>27</v>
      </c>
      <c r="Q130" s="17">
        <v>552.85642317380348</v>
      </c>
    </row>
    <row r="131" spans="1:17" x14ac:dyDescent="0.3">
      <c r="A131" s="25" t="s">
        <v>27</v>
      </c>
      <c r="B131" s="17">
        <v>794</v>
      </c>
    </row>
  </sheetData>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59BD1-1FA4-47E7-9DC7-632E1A86B10C}">
  <dimension ref="N1:Y2"/>
  <sheetViews>
    <sheetView showGridLines="0" topLeftCell="A2" zoomScale="62" workbookViewId="0">
      <selection activeCell="B2" sqref="B2"/>
    </sheetView>
  </sheetViews>
  <sheetFormatPr defaultRowHeight="14.4" x14ac:dyDescent="0.3"/>
  <cols>
    <col min="1" max="16384" width="8.88671875" style="40"/>
  </cols>
  <sheetData>
    <row r="1" spans="14:25" ht="16.8" customHeight="1" x14ac:dyDescent="0.3"/>
    <row r="2" spans="14:25" ht="71.400000000000006" customHeight="1" x14ac:dyDescent="1.65">
      <c r="N2" s="41"/>
      <c r="O2" s="42" t="s">
        <v>1839</v>
      </c>
      <c r="P2" s="41"/>
      <c r="Q2" s="41"/>
      <c r="R2" s="41"/>
      <c r="S2" s="41"/>
      <c r="T2" s="41"/>
      <c r="U2" s="41"/>
      <c r="V2" s="41"/>
      <c r="W2" s="41"/>
      <c r="X2" s="41"/>
      <c r="Y2" s="39"/>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topLeftCell="H1" workbookViewId="0">
      <selection activeCell="P40" sqref="J14:P40"/>
    </sheetView>
  </sheetViews>
  <sheetFormatPr defaultColWidth="14.44140625" defaultRowHeight="15" customHeight="1" x14ac:dyDescent="0.3"/>
  <cols>
    <col min="1" max="1" width="10.88671875" customWidth="1"/>
    <col min="2" max="2" width="12.33203125" customWidth="1"/>
    <col min="3" max="3" width="11.44140625" customWidth="1"/>
    <col min="4" max="4" width="28.6640625" customWidth="1"/>
    <col min="5" max="5" width="13" customWidth="1"/>
    <col min="6" max="6" width="21.33203125" customWidth="1"/>
    <col min="7" max="7" width="15.33203125" customWidth="1"/>
    <col min="8" max="8" width="26.33203125" customWidth="1"/>
    <col min="9" max="9" width="12.88671875" customWidth="1"/>
    <col min="10" max="11" width="8.6640625" customWidth="1"/>
    <col min="12" max="12" width="26" bestFit="1" customWidth="1"/>
    <col min="13" max="13" width="15.5546875" bestFit="1" customWidth="1"/>
    <col min="14" max="14" width="24.21875" bestFit="1" customWidth="1"/>
    <col min="15" max="15" width="17.77734375" bestFit="1" customWidth="1"/>
    <col min="16" max="16" width="29" bestFit="1" customWidth="1"/>
    <col min="17" max="26" width="8.6640625" customWidth="1"/>
  </cols>
  <sheetData>
    <row r="1" spans="1:13" ht="14.25" customHeight="1" x14ac:dyDescent="0.3">
      <c r="A1" s="11" t="s">
        <v>118</v>
      </c>
      <c r="B1" s="11" t="s">
        <v>1759</v>
      </c>
      <c r="C1" s="11" t="s">
        <v>1760</v>
      </c>
      <c r="D1" s="11" t="s">
        <v>1774</v>
      </c>
      <c r="E1" s="11" t="s">
        <v>1775</v>
      </c>
      <c r="F1" s="11" t="s">
        <v>1776</v>
      </c>
      <c r="G1" s="11" t="s">
        <v>1777</v>
      </c>
      <c r="H1" s="11" t="s">
        <v>1778</v>
      </c>
      <c r="I1" s="11" t="s">
        <v>1779</v>
      </c>
    </row>
    <row r="2" spans="1:13" ht="14.25" customHeight="1" x14ac:dyDescent="0.3">
      <c r="A2" s="2" t="s">
        <v>126</v>
      </c>
      <c r="B2" s="2" t="s">
        <v>1764</v>
      </c>
      <c r="C2" s="12">
        <v>44739</v>
      </c>
      <c r="D2" s="2" t="s">
        <v>1780</v>
      </c>
      <c r="E2" s="2" t="s">
        <v>1781</v>
      </c>
      <c r="F2" s="2">
        <v>72</v>
      </c>
      <c r="G2" s="2" t="s">
        <v>25</v>
      </c>
      <c r="H2" s="13">
        <v>8</v>
      </c>
      <c r="I2" s="14">
        <v>1.372080123313592E-2</v>
      </c>
    </row>
    <row r="3" spans="1:13" ht="14.25" customHeight="1" x14ac:dyDescent="0.3">
      <c r="A3" s="2" t="s">
        <v>130</v>
      </c>
      <c r="B3" s="2" t="s">
        <v>1766</v>
      </c>
      <c r="C3" s="12">
        <v>44740</v>
      </c>
      <c r="D3" s="2" t="s">
        <v>1782</v>
      </c>
      <c r="E3" s="2" t="s">
        <v>1783</v>
      </c>
      <c r="F3" s="2">
        <v>65</v>
      </c>
      <c r="G3" s="2" t="s">
        <v>23</v>
      </c>
      <c r="H3" s="13">
        <v>7</v>
      </c>
      <c r="I3" s="14">
        <v>2.2083854314921911E-2</v>
      </c>
    </row>
    <row r="4" spans="1:13" ht="14.25" customHeight="1" x14ac:dyDescent="0.3">
      <c r="A4" s="2" t="s">
        <v>133</v>
      </c>
      <c r="B4" s="2" t="s">
        <v>1768</v>
      </c>
      <c r="C4" s="12">
        <v>44734</v>
      </c>
      <c r="D4" s="2" t="s">
        <v>1784</v>
      </c>
      <c r="E4" s="2" t="s">
        <v>1781</v>
      </c>
      <c r="F4" s="2">
        <v>250</v>
      </c>
      <c r="G4" s="2" t="s">
        <v>24</v>
      </c>
      <c r="H4" s="13">
        <v>3</v>
      </c>
      <c r="I4" s="14">
        <v>0.92842323956324613</v>
      </c>
    </row>
    <row r="5" spans="1:13" ht="14.25" customHeight="1" x14ac:dyDescent="0.3">
      <c r="A5" s="2" t="s">
        <v>137</v>
      </c>
      <c r="B5" s="2" t="s">
        <v>1770</v>
      </c>
      <c r="C5" s="12">
        <v>44737</v>
      </c>
      <c r="D5" s="2" t="s">
        <v>1785</v>
      </c>
      <c r="E5" s="2" t="s">
        <v>1783</v>
      </c>
      <c r="F5" s="2">
        <v>130</v>
      </c>
      <c r="G5" s="2" t="s">
        <v>25</v>
      </c>
      <c r="H5" s="13">
        <v>5</v>
      </c>
      <c r="I5" s="14">
        <v>0.20990358910221096</v>
      </c>
    </row>
    <row r="6" spans="1:13" ht="14.25" customHeight="1" x14ac:dyDescent="0.3">
      <c r="A6" s="2" t="s">
        <v>140</v>
      </c>
      <c r="B6" s="2" t="s">
        <v>1764</v>
      </c>
      <c r="C6" s="12">
        <v>44735</v>
      </c>
      <c r="D6" s="2" t="s">
        <v>1780</v>
      </c>
      <c r="E6" s="2" t="s">
        <v>1781</v>
      </c>
      <c r="F6" s="2">
        <v>72</v>
      </c>
      <c r="G6" s="2" t="s">
        <v>23</v>
      </c>
      <c r="H6" s="13">
        <v>4</v>
      </c>
      <c r="I6" s="14">
        <v>0.184343159134289</v>
      </c>
    </row>
    <row r="7" spans="1:13" ht="14.25" customHeight="1" x14ac:dyDescent="0.3">
      <c r="A7" s="2" t="s">
        <v>143</v>
      </c>
      <c r="B7" s="2" t="s">
        <v>1766</v>
      </c>
      <c r="C7" s="12">
        <v>44727</v>
      </c>
      <c r="D7" s="2" t="s">
        <v>1782</v>
      </c>
      <c r="E7" s="2" t="s">
        <v>1783</v>
      </c>
      <c r="F7" s="2">
        <v>65</v>
      </c>
      <c r="G7" s="2" t="s">
        <v>24</v>
      </c>
      <c r="H7" s="13">
        <v>8</v>
      </c>
      <c r="I7" s="14">
        <v>0.11144429073382323</v>
      </c>
      <c r="M7" s="34" t="s">
        <v>14</v>
      </c>
    </row>
    <row r="8" spans="1:13" ht="14.25" customHeight="1" x14ac:dyDescent="0.3">
      <c r="A8" s="2" t="s">
        <v>146</v>
      </c>
      <c r="B8" s="2" t="s">
        <v>1768</v>
      </c>
      <c r="C8" s="12">
        <v>44740</v>
      </c>
      <c r="D8" s="2" t="s">
        <v>1784</v>
      </c>
      <c r="E8" s="2" t="s">
        <v>1781</v>
      </c>
      <c r="F8" s="2">
        <v>250</v>
      </c>
      <c r="G8" s="2" t="s">
        <v>25</v>
      </c>
      <c r="H8" s="13">
        <v>3</v>
      </c>
      <c r="I8" s="14">
        <v>0.56286929186816415</v>
      </c>
      <c r="M8" s="35" t="s">
        <v>15</v>
      </c>
    </row>
    <row r="9" spans="1:13" ht="14.25" customHeight="1" x14ac:dyDescent="0.3">
      <c r="A9" s="2" t="s">
        <v>149</v>
      </c>
      <c r="B9" s="2" t="s">
        <v>1770</v>
      </c>
      <c r="C9" s="12">
        <v>44725</v>
      </c>
      <c r="D9" s="2" t="s">
        <v>1785</v>
      </c>
      <c r="E9" s="2" t="s">
        <v>1783</v>
      </c>
      <c r="F9" s="2">
        <v>130</v>
      </c>
      <c r="G9" s="2" t="s">
        <v>23</v>
      </c>
      <c r="H9" s="13">
        <v>6</v>
      </c>
      <c r="I9" s="14">
        <v>3.138956050307417E-2</v>
      </c>
      <c r="M9" s="35" t="s">
        <v>16</v>
      </c>
    </row>
    <row r="10" spans="1:13" ht="14.25" customHeight="1" x14ac:dyDescent="0.3">
      <c r="A10" s="2" t="s">
        <v>152</v>
      </c>
      <c r="B10" s="2" t="s">
        <v>1772</v>
      </c>
      <c r="C10" s="12">
        <v>44736</v>
      </c>
      <c r="D10" s="2" t="s">
        <v>1786</v>
      </c>
      <c r="E10" s="2" t="s">
        <v>1781</v>
      </c>
      <c r="F10" s="2">
        <v>60</v>
      </c>
      <c r="G10" s="2" t="s">
        <v>24</v>
      </c>
      <c r="H10" s="13">
        <v>7</v>
      </c>
      <c r="I10" s="14">
        <v>0.23798278495106248</v>
      </c>
      <c r="M10" s="35" t="s">
        <v>17</v>
      </c>
    </row>
    <row r="11" spans="1:13" ht="14.25" customHeight="1" x14ac:dyDescent="0.3">
      <c r="A11" s="2" t="s">
        <v>155</v>
      </c>
      <c r="B11" s="2" t="s">
        <v>1764</v>
      </c>
      <c r="C11" s="12">
        <v>44725</v>
      </c>
      <c r="D11" s="2" t="s">
        <v>1780</v>
      </c>
      <c r="E11" s="2" t="s">
        <v>1783</v>
      </c>
      <c r="F11" s="2">
        <v>72</v>
      </c>
      <c r="G11" s="2" t="s">
        <v>25</v>
      </c>
      <c r="H11" s="13">
        <v>9</v>
      </c>
      <c r="I11" s="14">
        <v>0.19712344024473996</v>
      </c>
      <c r="M11" s="35" t="s">
        <v>18</v>
      </c>
    </row>
    <row r="12" spans="1:13" ht="14.25" customHeight="1" x14ac:dyDescent="0.3">
      <c r="A12" s="2" t="s">
        <v>157</v>
      </c>
      <c r="B12" s="2" t="s">
        <v>1766</v>
      </c>
      <c r="C12" s="12">
        <v>44734</v>
      </c>
      <c r="D12" s="2" t="s">
        <v>1782</v>
      </c>
      <c r="E12" s="2" t="s">
        <v>1781</v>
      </c>
      <c r="F12" s="2">
        <v>65</v>
      </c>
      <c r="G12" s="2" t="s">
        <v>23</v>
      </c>
      <c r="H12" s="13">
        <v>4</v>
      </c>
      <c r="I12" s="14">
        <v>6.8295799738434873E-2</v>
      </c>
      <c r="M12" s="35" t="s">
        <v>19</v>
      </c>
    </row>
    <row r="13" spans="1:13" ht="14.25" customHeight="1" x14ac:dyDescent="0.3">
      <c r="A13" s="2" t="s">
        <v>160</v>
      </c>
      <c r="B13" s="2" t="s">
        <v>1768</v>
      </c>
      <c r="C13" s="12">
        <v>44731</v>
      </c>
      <c r="D13" s="2" t="s">
        <v>1784</v>
      </c>
      <c r="E13" s="2" t="s">
        <v>1783</v>
      </c>
      <c r="F13" s="2">
        <v>250</v>
      </c>
      <c r="G13" s="2" t="s">
        <v>24</v>
      </c>
      <c r="H13" s="13">
        <v>3</v>
      </c>
      <c r="I13" s="14">
        <v>1.6828522965904168E-2</v>
      </c>
      <c r="M13" s="35" t="s">
        <v>20</v>
      </c>
    </row>
    <row r="14" spans="1:13" ht="14.25" customHeight="1" x14ac:dyDescent="0.3">
      <c r="A14" s="2" t="s">
        <v>163</v>
      </c>
      <c r="B14" s="2" t="s">
        <v>1770</v>
      </c>
      <c r="C14" s="12">
        <v>44730</v>
      </c>
      <c r="D14" s="2" t="s">
        <v>1785</v>
      </c>
      <c r="E14" s="2" t="s">
        <v>1781</v>
      </c>
      <c r="F14" s="2">
        <v>130</v>
      </c>
      <c r="G14" s="2" t="s">
        <v>25</v>
      </c>
      <c r="H14" s="13">
        <v>5</v>
      </c>
      <c r="I14" s="14">
        <v>0.26661284065553453</v>
      </c>
    </row>
    <row r="15" spans="1:13" ht="14.25" customHeight="1" x14ac:dyDescent="0.3">
      <c r="A15" s="2" t="s">
        <v>166</v>
      </c>
      <c r="B15" s="2" t="s">
        <v>1764</v>
      </c>
      <c r="C15" s="12">
        <v>44735</v>
      </c>
      <c r="D15" s="2" t="s">
        <v>1780</v>
      </c>
      <c r="E15" s="2" t="s">
        <v>1783</v>
      </c>
      <c r="F15" s="2">
        <v>72</v>
      </c>
      <c r="G15" s="2" t="s">
        <v>23</v>
      </c>
      <c r="H15" s="13">
        <v>12</v>
      </c>
      <c r="I15" s="14">
        <v>0.21251347110701568</v>
      </c>
    </row>
    <row r="16" spans="1:13" ht="14.25" customHeight="1" x14ac:dyDescent="0.3">
      <c r="A16" s="2" t="s">
        <v>169</v>
      </c>
      <c r="B16" s="2" t="s">
        <v>1766</v>
      </c>
      <c r="C16" s="12">
        <v>44738</v>
      </c>
      <c r="D16" s="2" t="s">
        <v>1782</v>
      </c>
      <c r="E16" s="2" t="s">
        <v>1781</v>
      </c>
      <c r="F16" s="2">
        <v>65</v>
      </c>
      <c r="G16" s="2" t="s">
        <v>24</v>
      </c>
      <c r="H16" s="13">
        <v>4</v>
      </c>
      <c r="I16" s="14">
        <v>0.10994257661413849</v>
      </c>
    </row>
    <row r="17" spans="1:9" ht="14.25" customHeight="1" x14ac:dyDescent="0.3">
      <c r="A17" s="2" t="s">
        <v>171</v>
      </c>
      <c r="B17" s="2" t="s">
        <v>1768</v>
      </c>
      <c r="C17" s="12">
        <v>44738</v>
      </c>
      <c r="D17" s="2" t="s">
        <v>1784</v>
      </c>
      <c r="E17" s="2" t="s">
        <v>1783</v>
      </c>
      <c r="F17" s="2">
        <v>250</v>
      </c>
      <c r="G17" s="2" t="s">
        <v>25</v>
      </c>
      <c r="H17" s="13">
        <v>3</v>
      </c>
      <c r="I17" s="14">
        <v>0.53607498908607099</v>
      </c>
    </row>
    <row r="18" spans="1:9" ht="14.25" customHeight="1" x14ac:dyDescent="0.3">
      <c r="A18" s="2" t="s">
        <v>174</v>
      </c>
      <c r="B18" s="2" t="s">
        <v>1770</v>
      </c>
      <c r="C18" s="12">
        <v>44725</v>
      </c>
      <c r="D18" s="2" t="s">
        <v>1785</v>
      </c>
      <c r="E18" s="2" t="s">
        <v>1781</v>
      </c>
      <c r="F18" s="2">
        <v>130</v>
      </c>
      <c r="G18" s="2" t="s">
        <v>23</v>
      </c>
      <c r="H18" s="13">
        <v>5</v>
      </c>
      <c r="I18" s="14">
        <v>3.7515550327758003E-2</v>
      </c>
    </row>
    <row r="19" spans="1:9" ht="14.25" customHeight="1" x14ac:dyDescent="0.3">
      <c r="A19" s="2" t="s">
        <v>176</v>
      </c>
      <c r="B19" s="2" t="s">
        <v>1772</v>
      </c>
      <c r="C19" s="12">
        <v>44730</v>
      </c>
      <c r="D19" s="2" t="s">
        <v>1786</v>
      </c>
      <c r="E19" s="2" t="s">
        <v>1781</v>
      </c>
      <c r="F19" s="2">
        <v>60</v>
      </c>
      <c r="G19" s="2" t="s">
        <v>24</v>
      </c>
      <c r="H19" s="13">
        <v>13</v>
      </c>
      <c r="I19" s="14">
        <v>2.4938289886663061E-2</v>
      </c>
    </row>
    <row r="20" spans="1:9" ht="14.25" customHeight="1" x14ac:dyDescent="0.3">
      <c r="A20" s="2" t="s">
        <v>178</v>
      </c>
      <c r="B20" s="2" t="s">
        <v>1773</v>
      </c>
      <c r="C20" s="12">
        <v>44738</v>
      </c>
      <c r="D20" s="2" t="s">
        <v>1787</v>
      </c>
      <c r="E20" s="2" t="s">
        <v>1783</v>
      </c>
      <c r="F20" s="2">
        <v>95</v>
      </c>
      <c r="G20" s="2" t="s">
        <v>25</v>
      </c>
      <c r="H20" s="13">
        <v>5</v>
      </c>
      <c r="I20" s="14">
        <v>1.0123391970414241E-2</v>
      </c>
    </row>
    <row r="21" spans="1:9" ht="14.25" customHeight="1" x14ac:dyDescent="0.3">
      <c r="A21" s="2" t="s">
        <v>181</v>
      </c>
      <c r="B21" s="2" t="s">
        <v>1764</v>
      </c>
      <c r="C21" s="12">
        <v>44730</v>
      </c>
      <c r="D21" s="2" t="s">
        <v>1780</v>
      </c>
      <c r="E21" s="2" t="s">
        <v>1783</v>
      </c>
      <c r="F21" s="2">
        <v>72</v>
      </c>
      <c r="G21" s="2" t="s">
        <v>23</v>
      </c>
      <c r="H21" s="13">
        <v>5</v>
      </c>
      <c r="I21" s="14">
        <v>0.1308869366379137</v>
      </c>
    </row>
    <row r="22" spans="1:9" ht="14.25" customHeight="1" x14ac:dyDescent="0.3">
      <c r="A22" s="2" t="s">
        <v>184</v>
      </c>
      <c r="B22" s="2" t="s">
        <v>1766</v>
      </c>
      <c r="C22" s="12">
        <v>44738</v>
      </c>
      <c r="D22" s="2" t="s">
        <v>1782</v>
      </c>
      <c r="E22" s="2" t="s">
        <v>1783</v>
      </c>
      <c r="F22" s="2">
        <v>65</v>
      </c>
      <c r="G22" s="2" t="s">
        <v>24</v>
      </c>
      <c r="H22" s="13">
        <v>4</v>
      </c>
      <c r="I22" s="14">
        <v>6.6961969492996459E-2</v>
      </c>
    </row>
    <row r="23" spans="1:9" ht="14.25" customHeight="1" x14ac:dyDescent="0.3">
      <c r="A23" s="2" t="s">
        <v>187</v>
      </c>
      <c r="B23" s="2" t="s">
        <v>1768</v>
      </c>
      <c r="C23" s="12">
        <v>44734</v>
      </c>
      <c r="D23" s="2" t="s">
        <v>1784</v>
      </c>
      <c r="E23" s="2" t="s">
        <v>1781</v>
      </c>
      <c r="F23" s="2">
        <v>250</v>
      </c>
      <c r="G23" s="2" t="s">
        <v>25</v>
      </c>
      <c r="H23" s="13">
        <v>3</v>
      </c>
      <c r="I23" s="14">
        <v>0.36350761794645753</v>
      </c>
    </row>
    <row r="24" spans="1:9" ht="14.25" customHeight="1" x14ac:dyDescent="0.3">
      <c r="A24" s="2" t="s">
        <v>190</v>
      </c>
      <c r="B24" s="2" t="s">
        <v>1770</v>
      </c>
      <c r="C24" s="12">
        <v>44729</v>
      </c>
      <c r="D24" s="2" t="s">
        <v>1785</v>
      </c>
      <c r="E24" s="2" t="s">
        <v>1781</v>
      </c>
      <c r="F24" s="2">
        <v>130</v>
      </c>
      <c r="G24" s="2" t="s">
        <v>23</v>
      </c>
      <c r="H24" s="13">
        <v>6</v>
      </c>
      <c r="I24" s="14">
        <v>0.30841415491993102</v>
      </c>
    </row>
    <row r="25" spans="1:9" ht="14.25" customHeight="1" x14ac:dyDescent="0.3">
      <c r="A25" s="2" t="s">
        <v>193</v>
      </c>
      <c r="B25" s="2" t="s">
        <v>1764</v>
      </c>
      <c r="C25" s="12">
        <v>44730</v>
      </c>
      <c r="D25" s="2" t="s">
        <v>1780</v>
      </c>
      <c r="E25" s="2" t="s">
        <v>1781</v>
      </c>
      <c r="F25" s="2">
        <v>72</v>
      </c>
      <c r="G25" s="2" t="s">
        <v>24</v>
      </c>
      <c r="H25" s="13">
        <v>8</v>
      </c>
      <c r="I25" s="14">
        <v>0.21287301321989574</v>
      </c>
    </row>
    <row r="26" spans="1:9" ht="14.25" customHeight="1" x14ac:dyDescent="0.3">
      <c r="A26" s="2" t="s">
        <v>196</v>
      </c>
      <c r="B26" s="2" t="s">
        <v>1766</v>
      </c>
      <c r="C26" s="12">
        <v>44728</v>
      </c>
      <c r="D26" s="2" t="s">
        <v>1782</v>
      </c>
      <c r="E26" s="2" t="s">
        <v>1781</v>
      </c>
      <c r="F26" s="2">
        <v>65</v>
      </c>
      <c r="G26" s="2" t="s">
        <v>25</v>
      </c>
      <c r="H26" s="13">
        <v>5</v>
      </c>
      <c r="I26" s="14">
        <v>0.11047742601795077</v>
      </c>
    </row>
    <row r="27" spans="1:9" ht="14.25" customHeight="1" x14ac:dyDescent="0.3">
      <c r="A27" s="2" t="s">
        <v>199</v>
      </c>
      <c r="B27" s="2" t="s">
        <v>1768</v>
      </c>
      <c r="C27" s="12">
        <v>44735</v>
      </c>
      <c r="D27" s="2" t="s">
        <v>1784</v>
      </c>
      <c r="E27" s="2" t="s">
        <v>1781</v>
      </c>
      <c r="F27" s="2">
        <v>250</v>
      </c>
      <c r="G27" s="2" t="s">
        <v>23</v>
      </c>
      <c r="H27" s="13">
        <v>2</v>
      </c>
      <c r="I27" s="14">
        <v>4.8799156151631218E-2</v>
      </c>
    </row>
    <row r="28" spans="1:9" ht="14.25" customHeight="1" x14ac:dyDescent="0.3">
      <c r="A28" s="2" t="s">
        <v>202</v>
      </c>
      <c r="B28" s="2" t="s">
        <v>1770</v>
      </c>
      <c r="C28" s="12">
        <v>44738</v>
      </c>
      <c r="D28" s="2" t="s">
        <v>1785</v>
      </c>
      <c r="E28" s="2" t="s">
        <v>1781</v>
      </c>
      <c r="F28" s="2">
        <v>130</v>
      </c>
      <c r="G28" s="2" t="s">
        <v>24</v>
      </c>
      <c r="H28" s="13">
        <v>3</v>
      </c>
      <c r="I28" s="14">
        <v>0.27879506176921365</v>
      </c>
    </row>
    <row r="29" spans="1:9" ht="14.25" customHeight="1" x14ac:dyDescent="0.3">
      <c r="A29" s="2" t="s">
        <v>205</v>
      </c>
      <c r="B29" s="2" t="s">
        <v>1772</v>
      </c>
      <c r="C29" s="12">
        <v>44738</v>
      </c>
      <c r="D29" s="2" t="s">
        <v>1786</v>
      </c>
      <c r="E29" s="2" t="s">
        <v>1781</v>
      </c>
      <c r="F29" s="2">
        <v>60</v>
      </c>
      <c r="G29" s="2" t="s">
        <v>25</v>
      </c>
      <c r="H29" s="13">
        <v>14</v>
      </c>
      <c r="I29" s="14">
        <v>7.6045534046593019E-2</v>
      </c>
    </row>
    <row r="30" spans="1:9" ht="14.25" customHeight="1" x14ac:dyDescent="0.3">
      <c r="A30" s="2" t="s">
        <v>209</v>
      </c>
      <c r="B30" s="2" t="s">
        <v>1764</v>
      </c>
      <c r="C30" s="12">
        <v>44734</v>
      </c>
      <c r="D30" s="2" t="s">
        <v>1780</v>
      </c>
      <c r="E30" s="2" t="s">
        <v>1781</v>
      </c>
      <c r="F30" s="2">
        <v>72</v>
      </c>
      <c r="G30" s="2" t="s">
        <v>23</v>
      </c>
      <c r="H30" s="13">
        <v>12</v>
      </c>
      <c r="I30" s="14">
        <v>0.12055762754740325</v>
      </c>
    </row>
    <row r="31" spans="1:9" ht="14.25" customHeight="1" x14ac:dyDescent="0.3">
      <c r="A31" s="2" t="s">
        <v>212</v>
      </c>
      <c r="B31" s="2" t="s">
        <v>1766</v>
      </c>
      <c r="C31" s="12">
        <v>44727</v>
      </c>
      <c r="D31" s="2" t="s">
        <v>1782</v>
      </c>
      <c r="E31" s="2" t="s">
        <v>1781</v>
      </c>
      <c r="F31" s="2">
        <v>65</v>
      </c>
      <c r="G31" s="2" t="s">
        <v>24</v>
      </c>
      <c r="H31" s="13">
        <v>5</v>
      </c>
      <c r="I31" s="14">
        <v>0.30283946337780637</v>
      </c>
    </row>
    <row r="32" spans="1:9" ht="14.25" customHeight="1" x14ac:dyDescent="0.3">
      <c r="A32" s="2" t="s">
        <v>215</v>
      </c>
      <c r="B32" s="2" t="s">
        <v>1768</v>
      </c>
      <c r="C32" s="12">
        <v>44729</v>
      </c>
      <c r="D32" s="2" t="s">
        <v>1784</v>
      </c>
      <c r="E32" s="2" t="s">
        <v>1783</v>
      </c>
      <c r="F32" s="2">
        <v>250</v>
      </c>
      <c r="G32" s="2" t="s">
        <v>25</v>
      </c>
      <c r="H32" s="13">
        <v>1</v>
      </c>
      <c r="I32" s="14">
        <v>0.41401829873258272</v>
      </c>
    </row>
    <row r="33" spans="1:9" ht="14.25" customHeight="1" x14ac:dyDescent="0.3">
      <c r="A33" s="2" t="s">
        <v>218</v>
      </c>
      <c r="B33" s="2" t="s">
        <v>1770</v>
      </c>
      <c r="C33" s="12">
        <v>44726</v>
      </c>
      <c r="D33" s="2" t="s">
        <v>1785</v>
      </c>
      <c r="E33" s="2" t="s">
        <v>1781</v>
      </c>
      <c r="F33" s="2">
        <v>130</v>
      </c>
      <c r="G33" s="2" t="s">
        <v>23</v>
      </c>
      <c r="H33" s="13">
        <v>4</v>
      </c>
      <c r="I33" s="14">
        <v>6.1603660271292333E-3</v>
      </c>
    </row>
    <row r="34" spans="1:9" ht="14.25" customHeight="1" x14ac:dyDescent="0.3">
      <c r="A34" s="2" t="s">
        <v>221</v>
      </c>
      <c r="B34" s="2" t="s">
        <v>1764</v>
      </c>
      <c r="C34" s="12">
        <v>44733</v>
      </c>
      <c r="D34" s="2" t="s">
        <v>1780</v>
      </c>
      <c r="E34" s="2" t="s">
        <v>1781</v>
      </c>
      <c r="F34" s="2">
        <v>72</v>
      </c>
      <c r="G34" s="2" t="s">
        <v>24</v>
      </c>
      <c r="H34" s="13">
        <v>8</v>
      </c>
      <c r="I34" s="14">
        <v>0.10495963672233184</v>
      </c>
    </row>
    <row r="35" spans="1:9" ht="14.25" customHeight="1" x14ac:dyDescent="0.3">
      <c r="A35" s="2" t="s">
        <v>223</v>
      </c>
      <c r="B35" s="2" t="s">
        <v>1766</v>
      </c>
      <c r="C35" s="12">
        <v>44730</v>
      </c>
      <c r="D35" s="2" t="s">
        <v>1782</v>
      </c>
      <c r="E35" s="2" t="s">
        <v>1781</v>
      </c>
      <c r="F35" s="2">
        <v>65</v>
      </c>
      <c r="G35" s="2" t="s">
        <v>25</v>
      </c>
      <c r="H35" s="13">
        <v>12</v>
      </c>
      <c r="I35" s="14">
        <v>0.29377273906475571</v>
      </c>
    </row>
    <row r="36" spans="1:9" ht="14.25" customHeight="1" x14ac:dyDescent="0.3">
      <c r="A36" s="2" t="s">
        <v>226</v>
      </c>
      <c r="B36" s="2" t="s">
        <v>1768</v>
      </c>
      <c r="C36" s="12">
        <v>44736</v>
      </c>
      <c r="D36" s="2" t="s">
        <v>1784</v>
      </c>
      <c r="E36" s="2" t="s">
        <v>1781</v>
      </c>
      <c r="F36" s="2">
        <v>250</v>
      </c>
      <c r="G36" s="2" t="s">
        <v>23</v>
      </c>
      <c r="H36" s="13">
        <v>3</v>
      </c>
      <c r="I36" s="14">
        <v>0.56559810101924179</v>
      </c>
    </row>
    <row r="37" spans="1:9" ht="14.25" customHeight="1" x14ac:dyDescent="0.3">
      <c r="A37" s="2" t="s">
        <v>228</v>
      </c>
      <c r="B37" s="2" t="s">
        <v>1770</v>
      </c>
      <c r="C37" s="12">
        <v>44732</v>
      </c>
      <c r="D37" s="2" t="s">
        <v>1785</v>
      </c>
      <c r="E37" s="2" t="s">
        <v>1781</v>
      </c>
      <c r="F37" s="2">
        <v>130</v>
      </c>
      <c r="G37" s="2" t="s">
        <v>24</v>
      </c>
      <c r="H37" s="13">
        <v>3</v>
      </c>
      <c r="I37" s="14">
        <v>0.14180367825735268</v>
      </c>
    </row>
    <row r="38" spans="1:9" ht="14.25" customHeight="1" x14ac:dyDescent="0.3">
      <c r="A38" s="2" t="s">
        <v>230</v>
      </c>
      <c r="B38" s="2" t="s">
        <v>1772</v>
      </c>
      <c r="C38" s="12">
        <v>44732</v>
      </c>
      <c r="D38" s="2" t="s">
        <v>1786</v>
      </c>
      <c r="E38" s="2" t="s">
        <v>1783</v>
      </c>
      <c r="F38" s="2">
        <v>60</v>
      </c>
      <c r="G38" s="2" t="s">
        <v>25</v>
      </c>
      <c r="H38" s="13">
        <v>11</v>
      </c>
      <c r="I38" s="14">
        <v>0.19727585407121537</v>
      </c>
    </row>
    <row r="39" spans="1:9" ht="14.25" customHeight="1" x14ac:dyDescent="0.3">
      <c r="A39" s="2" t="s">
        <v>232</v>
      </c>
      <c r="B39" s="2" t="s">
        <v>1773</v>
      </c>
      <c r="C39" s="12">
        <v>44731</v>
      </c>
      <c r="D39" s="2" t="s">
        <v>1787</v>
      </c>
      <c r="E39" s="2" t="s">
        <v>1781</v>
      </c>
      <c r="F39" s="2">
        <v>95</v>
      </c>
      <c r="G39" s="2" t="s">
        <v>23</v>
      </c>
      <c r="H39" s="13">
        <v>8</v>
      </c>
      <c r="I39" s="14">
        <v>0.16026707373910823</v>
      </c>
    </row>
    <row r="40" spans="1:9" ht="14.25" customHeight="1" x14ac:dyDescent="0.3">
      <c r="A40" s="2" t="s">
        <v>234</v>
      </c>
      <c r="B40" s="2" t="s">
        <v>1764</v>
      </c>
      <c r="C40" s="12">
        <v>44735</v>
      </c>
      <c r="D40" s="2" t="s">
        <v>1780</v>
      </c>
      <c r="E40" s="2" t="s">
        <v>1781</v>
      </c>
      <c r="F40" s="2">
        <v>72</v>
      </c>
      <c r="G40" s="2" t="s">
        <v>24</v>
      </c>
      <c r="H40" s="13">
        <v>5</v>
      </c>
      <c r="I40" s="14">
        <v>3.6754234817017679E-2</v>
      </c>
    </row>
    <row r="41" spans="1:9" ht="14.25" customHeight="1" x14ac:dyDescent="0.3">
      <c r="A41" s="2" t="s">
        <v>237</v>
      </c>
      <c r="B41" s="2" t="s">
        <v>1766</v>
      </c>
      <c r="C41" s="12">
        <v>44728</v>
      </c>
      <c r="D41" s="2" t="s">
        <v>1782</v>
      </c>
      <c r="E41" s="2" t="s">
        <v>1781</v>
      </c>
      <c r="F41" s="2">
        <v>65</v>
      </c>
      <c r="G41" s="2" t="s">
        <v>25</v>
      </c>
      <c r="H41" s="13">
        <v>6</v>
      </c>
      <c r="I41" s="14">
        <v>0.12047427034169578</v>
      </c>
    </row>
    <row r="42" spans="1:9" ht="14.25" customHeight="1" x14ac:dyDescent="0.3">
      <c r="A42" s="2" t="s">
        <v>240</v>
      </c>
      <c r="B42" s="2" t="s">
        <v>1768</v>
      </c>
      <c r="C42" s="12">
        <v>44727</v>
      </c>
      <c r="D42" s="2" t="s">
        <v>1784</v>
      </c>
      <c r="E42" s="2" t="s">
        <v>1783</v>
      </c>
      <c r="F42" s="2">
        <v>250</v>
      </c>
      <c r="G42" s="2" t="s">
        <v>23</v>
      </c>
      <c r="H42" s="13">
        <v>1</v>
      </c>
      <c r="I42" s="14">
        <v>0.38636401364592987</v>
      </c>
    </row>
    <row r="43" spans="1:9" ht="14.25" customHeight="1" x14ac:dyDescent="0.3">
      <c r="A43" s="2" t="s">
        <v>242</v>
      </c>
      <c r="B43" s="2" t="s">
        <v>1770</v>
      </c>
      <c r="C43" s="12">
        <v>44731</v>
      </c>
      <c r="D43" s="2" t="s">
        <v>1785</v>
      </c>
      <c r="E43" s="2" t="s">
        <v>1783</v>
      </c>
      <c r="F43" s="2">
        <v>130</v>
      </c>
      <c r="G43" s="2" t="s">
        <v>24</v>
      </c>
      <c r="H43" s="13">
        <v>7</v>
      </c>
      <c r="I43" s="14">
        <v>0.25111930985495906</v>
      </c>
    </row>
    <row r="44" spans="1:9" ht="14.25" customHeight="1" x14ac:dyDescent="0.3">
      <c r="A44" s="2" t="s">
        <v>245</v>
      </c>
      <c r="B44" s="2" t="s">
        <v>1764</v>
      </c>
      <c r="C44" s="12">
        <v>44732</v>
      </c>
      <c r="D44" s="2" t="s">
        <v>1780</v>
      </c>
      <c r="E44" s="2" t="s">
        <v>1783</v>
      </c>
      <c r="F44" s="2">
        <v>72</v>
      </c>
      <c r="G44" s="2" t="s">
        <v>25</v>
      </c>
      <c r="H44" s="13">
        <v>7</v>
      </c>
      <c r="I44" s="14">
        <v>0.18099169049889144</v>
      </c>
    </row>
    <row r="45" spans="1:9" ht="14.25" customHeight="1" x14ac:dyDescent="0.3">
      <c r="A45" s="2" t="s">
        <v>248</v>
      </c>
      <c r="B45" s="2" t="s">
        <v>1766</v>
      </c>
      <c r="C45" s="12">
        <v>44738</v>
      </c>
      <c r="D45" s="2" t="s">
        <v>1782</v>
      </c>
      <c r="E45" s="2" t="s">
        <v>1783</v>
      </c>
      <c r="F45" s="2">
        <v>65</v>
      </c>
      <c r="G45" s="2" t="s">
        <v>23</v>
      </c>
      <c r="H45" s="13">
        <v>3</v>
      </c>
      <c r="I45" s="14">
        <v>0.17363786365000505</v>
      </c>
    </row>
    <row r="46" spans="1:9" ht="14.25" customHeight="1" x14ac:dyDescent="0.3">
      <c r="A46" s="2" t="s">
        <v>251</v>
      </c>
      <c r="B46" s="2" t="s">
        <v>1768</v>
      </c>
      <c r="C46" s="12">
        <v>44730</v>
      </c>
      <c r="D46" s="2" t="s">
        <v>1784</v>
      </c>
      <c r="E46" s="2" t="s">
        <v>1783</v>
      </c>
      <c r="F46" s="2">
        <v>250</v>
      </c>
      <c r="G46" s="2" t="s">
        <v>24</v>
      </c>
      <c r="H46" s="13">
        <v>1</v>
      </c>
      <c r="I46" s="14">
        <v>0.75489814137474298</v>
      </c>
    </row>
    <row r="47" spans="1:9" ht="14.25" customHeight="1" x14ac:dyDescent="0.3">
      <c r="A47" s="2" t="s">
        <v>254</v>
      </c>
      <c r="B47" s="2" t="s">
        <v>1770</v>
      </c>
      <c r="C47" s="12">
        <v>44736</v>
      </c>
      <c r="D47" s="2" t="s">
        <v>1785</v>
      </c>
      <c r="E47" s="2" t="s">
        <v>1783</v>
      </c>
      <c r="F47" s="2">
        <v>130</v>
      </c>
      <c r="G47" s="2" t="s">
        <v>25</v>
      </c>
      <c r="H47" s="13">
        <v>6</v>
      </c>
      <c r="I47" s="14">
        <v>0.41826226246410803</v>
      </c>
    </row>
    <row r="48" spans="1:9" ht="14.25" customHeight="1" x14ac:dyDescent="0.3">
      <c r="A48" s="2" t="s">
        <v>257</v>
      </c>
      <c r="B48" s="2" t="s">
        <v>1764</v>
      </c>
      <c r="C48" s="12">
        <v>44733</v>
      </c>
      <c r="D48" s="2" t="s">
        <v>1780</v>
      </c>
      <c r="E48" s="2" t="s">
        <v>1781</v>
      </c>
      <c r="F48" s="2">
        <v>72</v>
      </c>
      <c r="G48" s="2" t="s">
        <v>25</v>
      </c>
      <c r="H48" s="13">
        <v>4</v>
      </c>
      <c r="I48" s="14">
        <v>1.372080123313592E-2</v>
      </c>
    </row>
    <row r="49" spans="1:9" ht="14.25" customHeight="1" x14ac:dyDescent="0.3">
      <c r="A49" s="2" t="s">
        <v>260</v>
      </c>
      <c r="B49" s="2" t="s">
        <v>1766</v>
      </c>
      <c r="C49" s="12">
        <v>44746</v>
      </c>
      <c r="D49" s="2" t="s">
        <v>1782</v>
      </c>
      <c r="E49" s="2" t="s">
        <v>1783</v>
      </c>
      <c r="F49" s="2">
        <v>65</v>
      </c>
      <c r="G49" s="2" t="s">
        <v>23</v>
      </c>
      <c r="H49" s="13">
        <v>6</v>
      </c>
      <c r="I49" s="14">
        <v>2.2083854314921911E-2</v>
      </c>
    </row>
    <row r="50" spans="1:9" ht="14.25" customHeight="1" x14ac:dyDescent="0.3">
      <c r="A50" s="2" t="s">
        <v>263</v>
      </c>
      <c r="B50" s="2" t="s">
        <v>1768</v>
      </c>
      <c r="C50" s="12">
        <v>44755</v>
      </c>
      <c r="D50" s="2" t="s">
        <v>1784</v>
      </c>
      <c r="E50" s="2" t="s">
        <v>1781</v>
      </c>
      <c r="F50" s="2">
        <v>250</v>
      </c>
      <c r="G50" s="2" t="s">
        <v>24</v>
      </c>
      <c r="H50" s="13">
        <v>3</v>
      </c>
      <c r="I50" s="14">
        <v>0.92842323956324613</v>
      </c>
    </row>
    <row r="51" spans="1:9" ht="14.25" customHeight="1" x14ac:dyDescent="0.3">
      <c r="A51" s="2" t="s">
        <v>266</v>
      </c>
      <c r="B51" s="2" t="s">
        <v>1770</v>
      </c>
      <c r="C51" s="12">
        <v>44755</v>
      </c>
      <c r="D51" s="2" t="s">
        <v>1785</v>
      </c>
      <c r="E51" s="2" t="s">
        <v>1783</v>
      </c>
      <c r="F51" s="2">
        <v>130</v>
      </c>
      <c r="G51" s="2" t="s">
        <v>25</v>
      </c>
      <c r="H51" s="13">
        <v>2</v>
      </c>
      <c r="I51" s="14">
        <v>0.20990358910221096</v>
      </c>
    </row>
    <row r="52" spans="1:9" ht="14.25" customHeight="1" x14ac:dyDescent="0.3">
      <c r="A52" s="2" t="s">
        <v>269</v>
      </c>
      <c r="B52" s="2" t="s">
        <v>1764</v>
      </c>
      <c r="C52" s="12">
        <v>44727</v>
      </c>
      <c r="D52" s="2" t="s">
        <v>1780</v>
      </c>
      <c r="E52" s="2" t="s">
        <v>1781</v>
      </c>
      <c r="F52" s="2">
        <v>72</v>
      </c>
      <c r="G52" s="2" t="s">
        <v>23</v>
      </c>
      <c r="H52" s="13">
        <v>5</v>
      </c>
      <c r="I52" s="14">
        <v>0.184343159134289</v>
      </c>
    </row>
    <row r="53" spans="1:9" ht="14.25" customHeight="1" x14ac:dyDescent="0.3">
      <c r="A53" s="2" t="s">
        <v>271</v>
      </c>
      <c r="B53" s="2" t="s">
        <v>1766</v>
      </c>
      <c r="C53" s="12">
        <v>44746</v>
      </c>
      <c r="D53" s="2" t="s">
        <v>1782</v>
      </c>
      <c r="E53" s="2" t="s">
        <v>1783</v>
      </c>
      <c r="F53" s="2">
        <v>65</v>
      </c>
      <c r="G53" s="2" t="s">
        <v>24</v>
      </c>
      <c r="H53" s="13">
        <v>8</v>
      </c>
      <c r="I53" s="14">
        <v>0.11144429073382323</v>
      </c>
    </row>
    <row r="54" spans="1:9" ht="14.25" customHeight="1" x14ac:dyDescent="0.3">
      <c r="A54" s="2" t="s">
        <v>273</v>
      </c>
      <c r="B54" s="2" t="s">
        <v>1768</v>
      </c>
      <c r="C54" s="12">
        <v>44740</v>
      </c>
      <c r="D54" s="2" t="s">
        <v>1784</v>
      </c>
      <c r="E54" s="2" t="s">
        <v>1781</v>
      </c>
      <c r="F54" s="2">
        <v>250</v>
      </c>
      <c r="G54" s="2" t="s">
        <v>25</v>
      </c>
      <c r="H54" s="13">
        <v>3</v>
      </c>
      <c r="I54" s="14">
        <v>0.56286929186816415</v>
      </c>
    </row>
    <row r="55" spans="1:9" ht="14.25" customHeight="1" x14ac:dyDescent="0.3">
      <c r="A55" s="2" t="s">
        <v>275</v>
      </c>
      <c r="B55" s="2" t="s">
        <v>1770</v>
      </c>
      <c r="C55" s="12">
        <v>44743</v>
      </c>
      <c r="D55" s="2" t="s">
        <v>1785</v>
      </c>
      <c r="E55" s="2" t="s">
        <v>1783</v>
      </c>
      <c r="F55" s="2">
        <v>130</v>
      </c>
      <c r="G55" s="2" t="s">
        <v>23</v>
      </c>
      <c r="H55" s="13">
        <v>3</v>
      </c>
      <c r="I55" s="14">
        <v>3.138956050307417E-2</v>
      </c>
    </row>
    <row r="56" spans="1:9" ht="14.25" customHeight="1" x14ac:dyDescent="0.3">
      <c r="A56" s="2" t="s">
        <v>277</v>
      </c>
      <c r="B56" s="2" t="s">
        <v>1772</v>
      </c>
      <c r="C56" s="12">
        <v>44737</v>
      </c>
      <c r="D56" s="2" t="s">
        <v>1786</v>
      </c>
      <c r="E56" s="2" t="s">
        <v>1781</v>
      </c>
      <c r="F56" s="2">
        <v>60</v>
      </c>
      <c r="G56" s="2" t="s">
        <v>24</v>
      </c>
      <c r="H56" s="13">
        <v>13</v>
      </c>
      <c r="I56" s="14">
        <v>0.23798278495106248</v>
      </c>
    </row>
    <row r="57" spans="1:9" ht="14.25" customHeight="1" x14ac:dyDescent="0.3">
      <c r="A57" s="2" t="s">
        <v>279</v>
      </c>
      <c r="B57" s="2" t="s">
        <v>1764</v>
      </c>
      <c r="C57" s="12">
        <v>44757</v>
      </c>
      <c r="D57" s="2" t="s">
        <v>1780</v>
      </c>
      <c r="E57" s="2" t="s">
        <v>1783</v>
      </c>
      <c r="F57" s="2">
        <v>72</v>
      </c>
      <c r="G57" s="2" t="s">
        <v>25</v>
      </c>
      <c r="H57" s="13">
        <v>5</v>
      </c>
      <c r="I57" s="14">
        <v>0.19712344024473996</v>
      </c>
    </row>
    <row r="58" spans="1:9" ht="14.25" customHeight="1" x14ac:dyDescent="0.3">
      <c r="A58" s="2" t="s">
        <v>281</v>
      </c>
      <c r="B58" s="2" t="s">
        <v>1766</v>
      </c>
      <c r="C58" s="12">
        <v>44745</v>
      </c>
      <c r="D58" s="2" t="s">
        <v>1782</v>
      </c>
      <c r="E58" s="2" t="s">
        <v>1781</v>
      </c>
      <c r="F58" s="2">
        <v>65</v>
      </c>
      <c r="G58" s="2" t="s">
        <v>23</v>
      </c>
      <c r="H58" s="13">
        <v>7</v>
      </c>
      <c r="I58" s="14">
        <v>6.8295799738434873E-2</v>
      </c>
    </row>
    <row r="59" spans="1:9" ht="14.25" customHeight="1" x14ac:dyDescent="0.3">
      <c r="A59" s="2" t="s">
        <v>283</v>
      </c>
      <c r="B59" s="2" t="s">
        <v>1768</v>
      </c>
      <c r="C59" s="12">
        <v>44760</v>
      </c>
      <c r="D59" s="2" t="s">
        <v>1784</v>
      </c>
      <c r="E59" s="2" t="s">
        <v>1783</v>
      </c>
      <c r="F59" s="2">
        <v>250</v>
      </c>
      <c r="G59" s="2" t="s">
        <v>24</v>
      </c>
      <c r="H59" s="13">
        <v>3</v>
      </c>
      <c r="I59" s="14">
        <v>1.6828522965904168E-2</v>
      </c>
    </row>
    <row r="60" spans="1:9" ht="14.25" customHeight="1" x14ac:dyDescent="0.3">
      <c r="A60" s="2" t="s">
        <v>285</v>
      </c>
      <c r="B60" s="2" t="s">
        <v>1770</v>
      </c>
      <c r="C60" s="12">
        <v>44750</v>
      </c>
      <c r="D60" s="2" t="s">
        <v>1785</v>
      </c>
      <c r="E60" s="2" t="s">
        <v>1781</v>
      </c>
      <c r="F60" s="2">
        <v>130</v>
      </c>
      <c r="G60" s="2" t="s">
        <v>25</v>
      </c>
      <c r="H60" s="13">
        <v>6</v>
      </c>
      <c r="I60" s="14">
        <v>0.26661284065553453</v>
      </c>
    </row>
    <row r="61" spans="1:9" ht="14.25" customHeight="1" x14ac:dyDescent="0.3">
      <c r="A61" s="2" t="s">
        <v>287</v>
      </c>
      <c r="B61" s="2" t="s">
        <v>1764</v>
      </c>
      <c r="C61" s="12">
        <v>44742</v>
      </c>
      <c r="D61" s="2" t="s">
        <v>1780</v>
      </c>
      <c r="E61" s="2" t="s">
        <v>1783</v>
      </c>
      <c r="F61" s="2">
        <v>72</v>
      </c>
      <c r="G61" s="2" t="s">
        <v>23</v>
      </c>
      <c r="H61" s="13">
        <v>11</v>
      </c>
      <c r="I61" s="14">
        <v>0.21251347110701568</v>
      </c>
    </row>
    <row r="62" spans="1:9" ht="14.25" customHeight="1" x14ac:dyDescent="0.3">
      <c r="A62" s="2" t="s">
        <v>290</v>
      </c>
      <c r="B62" s="2" t="s">
        <v>1766</v>
      </c>
      <c r="C62" s="12">
        <v>44754</v>
      </c>
      <c r="D62" s="2" t="s">
        <v>1782</v>
      </c>
      <c r="E62" s="2" t="s">
        <v>1781</v>
      </c>
      <c r="F62" s="2">
        <v>65</v>
      </c>
      <c r="G62" s="2" t="s">
        <v>24</v>
      </c>
      <c r="H62" s="13">
        <v>12</v>
      </c>
      <c r="I62" s="14">
        <v>0.10994257661413849</v>
      </c>
    </row>
    <row r="63" spans="1:9" ht="14.25" customHeight="1" x14ac:dyDescent="0.3">
      <c r="A63" s="2" t="s">
        <v>292</v>
      </c>
      <c r="B63" s="2" t="s">
        <v>1768</v>
      </c>
      <c r="C63" s="12">
        <v>44746</v>
      </c>
      <c r="D63" s="2" t="s">
        <v>1784</v>
      </c>
      <c r="E63" s="2" t="s">
        <v>1783</v>
      </c>
      <c r="F63" s="2">
        <v>250</v>
      </c>
      <c r="G63" s="2" t="s">
        <v>25</v>
      </c>
      <c r="H63" s="13">
        <v>2</v>
      </c>
      <c r="I63" s="14">
        <v>0.53607498908607099</v>
      </c>
    </row>
    <row r="64" spans="1:9" ht="14.25" customHeight="1" x14ac:dyDescent="0.3">
      <c r="A64" s="2" t="s">
        <v>294</v>
      </c>
      <c r="B64" s="2" t="s">
        <v>1770</v>
      </c>
      <c r="C64" s="12">
        <v>44752</v>
      </c>
      <c r="D64" s="2" t="s">
        <v>1785</v>
      </c>
      <c r="E64" s="2" t="s">
        <v>1781</v>
      </c>
      <c r="F64" s="2">
        <v>130</v>
      </c>
      <c r="G64" s="2" t="s">
        <v>23</v>
      </c>
      <c r="H64" s="13">
        <v>6</v>
      </c>
      <c r="I64" s="14">
        <v>3.7515550327758003E-2</v>
      </c>
    </row>
    <row r="65" spans="1:9" ht="14.25" customHeight="1" x14ac:dyDescent="0.3">
      <c r="A65" s="2" t="s">
        <v>296</v>
      </c>
      <c r="B65" s="2" t="s">
        <v>1772</v>
      </c>
      <c r="C65" s="12">
        <v>44725</v>
      </c>
      <c r="D65" s="2" t="s">
        <v>1786</v>
      </c>
      <c r="E65" s="2" t="s">
        <v>1781</v>
      </c>
      <c r="F65" s="2">
        <v>60</v>
      </c>
      <c r="G65" s="2" t="s">
        <v>24</v>
      </c>
      <c r="H65" s="13">
        <v>15</v>
      </c>
      <c r="I65" s="14">
        <v>2.4938289886663061E-2</v>
      </c>
    </row>
    <row r="66" spans="1:9" ht="14.25" customHeight="1" x14ac:dyDescent="0.3">
      <c r="A66" s="2" t="s">
        <v>298</v>
      </c>
      <c r="B66" s="2" t="s">
        <v>1773</v>
      </c>
      <c r="C66" s="12">
        <v>44734</v>
      </c>
      <c r="D66" s="2" t="s">
        <v>1787</v>
      </c>
      <c r="E66" s="2" t="s">
        <v>1783</v>
      </c>
      <c r="F66" s="2">
        <v>95</v>
      </c>
      <c r="G66" s="2" t="s">
        <v>25</v>
      </c>
      <c r="H66" s="13">
        <v>9</v>
      </c>
      <c r="I66" s="14">
        <v>1.0123391970414241E-2</v>
      </c>
    </row>
    <row r="67" spans="1:9" ht="14.25" customHeight="1" x14ac:dyDescent="0.3">
      <c r="A67" s="2" t="s">
        <v>300</v>
      </c>
      <c r="B67" s="2" t="s">
        <v>1764</v>
      </c>
      <c r="C67" s="12">
        <v>44761</v>
      </c>
      <c r="D67" s="2" t="s">
        <v>1780</v>
      </c>
      <c r="E67" s="2" t="s">
        <v>1783</v>
      </c>
      <c r="F67" s="2">
        <v>72</v>
      </c>
      <c r="G67" s="2" t="s">
        <v>23</v>
      </c>
      <c r="H67" s="13">
        <v>12</v>
      </c>
      <c r="I67" s="14">
        <v>0.1308869366379137</v>
      </c>
    </row>
    <row r="68" spans="1:9" ht="14.25" customHeight="1" x14ac:dyDescent="0.3">
      <c r="A68" s="2" t="s">
        <v>302</v>
      </c>
      <c r="B68" s="2" t="s">
        <v>1766</v>
      </c>
      <c r="C68" s="12">
        <v>44735</v>
      </c>
      <c r="D68" s="2" t="s">
        <v>1782</v>
      </c>
      <c r="E68" s="2" t="s">
        <v>1783</v>
      </c>
      <c r="F68" s="2">
        <v>65</v>
      </c>
      <c r="G68" s="2" t="s">
        <v>24</v>
      </c>
      <c r="H68" s="13">
        <v>7</v>
      </c>
      <c r="I68" s="14">
        <v>6.6961969492996459E-2</v>
      </c>
    </row>
    <row r="69" spans="1:9" ht="14.25" customHeight="1" x14ac:dyDescent="0.3">
      <c r="A69" s="2" t="s">
        <v>304</v>
      </c>
      <c r="B69" s="2" t="s">
        <v>1768</v>
      </c>
      <c r="C69" s="12">
        <v>44753</v>
      </c>
      <c r="D69" s="2" t="s">
        <v>1784</v>
      </c>
      <c r="E69" s="2" t="s">
        <v>1781</v>
      </c>
      <c r="F69" s="2">
        <v>250</v>
      </c>
      <c r="G69" s="2" t="s">
        <v>25</v>
      </c>
      <c r="H69" s="13">
        <v>3</v>
      </c>
      <c r="I69" s="14">
        <v>0.36350761794645753</v>
      </c>
    </row>
    <row r="70" spans="1:9" ht="14.25" customHeight="1" x14ac:dyDescent="0.3">
      <c r="A70" s="2" t="s">
        <v>306</v>
      </c>
      <c r="B70" s="2" t="s">
        <v>1770</v>
      </c>
      <c r="C70" s="12">
        <v>44732</v>
      </c>
      <c r="D70" s="2" t="s">
        <v>1785</v>
      </c>
      <c r="E70" s="2" t="s">
        <v>1781</v>
      </c>
      <c r="F70" s="2">
        <v>130</v>
      </c>
      <c r="G70" s="2" t="s">
        <v>23</v>
      </c>
      <c r="H70" s="13">
        <v>6</v>
      </c>
      <c r="I70" s="14">
        <v>0.30841415491993102</v>
      </c>
    </row>
    <row r="71" spans="1:9" ht="14.25" customHeight="1" x14ac:dyDescent="0.3">
      <c r="A71" s="2" t="s">
        <v>308</v>
      </c>
      <c r="B71" s="2" t="s">
        <v>1764</v>
      </c>
      <c r="C71" s="12">
        <v>44748</v>
      </c>
      <c r="D71" s="2" t="s">
        <v>1780</v>
      </c>
      <c r="E71" s="2" t="s">
        <v>1781</v>
      </c>
      <c r="F71" s="2">
        <v>72</v>
      </c>
      <c r="G71" s="2" t="s">
        <v>24</v>
      </c>
      <c r="H71" s="13">
        <v>9</v>
      </c>
      <c r="I71" s="14">
        <v>0.21287301321989574</v>
      </c>
    </row>
    <row r="72" spans="1:9" ht="14.25" customHeight="1" x14ac:dyDescent="0.3">
      <c r="A72" s="2" t="s">
        <v>310</v>
      </c>
      <c r="B72" s="2" t="s">
        <v>1766</v>
      </c>
      <c r="C72" s="12">
        <v>44731</v>
      </c>
      <c r="D72" s="2" t="s">
        <v>1782</v>
      </c>
      <c r="E72" s="2" t="s">
        <v>1781</v>
      </c>
      <c r="F72" s="2">
        <v>65</v>
      </c>
      <c r="G72" s="2" t="s">
        <v>25</v>
      </c>
      <c r="H72" s="13">
        <v>4</v>
      </c>
      <c r="I72" s="14">
        <v>0.11047742601795077</v>
      </c>
    </row>
    <row r="73" spans="1:9" ht="14.25" customHeight="1" x14ac:dyDescent="0.3">
      <c r="A73" s="2" t="s">
        <v>312</v>
      </c>
      <c r="B73" s="2" t="s">
        <v>1768</v>
      </c>
      <c r="C73" s="12">
        <v>44725</v>
      </c>
      <c r="D73" s="2" t="s">
        <v>1784</v>
      </c>
      <c r="E73" s="2" t="s">
        <v>1781</v>
      </c>
      <c r="F73" s="2">
        <v>250</v>
      </c>
      <c r="G73" s="2" t="s">
        <v>23</v>
      </c>
      <c r="H73" s="13">
        <v>2</v>
      </c>
      <c r="I73" s="14">
        <v>4.8799156151631218E-2</v>
      </c>
    </row>
    <row r="74" spans="1:9" ht="14.25" customHeight="1" x14ac:dyDescent="0.3">
      <c r="A74" s="2" t="s">
        <v>314</v>
      </c>
      <c r="B74" s="2" t="s">
        <v>1770</v>
      </c>
      <c r="C74" s="12">
        <v>44753</v>
      </c>
      <c r="D74" s="2" t="s">
        <v>1785</v>
      </c>
      <c r="E74" s="2" t="s">
        <v>1781</v>
      </c>
      <c r="F74" s="2">
        <v>130</v>
      </c>
      <c r="G74" s="2" t="s">
        <v>24</v>
      </c>
      <c r="H74" s="13">
        <v>6</v>
      </c>
      <c r="I74" s="14">
        <v>0.27879506176921365</v>
      </c>
    </row>
    <row r="75" spans="1:9" ht="14.25" customHeight="1" x14ac:dyDescent="0.3">
      <c r="A75" s="2" t="s">
        <v>316</v>
      </c>
      <c r="B75" s="2" t="s">
        <v>1772</v>
      </c>
      <c r="C75" s="12">
        <v>44738</v>
      </c>
      <c r="D75" s="2" t="s">
        <v>1786</v>
      </c>
      <c r="E75" s="2" t="s">
        <v>1781</v>
      </c>
      <c r="F75" s="2">
        <v>60</v>
      </c>
      <c r="G75" s="2" t="s">
        <v>25</v>
      </c>
      <c r="H75" s="13">
        <v>9</v>
      </c>
      <c r="I75" s="14">
        <v>7.6045534046593019E-2</v>
      </c>
    </row>
    <row r="76" spans="1:9" ht="14.25" customHeight="1" x14ac:dyDescent="0.3">
      <c r="A76" s="2" t="s">
        <v>318</v>
      </c>
      <c r="B76" s="2" t="s">
        <v>1764</v>
      </c>
      <c r="C76" s="12">
        <v>44762</v>
      </c>
      <c r="D76" s="2" t="s">
        <v>1780</v>
      </c>
      <c r="E76" s="2" t="s">
        <v>1781</v>
      </c>
      <c r="F76" s="2">
        <v>72</v>
      </c>
      <c r="G76" s="2" t="s">
        <v>23</v>
      </c>
      <c r="H76" s="13">
        <v>11</v>
      </c>
      <c r="I76" s="14">
        <v>0.12055762754740325</v>
      </c>
    </row>
    <row r="77" spans="1:9" ht="14.25" customHeight="1" x14ac:dyDescent="0.3">
      <c r="A77" s="2" t="s">
        <v>320</v>
      </c>
      <c r="B77" s="2" t="s">
        <v>1766</v>
      </c>
      <c r="C77" s="12">
        <v>44756</v>
      </c>
      <c r="D77" s="2" t="s">
        <v>1782</v>
      </c>
      <c r="E77" s="2" t="s">
        <v>1781</v>
      </c>
      <c r="F77" s="2">
        <v>65</v>
      </c>
      <c r="G77" s="2" t="s">
        <v>24</v>
      </c>
      <c r="H77" s="13">
        <v>13</v>
      </c>
      <c r="I77" s="14">
        <v>0.30283946337780637</v>
      </c>
    </row>
    <row r="78" spans="1:9" ht="14.25" customHeight="1" x14ac:dyDescent="0.3">
      <c r="A78" s="2" t="s">
        <v>322</v>
      </c>
      <c r="B78" s="2" t="s">
        <v>1768</v>
      </c>
      <c r="C78" s="12">
        <v>44744</v>
      </c>
      <c r="D78" s="2" t="s">
        <v>1784</v>
      </c>
      <c r="E78" s="2" t="s">
        <v>1783</v>
      </c>
      <c r="F78" s="2">
        <v>250</v>
      </c>
      <c r="G78" s="2" t="s">
        <v>25</v>
      </c>
      <c r="H78" s="13">
        <v>2</v>
      </c>
      <c r="I78" s="14">
        <v>0.41401829873258272</v>
      </c>
    </row>
    <row r="79" spans="1:9" ht="14.25" customHeight="1" x14ac:dyDescent="0.3">
      <c r="A79" s="2" t="s">
        <v>324</v>
      </c>
      <c r="B79" s="2" t="s">
        <v>1770</v>
      </c>
      <c r="C79" s="12">
        <v>44753</v>
      </c>
      <c r="D79" s="2" t="s">
        <v>1785</v>
      </c>
      <c r="E79" s="2" t="s">
        <v>1781</v>
      </c>
      <c r="F79" s="2">
        <v>130</v>
      </c>
      <c r="G79" s="2" t="s">
        <v>23</v>
      </c>
      <c r="H79" s="13">
        <v>6</v>
      </c>
      <c r="I79" s="14">
        <v>6.1603660271292333E-3</v>
      </c>
    </row>
    <row r="80" spans="1:9" ht="14.25" customHeight="1" x14ac:dyDescent="0.3">
      <c r="A80" s="2" t="s">
        <v>326</v>
      </c>
      <c r="B80" s="2" t="s">
        <v>1764</v>
      </c>
      <c r="C80" s="12">
        <v>44762</v>
      </c>
      <c r="D80" s="2" t="s">
        <v>1780</v>
      </c>
      <c r="E80" s="2" t="s">
        <v>1781</v>
      </c>
      <c r="F80" s="2">
        <v>72</v>
      </c>
      <c r="G80" s="2" t="s">
        <v>24</v>
      </c>
      <c r="H80" s="13">
        <v>12</v>
      </c>
      <c r="I80" s="14">
        <v>0.10495963672233184</v>
      </c>
    </row>
    <row r="81" spans="1:9" ht="14.25" customHeight="1" x14ac:dyDescent="0.3">
      <c r="A81" s="2" t="s">
        <v>328</v>
      </c>
      <c r="B81" s="2" t="s">
        <v>1766</v>
      </c>
      <c r="C81" s="12">
        <v>44740</v>
      </c>
      <c r="D81" s="2" t="s">
        <v>1782</v>
      </c>
      <c r="E81" s="2" t="s">
        <v>1781</v>
      </c>
      <c r="F81" s="2">
        <v>65</v>
      </c>
      <c r="G81" s="2" t="s">
        <v>25</v>
      </c>
      <c r="H81" s="13">
        <v>11</v>
      </c>
      <c r="I81" s="14">
        <v>0.29377273906475571</v>
      </c>
    </row>
    <row r="82" spans="1:9" ht="14.25" customHeight="1" x14ac:dyDescent="0.3">
      <c r="A82" s="2" t="s">
        <v>330</v>
      </c>
      <c r="B82" s="2" t="s">
        <v>1768</v>
      </c>
      <c r="C82" s="12">
        <v>44729</v>
      </c>
      <c r="D82" s="2" t="s">
        <v>1784</v>
      </c>
      <c r="E82" s="2" t="s">
        <v>1781</v>
      </c>
      <c r="F82" s="2">
        <v>250</v>
      </c>
      <c r="G82" s="2" t="s">
        <v>23</v>
      </c>
      <c r="H82" s="13">
        <v>3</v>
      </c>
      <c r="I82" s="14">
        <v>0.56559810101924179</v>
      </c>
    </row>
    <row r="83" spans="1:9" ht="14.25" customHeight="1" x14ac:dyDescent="0.3">
      <c r="A83" s="2" t="s">
        <v>332</v>
      </c>
      <c r="B83" s="2" t="s">
        <v>1770</v>
      </c>
      <c r="C83" s="12">
        <v>44727</v>
      </c>
      <c r="D83" s="2" t="s">
        <v>1785</v>
      </c>
      <c r="E83" s="2" t="s">
        <v>1781</v>
      </c>
      <c r="F83" s="2">
        <v>130</v>
      </c>
      <c r="G83" s="2" t="s">
        <v>24</v>
      </c>
      <c r="H83" s="13">
        <v>4</v>
      </c>
      <c r="I83" s="14">
        <v>0.14180367825735268</v>
      </c>
    </row>
    <row r="84" spans="1:9" ht="14.25" customHeight="1" x14ac:dyDescent="0.3">
      <c r="A84" s="2" t="s">
        <v>334</v>
      </c>
      <c r="B84" s="2" t="s">
        <v>1772</v>
      </c>
      <c r="C84" s="12">
        <v>44734</v>
      </c>
      <c r="D84" s="2" t="s">
        <v>1786</v>
      </c>
      <c r="E84" s="2" t="s">
        <v>1783</v>
      </c>
      <c r="F84" s="2">
        <v>60</v>
      </c>
      <c r="G84" s="2" t="s">
        <v>25</v>
      </c>
      <c r="H84" s="13">
        <v>14</v>
      </c>
      <c r="I84" s="14">
        <v>0.19727585407121537</v>
      </c>
    </row>
    <row r="85" spans="1:9" ht="14.25" customHeight="1" x14ac:dyDescent="0.3">
      <c r="A85" s="2" t="s">
        <v>336</v>
      </c>
      <c r="B85" s="2" t="s">
        <v>1773</v>
      </c>
      <c r="C85" s="12">
        <v>44744</v>
      </c>
      <c r="D85" s="2" t="s">
        <v>1787</v>
      </c>
      <c r="E85" s="2" t="s">
        <v>1781</v>
      </c>
      <c r="F85" s="2">
        <v>95</v>
      </c>
      <c r="G85" s="2" t="s">
        <v>23</v>
      </c>
      <c r="H85" s="13">
        <v>2</v>
      </c>
      <c r="I85" s="14">
        <v>0.16026707373910823</v>
      </c>
    </row>
    <row r="86" spans="1:9" ht="14.25" customHeight="1" x14ac:dyDescent="0.3">
      <c r="A86" s="2" t="s">
        <v>338</v>
      </c>
      <c r="B86" s="2" t="s">
        <v>1764</v>
      </c>
      <c r="C86" s="12">
        <v>44737</v>
      </c>
      <c r="D86" s="2" t="s">
        <v>1780</v>
      </c>
      <c r="E86" s="2" t="s">
        <v>1781</v>
      </c>
      <c r="F86" s="2">
        <v>72</v>
      </c>
      <c r="G86" s="2" t="s">
        <v>24</v>
      </c>
      <c r="H86" s="13">
        <v>4</v>
      </c>
      <c r="I86" s="14">
        <v>3.6754234817017679E-2</v>
      </c>
    </row>
    <row r="87" spans="1:9" ht="14.25" customHeight="1" x14ac:dyDescent="0.3">
      <c r="A87" s="2" t="s">
        <v>340</v>
      </c>
      <c r="B87" s="2" t="s">
        <v>1766</v>
      </c>
      <c r="C87" s="12">
        <v>44752</v>
      </c>
      <c r="D87" s="2" t="s">
        <v>1782</v>
      </c>
      <c r="E87" s="2" t="s">
        <v>1781</v>
      </c>
      <c r="F87" s="2">
        <v>65</v>
      </c>
      <c r="G87" s="2" t="s">
        <v>25</v>
      </c>
      <c r="H87" s="13">
        <v>6</v>
      </c>
      <c r="I87" s="14">
        <v>0.12047427034169578</v>
      </c>
    </row>
    <row r="88" spans="1:9" ht="14.25" customHeight="1" x14ac:dyDescent="0.3">
      <c r="A88" s="2" t="s">
        <v>342</v>
      </c>
      <c r="B88" s="2" t="s">
        <v>1768</v>
      </c>
      <c r="C88" s="12">
        <v>44736</v>
      </c>
      <c r="D88" s="2" t="s">
        <v>1784</v>
      </c>
      <c r="E88" s="2" t="s">
        <v>1783</v>
      </c>
      <c r="F88" s="2">
        <v>250</v>
      </c>
      <c r="G88" s="2" t="s">
        <v>23</v>
      </c>
      <c r="H88" s="13">
        <v>2</v>
      </c>
      <c r="I88" s="14">
        <v>0.38636401364592987</v>
      </c>
    </row>
    <row r="89" spans="1:9" ht="14.25" customHeight="1" x14ac:dyDescent="0.3">
      <c r="A89" s="2" t="s">
        <v>344</v>
      </c>
      <c r="B89" s="2" t="s">
        <v>1770</v>
      </c>
      <c r="C89" s="12">
        <v>44752</v>
      </c>
      <c r="D89" s="2" t="s">
        <v>1785</v>
      </c>
      <c r="E89" s="2" t="s">
        <v>1783</v>
      </c>
      <c r="F89" s="2">
        <v>130</v>
      </c>
      <c r="G89" s="2" t="s">
        <v>24</v>
      </c>
      <c r="H89" s="13">
        <v>5</v>
      </c>
      <c r="I89" s="14">
        <v>0.25111930985495906</v>
      </c>
    </row>
    <row r="90" spans="1:9" ht="14.25" customHeight="1" x14ac:dyDescent="0.3">
      <c r="A90" s="2" t="s">
        <v>346</v>
      </c>
      <c r="B90" s="2" t="s">
        <v>1764</v>
      </c>
      <c r="C90" s="12">
        <v>44759</v>
      </c>
      <c r="D90" s="2" t="s">
        <v>1780</v>
      </c>
      <c r="E90" s="2" t="s">
        <v>1783</v>
      </c>
      <c r="F90" s="2">
        <v>72</v>
      </c>
      <c r="G90" s="2" t="s">
        <v>25</v>
      </c>
      <c r="H90" s="13">
        <v>6</v>
      </c>
      <c r="I90" s="14">
        <v>0.18099169049889144</v>
      </c>
    </row>
    <row r="91" spans="1:9" ht="14.25" customHeight="1" x14ac:dyDescent="0.3">
      <c r="A91" s="2" t="s">
        <v>348</v>
      </c>
      <c r="B91" s="2" t="s">
        <v>1766</v>
      </c>
      <c r="C91" s="12">
        <v>44763</v>
      </c>
      <c r="D91" s="2" t="s">
        <v>1782</v>
      </c>
      <c r="E91" s="2" t="s">
        <v>1783</v>
      </c>
      <c r="F91" s="2">
        <v>65</v>
      </c>
      <c r="G91" s="2" t="s">
        <v>23</v>
      </c>
      <c r="H91" s="13">
        <v>6</v>
      </c>
      <c r="I91" s="14">
        <v>0.17363786365000505</v>
      </c>
    </row>
    <row r="92" spans="1:9" ht="14.25" customHeight="1" x14ac:dyDescent="0.3">
      <c r="A92" s="2" t="s">
        <v>350</v>
      </c>
      <c r="B92" s="2" t="s">
        <v>1768</v>
      </c>
      <c r="C92" s="12">
        <v>44763</v>
      </c>
      <c r="D92" s="2" t="s">
        <v>1784</v>
      </c>
      <c r="E92" s="2" t="s">
        <v>1783</v>
      </c>
      <c r="F92" s="2">
        <v>250</v>
      </c>
      <c r="G92" s="2" t="s">
        <v>24</v>
      </c>
      <c r="H92" s="13">
        <v>3</v>
      </c>
      <c r="I92" s="14">
        <v>0.75489814137474298</v>
      </c>
    </row>
    <row r="93" spans="1:9" ht="14.25" customHeight="1" x14ac:dyDescent="0.3">
      <c r="A93" s="2" t="s">
        <v>352</v>
      </c>
      <c r="B93" s="2" t="s">
        <v>1770</v>
      </c>
      <c r="C93" s="12">
        <v>44750</v>
      </c>
      <c r="D93" s="2" t="s">
        <v>1785</v>
      </c>
      <c r="E93" s="2" t="s">
        <v>1783</v>
      </c>
      <c r="F93" s="2">
        <v>130</v>
      </c>
      <c r="G93" s="2" t="s">
        <v>25</v>
      </c>
      <c r="H93" s="13">
        <v>4</v>
      </c>
      <c r="I93" s="14">
        <v>0.41826226246410803</v>
      </c>
    </row>
    <row r="94" spans="1:9" ht="14.25" customHeight="1" x14ac:dyDescent="0.3">
      <c r="A94" s="2" t="s">
        <v>354</v>
      </c>
      <c r="B94" s="2" t="s">
        <v>1764</v>
      </c>
      <c r="C94" s="12">
        <v>44751</v>
      </c>
      <c r="D94" s="2" t="s">
        <v>1780</v>
      </c>
      <c r="E94" s="2" t="s">
        <v>1781</v>
      </c>
      <c r="F94" s="2">
        <v>72</v>
      </c>
      <c r="G94" s="2" t="s">
        <v>25</v>
      </c>
      <c r="H94" s="13">
        <v>11</v>
      </c>
      <c r="I94" s="14">
        <v>0.52183512590850833</v>
      </c>
    </row>
    <row r="95" spans="1:9" ht="14.25" customHeight="1" x14ac:dyDescent="0.3">
      <c r="A95" s="2" t="s">
        <v>356</v>
      </c>
      <c r="B95" s="2" t="s">
        <v>1766</v>
      </c>
      <c r="C95" s="12">
        <v>44736</v>
      </c>
      <c r="D95" s="2" t="s">
        <v>1782</v>
      </c>
      <c r="E95" s="2" t="s">
        <v>1783</v>
      </c>
      <c r="F95" s="2">
        <v>65</v>
      </c>
      <c r="G95" s="2" t="s">
        <v>23</v>
      </c>
      <c r="H95" s="13">
        <v>12</v>
      </c>
      <c r="I95" s="14">
        <v>0.4407264983607897</v>
      </c>
    </row>
    <row r="96" spans="1:9" ht="14.25" customHeight="1" x14ac:dyDescent="0.3">
      <c r="A96" s="2" t="s">
        <v>358</v>
      </c>
      <c r="B96" s="2" t="s">
        <v>1768</v>
      </c>
      <c r="C96" s="12">
        <v>44737</v>
      </c>
      <c r="D96" s="2" t="s">
        <v>1784</v>
      </c>
      <c r="E96" s="2" t="s">
        <v>1781</v>
      </c>
      <c r="F96" s="2">
        <v>250</v>
      </c>
      <c r="G96" s="2" t="s">
        <v>24</v>
      </c>
      <c r="H96" s="13">
        <v>3</v>
      </c>
      <c r="I96" s="14">
        <v>0.30123769132028422</v>
      </c>
    </row>
    <row r="97" spans="1:9" ht="14.25" customHeight="1" x14ac:dyDescent="0.3">
      <c r="A97" s="2" t="s">
        <v>360</v>
      </c>
      <c r="B97" s="2" t="s">
        <v>1770</v>
      </c>
      <c r="C97" s="12">
        <v>44744</v>
      </c>
      <c r="D97" s="2" t="s">
        <v>1785</v>
      </c>
      <c r="E97" s="2" t="s">
        <v>1783</v>
      </c>
      <c r="F97" s="2">
        <v>130</v>
      </c>
      <c r="G97" s="2" t="s">
        <v>25</v>
      </c>
      <c r="H97" s="13">
        <v>4</v>
      </c>
      <c r="I97" s="14">
        <v>0.42020557863905661</v>
      </c>
    </row>
    <row r="98" spans="1:9" ht="14.25" customHeight="1" x14ac:dyDescent="0.3">
      <c r="A98" s="2" t="s">
        <v>362</v>
      </c>
      <c r="B98" s="2" t="s">
        <v>1764</v>
      </c>
      <c r="C98" s="12">
        <v>44735</v>
      </c>
      <c r="D98" s="2" t="s">
        <v>1780</v>
      </c>
      <c r="E98" s="2" t="s">
        <v>1781</v>
      </c>
      <c r="F98" s="2">
        <v>72</v>
      </c>
      <c r="G98" s="2" t="s">
        <v>23</v>
      </c>
      <c r="H98" s="13">
        <v>10</v>
      </c>
      <c r="I98" s="14">
        <v>0.38179966249899233</v>
      </c>
    </row>
    <row r="99" spans="1:9" ht="14.25" customHeight="1" x14ac:dyDescent="0.3">
      <c r="A99" s="2" t="s">
        <v>364</v>
      </c>
      <c r="B99" s="2" t="s">
        <v>1766</v>
      </c>
      <c r="C99" s="12">
        <v>44751</v>
      </c>
      <c r="D99" s="2" t="s">
        <v>1782</v>
      </c>
      <c r="E99" s="2" t="s">
        <v>1783</v>
      </c>
      <c r="F99" s="2">
        <v>65</v>
      </c>
      <c r="G99" s="2" t="s">
        <v>24</v>
      </c>
      <c r="H99" s="13">
        <v>5</v>
      </c>
      <c r="I99" s="14">
        <v>4.8435914836800764E-3</v>
      </c>
    </row>
    <row r="100" spans="1:9" ht="14.25" customHeight="1" x14ac:dyDescent="0.3">
      <c r="A100" s="2" t="s">
        <v>366</v>
      </c>
      <c r="B100" s="2" t="s">
        <v>1768</v>
      </c>
      <c r="C100" s="12">
        <v>44726</v>
      </c>
      <c r="D100" s="2" t="s">
        <v>1784</v>
      </c>
      <c r="E100" s="2" t="s">
        <v>1781</v>
      </c>
      <c r="F100" s="2">
        <v>250</v>
      </c>
      <c r="G100" s="2" t="s">
        <v>25</v>
      </c>
      <c r="H100" s="13">
        <v>2</v>
      </c>
      <c r="I100" s="14">
        <v>0.63857584714373206</v>
      </c>
    </row>
    <row r="101" spans="1:9" ht="14.25" customHeight="1" x14ac:dyDescent="0.3">
      <c r="A101" s="2" t="s">
        <v>368</v>
      </c>
      <c r="B101" s="2" t="s">
        <v>1770</v>
      </c>
      <c r="C101" s="12">
        <v>44749</v>
      </c>
      <c r="D101" s="2" t="s">
        <v>1785</v>
      </c>
      <c r="E101" s="2" t="s">
        <v>1783</v>
      </c>
      <c r="F101" s="2">
        <v>130</v>
      </c>
      <c r="G101" s="2" t="s">
        <v>23</v>
      </c>
      <c r="H101" s="13">
        <v>7</v>
      </c>
      <c r="I101" s="14">
        <v>0.92544771931561698</v>
      </c>
    </row>
    <row r="102" spans="1:9" ht="14.25" customHeight="1" x14ac:dyDescent="0.3">
      <c r="A102" s="2" t="s">
        <v>370</v>
      </c>
      <c r="B102" s="2" t="s">
        <v>1772</v>
      </c>
      <c r="C102" s="12">
        <v>44734</v>
      </c>
      <c r="D102" s="2" t="s">
        <v>1786</v>
      </c>
      <c r="E102" s="2" t="s">
        <v>1781</v>
      </c>
      <c r="F102" s="2">
        <v>60</v>
      </c>
      <c r="G102" s="2" t="s">
        <v>24</v>
      </c>
      <c r="H102" s="13">
        <v>10</v>
      </c>
      <c r="I102" s="14">
        <v>4.9069353138029403E-2</v>
      </c>
    </row>
    <row r="103" spans="1:9" ht="14.25" customHeight="1" x14ac:dyDescent="0.3">
      <c r="A103" s="2" t="s">
        <v>372</v>
      </c>
      <c r="B103" s="2" t="s">
        <v>1764</v>
      </c>
      <c r="C103" s="12">
        <v>44726</v>
      </c>
      <c r="D103" s="2" t="s">
        <v>1780</v>
      </c>
      <c r="E103" s="2" t="s">
        <v>1783</v>
      </c>
      <c r="F103" s="2">
        <v>72</v>
      </c>
      <c r="G103" s="2" t="s">
        <v>25</v>
      </c>
      <c r="H103" s="13">
        <v>11</v>
      </c>
      <c r="I103" s="14">
        <v>0.7875779554918797</v>
      </c>
    </row>
    <row r="104" spans="1:9" ht="14.25" customHeight="1" x14ac:dyDescent="0.3">
      <c r="A104" s="2" t="s">
        <v>374</v>
      </c>
      <c r="B104" s="2" t="s">
        <v>1766</v>
      </c>
      <c r="C104" s="12">
        <v>44743</v>
      </c>
      <c r="D104" s="2" t="s">
        <v>1782</v>
      </c>
      <c r="E104" s="2" t="s">
        <v>1781</v>
      </c>
      <c r="F104" s="2">
        <v>65</v>
      </c>
      <c r="G104" s="2" t="s">
        <v>23</v>
      </c>
      <c r="H104" s="13">
        <v>13</v>
      </c>
      <c r="I104" s="14">
        <v>0.4468603878067412</v>
      </c>
    </row>
    <row r="105" spans="1:9" ht="14.25" customHeight="1" x14ac:dyDescent="0.3">
      <c r="A105" s="2" t="s">
        <v>376</v>
      </c>
      <c r="B105" s="2" t="s">
        <v>1768</v>
      </c>
      <c r="C105" s="12">
        <v>44742</v>
      </c>
      <c r="D105" s="2" t="s">
        <v>1784</v>
      </c>
      <c r="E105" s="2" t="s">
        <v>1783</v>
      </c>
      <c r="F105" s="2">
        <v>250</v>
      </c>
      <c r="G105" s="2" t="s">
        <v>24</v>
      </c>
      <c r="H105" s="13">
        <v>2</v>
      </c>
      <c r="I105" s="14">
        <v>0.89674363393446022</v>
      </c>
    </row>
    <row r="106" spans="1:9" ht="14.25" customHeight="1" x14ac:dyDescent="0.3">
      <c r="A106" s="2" t="s">
        <v>378</v>
      </c>
      <c r="B106" s="2" t="s">
        <v>1770</v>
      </c>
      <c r="C106" s="12">
        <v>44747</v>
      </c>
      <c r="D106" s="2" t="s">
        <v>1785</v>
      </c>
      <c r="E106" s="2" t="s">
        <v>1781</v>
      </c>
      <c r="F106" s="2">
        <v>130</v>
      </c>
      <c r="G106" s="2" t="s">
        <v>25</v>
      </c>
      <c r="H106" s="13">
        <v>6</v>
      </c>
      <c r="I106" s="14">
        <v>3.2373342558606799E-2</v>
      </c>
    </row>
    <row r="107" spans="1:9" ht="14.25" customHeight="1" x14ac:dyDescent="0.3">
      <c r="A107" s="2" t="s">
        <v>380</v>
      </c>
      <c r="B107" s="2" t="s">
        <v>1764</v>
      </c>
      <c r="C107" s="12">
        <v>44764</v>
      </c>
      <c r="D107" s="2" t="s">
        <v>1780</v>
      </c>
      <c r="E107" s="2" t="s">
        <v>1783</v>
      </c>
      <c r="F107" s="2">
        <v>72</v>
      </c>
      <c r="G107" s="2" t="s">
        <v>23</v>
      </c>
      <c r="H107" s="13">
        <v>11</v>
      </c>
      <c r="I107" s="14">
        <v>0.94247200152138155</v>
      </c>
    </row>
    <row r="108" spans="1:9" ht="14.25" customHeight="1" x14ac:dyDescent="0.3">
      <c r="A108" s="2" t="s">
        <v>383</v>
      </c>
      <c r="B108" s="2" t="s">
        <v>1766</v>
      </c>
      <c r="C108" s="12">
        <v>44735</v>
      </c>
      <c r="D108" s="2" t="s">
        <v>1782</v>
      </c>
      <c r="E108" s="2" t="s">
        <v>1781</v>
      </c>
      <c r="F108" s="2">
        <v>65</v>
      </c>
      <c r="G108" s="2" t="s">
        <v>24</v>
      </c>
      <c r="H108" s="13">
        <v>7</v>
      </c>
      <c r="I108" s="14">
        <v>0.24863680679080546</v>
      </c>
    </row>
    <row r="109" spans="1:9" ht="14.25" customHeight="1" x14ac:dyDescent="0.3">
      <c r="A109" s="2" t="s">
        <v>385</v>
      </c>
      <c r="B109" s="2" t="s">
        <v>1768</v>
      </c>
      <c r="C109" s="12">
        <v>44737</v>
      </c>
      <c r="D109" s="2" t="s">
        <v>1784</v>
      </c>
      <c r="E109" s="2" t="s">
        <v>1783</v>
      </c>
      <c r="F109" s="2">
        <v>250</v>
      </c>
      <c r="G109" s="2" t="s">
        <v>25</v>
      </c>
      <c r="H109" s="13">
        <v>1</v>
      </c>
      <c r="I109" s="14">
        <v>4.9896521056402299E-2</v>
      </c>
    </row>
    <row r="110" spans="1:9" ht="14.25" customHeight="1" x14ac:dyDescent="0.3">
      <c r="A110" s="2" t="s">
        <v>387</v>
      </c>
      <c r="B110" s="2" t="s">
        <v>1770</v>
      </c>
      <c r="C110" s="12">
        <v>44749</v>
      </c>
      <c r="D110" s="2" t="s">
        <v>1785</v>
      </c>
      <c r="E110" s="2" t="s">
        <v>1781</v>
      </c>
      <c r="F110" s="2">
        <v>130</v>
      </c>
      <c r="G110" s="2" t="s">
        <v>23</v>
      </c>
      <c r="H110" s="13">
        <v>7</v>
      </c>
      <c r="I110" s="14">
        <v>0.49618340188276622</v>
      </c>
    </row>
    <row r="111" spans="1:9" ht="14.25" customHeight="1" x14ac:dyDescent="0.3">
      <c r="A111" s="2" t="s">
        <v>389</v>
      </c>
      <c r="B111" s="2" t="s">
        <v>1772</v>
      </c>
      <c r="C111" s="12">
        <v>44729</v>
      </c>
      <c r="D111" s="2" t="s">
        <v>1786</v>
      </c>
      <c r="E111" s="2" t="s">
        <v>1781</v>
      </c>
      <c r="F111" s="2">
        <v>60</v>
      </c>
      <c r="G111" s="2" t="s">
        <v>24</v>
      </c>
      <c r="H111" s="13">
        <v>13</v>
      </c>
      <c r="I111" s="14">
        <v>0.62889621592411693</v>
      </c>
    </row>
    <row r="112" spans="1:9" ht="14.25" customHeight="1" x14ac:dyDescent="0.3">
      <c r="A112" s="2" t="s">
        <v>391</v>
      </c>
      <c r="B112" s="2" t="s">
        <v>1773</v>
      </c>
      <c r="C112" s="12">
        <v>44738</v>
      </c>
      <c r="D112" s="2" t="s">
        <v>1787</v>
      </c>
      <c r="E112" s="2" t="s">
        <v>1783</v>
      </c>
      <c r="F112" s="2">
        <v>95</v>
      </c>
      <c r="G112" s="2" t="s">
        <v>25</v>
      </c>
      <c r="H112" s="13">
        <v>8</v>
      </c>
      <c r="I112" s="14">
        <v>0.87580490637929664</v>
      </c>
    </row>
    <row r="113" spans="1:9" ht="14.25" customHeight="1" x14ac:dyDescent="0.3">
      <c r="A113" s="2" t="s">
        <v>393</v>
      </c>
      <c r="B113" s="2" t="s">
        <v>1764</v>
      </c>
      <c r="C113" s="12">
        <v>44740</v>
      </c>
      <c r="D113" s="2" t="s">
        <v>1780</v>
      </c>
      <c r="E113" s="2" t="s">
        <v>1783</v>
      </c>
      <c r="F113" s="2">
        <v>72</v>
      </c>
      <c r="G113" s="2" t="s">
        <v>23</v>
      </c>
      <c r="H113" s="13">
        <v>11</v>
      </c>
      <c r="I113" s="14">
        <v>0.37069854126093349</v>
      </c>
    </row>
    <row r="114" spans="1:9" ht="14.25" customHeight="1" x14ac:dyDescent="0.3">
      <c r="A114" s="2" t="s">
        <v>395</v>
      </c>
      <c r="B114" s="2" t="s">
        <v>1766</v>
      </c>
      <c r="C114" s="12">
        <v>44755</v>
      </c>
      <c r="D114" s="2" t="s">
        <v>1782</v>
      </c>
      <c r="E114" s="2" t="s">
        <v>1783</v>
      </c>
      <c r="F114" s="2">
        <v>65</v>
      </c>
      <c r="G114" s="2" t="s">
        <v>24</v>
      </c>
      <c r="H114" s="13">
        <v>10</v>
      </c>
      <c r="I114" s="14">
        <v>0.64422602074286228</v>
      </c>
    </row>
    <row r="115" spans="1:9" ht="14.25" customHeight="1" x14ac:dyDescent="0.3">
      <c r="A115" s="2" t="s">
        <v>397</v>
      </c>
      <c r="B115" s="2" t="s">
        <v>1768</v>
      </c>
      <c r="C115" s="12">
        <v>44755</v>
      </c>
      <c r="D115" s="2" t="s">
        <v>1784</v>
      </c>
      <c r="E115" s="2" t="s">
        <v>1781</v>
      </c>
      <c r="F115" s="2">
        <v>250</v>
      </c>
      <c r="G115" s="2" t="s">
        <v>25</v>
      </c>
      <c r="H115" s="13">
        <v>2</v>
      </c>
      <c r="I115" s="14">
        <v>0.76652707543193765</v>
      </c>
    </row>
    <row r="116" spans="1:9" ht="14.25" customHeight="1" x14ac:dyDescent="0.3">
      <c r="A116" s="2" t="s">
        <v>399</v>
      </c>
      <c r="B116" s="2" t="s">
        <v>1770</v>
      </c>
      <c r="C116" s="12">
        <v>44764</v>
      </c>
      <c r="D116" s="2" t="s">
        <v>1785</v>
      </c>
      <c r="E116" s="2" t="s">
        <v>1781</v>
      </c>
      <c r="F116" s="2">
        <v>130</v>
      </c>
      <c r="G116" s="2" t="s">
        <v>23</v>
      </c>
      <c r="H116" s="13">
        <v>2</v>
      </c>
      <c r="I116" s="14">
        <v>0.74416329829954486</v>
      </c>
    </row>
    <row r="117" spans="1:9" ht="14.25" customHeight="1" x14ac:dyDescent="0.3">
      <c r="A117" s="2" t="s">
        <v>401</v>
      </c>
      <c r="B117" s="2" t="s">
        <v>1764</v>
      </c>
      <c r="C117" s="12">
        <v>44735</v>
      </c>
      <c r="D117" s="2" t="s">
        <v>1780</v>
      </c>
      <c r="E117" s="2" t="s">
        <v>1781</v>
      </c>
      <c r="F117" s="2">
        <v>72</v>
      </c>
      <c r="G117" s="2" t="s">
        <v>24</v>
      </c>
      <c r="H117" s="13">
        <v>8</v>
      </c>
      <c r="I117" s="14">
        <v>0.48484032292333201</v>
      </c>
    </row>
    <row r="118" spans="1:9" ht="14.25" customHeight="1" x14ac:dyDescent="0.3">
      <c r="A118" s="2" t="s">
        <v>403</v>
      </c>
      <c r="B118" s="2" t="s">
        <v>1766</v>
      </c>
      <c r="C118" s="12">
        <v>44734</v>
      </c>
      <c r="D118" s="2" t="s">
        <v>1782</v>
      </c>
      <c r="E118" s="2" t="s">
        <v>1781</v>
      </c>
      <c r="F118" s="2">
        <v>65</v>
      </c>
      <c r="G118" s="2" t="s">
        <v>25</v>
      </c>
      <c r="H118" s="13">
        <v>8</v>
      </c>
      <c r="I118" s="14">
        <v>0.10556900790048951</v>
      </c>
    </row>
    <row r="119" spans="1:9" ht="14.25" customHeight="1" x14ac:dyDescent="0.3">
      <c r="A119" s="2" t="s">
        <v>405</v>
      </c>
      <c r="B119" s="2" t="s">
        <v>1768</v>
      </c>
      <c r="C119" s="12">
        <v>44728</v>
      </c>
      <c r="D119" s="2" t="s">
        <v>1784</v>
      </c>
      <c r="E119" s="2" t="s">
        <v>1781</v>
      </c>
      <c r="F119" s="2">
        <v>250</v>
      </c>
      <c r="G119" s="2" t="s">
        <v>23</v>
      </c>
      <c r="H119" s="13">
        <v>1</v>
      </c>
      <c r="I119" s="14">
        <v>0.35681327352398817</v>
      </c>
    </row>
    <row r="120" spans="1:9" ht="14.25" customHeight="1" x14ac:dyDescent="0.3">
      <c r="A120" s="2" t="s">
        <v>407</v>
      </c>
      <c r="B120" s="2" t="s">
        <v>1770</v>
      </c>
      <c r="C120" s="12">
        <v>44739</v>
      </c>
      <c r="D120" s="2" t="s">
        <v>1785</v>
      </c>
      <c r="E120" s="2" t="s">
        <v>1781</v>
      </c>
      <c r="F120" s="2">
        <v>130</v>
      </c>
      <c r="G120" s="2" t="s">
        <v>24</v>
      </c>
      <c r="H120" s="13">
        <v>2</v>
      </c>
      <c r="I120" s="14">
        <v>0.38966155247167111</v>
      </c>
    </row>
    <row r="121" spans="1:9" ht="14.25" customHeight="1" x14ac:dyDescent="0.3">
      <c r="A121" s="2" t="s">
        <v>409</v>
      </c>
      <c r="B121" s="2" t="s">
        <v>1772</v>
      </c>
      <c r="C121" s="12">
        <v>44765</v>
      </c>
      <c r="D121" s="2" t="s">
        <v>1786</v>
      </c>
      <c r="E121" s="2" t="s">
        <v>1781</v>
      </c>
      <c r="F121" s="2">
        <v>60</v>
      </c>
      <c r="G121" s="2" t="s">
        <v>25</v>
      </c>
      <c r="H121" s="13">
        <v>6</v>
      </c>
      <c r="I121" s="14">
        <v>0.27342799854809485</v>
      </c>
    </row>
    <row r="122" spans="1:9" ht="14.25" customHeight="1" x14ac:dyDescent="0.3">
      <c r="A122" s="2" t="s">
        <v>411</v>
      </c>
      <c r="B122" s="2" t="s">
        <v>1764</v>
      </c>
      <c r="C122" s="12">
        <v>44740</v>
      </c>
      <c r="D122" s="2" t="s">
        <v>1780</v>
      </c>
      <c r="E122" s="2" t="s">
        <v>1781</v>
      </c>
      <c r="F122" s="2">
        <v>72</v>
      </c>
      <c r="G122" s="2" t="s">
        <v>23</v>
      </c>
      <c r="H122" s="13">
        <v>11</v>
      </c>
      <c r="I122" s="14">
        <v>0.68404340685026022</v>
      </c>
    </row>
    <row r="123" spans="1:9" ht="14.25" customHeight="1" x14ac:dyDescent="0.3">
      <c r="A123" s="2" t="s">
        <v>413</v>
      </c>
      <c r="B123" s="2" t="s">
        <v>1766</v>
      </c>
      <c r="C123" s="12">
        <v>44734</v>
      </c>
      <c r="D123" s="2" t="s">
        <v>1782</v>
      </c>
      <c r="E123" s="2" t="s">
        <v>1781</v>
      </c>
      <c r="F123" s="2">
        <v>65</v>
      </c>
      <c r="G123" s="2" t="s">
        <v>24</v>
      </c>
      <c r="H123" s="13">
        <v>4</v>
      </c>
      <c r="I123" s="14">
        <v>0.30511671475159663</v>
      </c>
    </row>
    <row r="124" spans="1:9" ht="14.25" customHeight="1" x14ac:dyDescent="0.3">
      <c r="A124" s="2" t="s">
        <v>415</v>
      </c>
      <c r="B124" s="2" t="s">
        <v>1768</v>
      </c>
      <c r="C124" s="12">
        <v>44727</v>
      </c>
      <c r="D124" s="2" t="s">
        <v>1784</v>
      </c>
      <c r="E124" s="2" t="s">
        <v>1783</v>
      </c>
      <c r="F124" s="2">
        <v>250</v>
      </c>
      <c r="G124" s="2" t="s">
        <v>25</v>
      </c>
      <c r="H124" s="13">
        <v>3</v>
      </c>
      <c r="I124" s="14">
        <v>0.26634683182511409</v>
      </c>
    </row>
    <row r="125" spans="1:9" ht="14.25" customHeight="1" x14ac:dyDescent="0.3">
      <c r="A125" s="2" t="s">
        <v>417</v>
      </c>
      <c r="B125" s="2" t="s">
        <v>1770</v>
      </c>
      <c r="C125" s="12">
        <v>44737</v>
      </c>
      <c r="D125" s="2" t="s">
        <v>1785</v>
      </c>
      <c r="E125" s="2" t="s">
        <v>1781</v>
      </c>
      <c r="F125" s="2">
        <v>130</v>
      </c>
      <c r="G125" s="2" t="s">
        <v>23</v>
      </c>
      <c r="H125" s="13">
        <v>2</v>
      </c>
      <c r="I125" s="14">
        <v>0.95598379426073032</v>
      </c>
    </row>
    <row r="126" spans="1:9" ht="14.25" customHeight="1" x14ac:dyDescent="0.3">
      <c r="A126" s="2" t="s">
        <v>419</v>
      </c>
      <c r="B126" s="2" t="s">
        <v>1764</v>
      </c>
      <c r="C126" s="12">
        <v>44747</v>
      </c>
      <c r="D126" s="2" t="s">
        <v>1780</v>
      </c>
      <c r="E126" s="2" t="s">
        <v>1781</v>
      </c>
      <c r="F126" s="2">
        <v>72</v>
      </c>
      <c r="G126" s="2" t="s">
        <v>24</v>
      </c>
      <c r="H126" s="13">
        <v>3</v>
      </c>
      <c r="I126" s="14">
        <v>0.78465682989488972</v>
      </c>
    </row>
    <row r="127" spans="1:9" ht="14.25" customHeight="1" x14ac:dyDescent="0.3">
      <c r="A127" s="2" t="s">
        <v>421</v>
      </c>
      <c r="B127" s="2" t="s">
        <v>1766</v>
      </c>
      <c r="C127" s="12">
        <v>44754</v>
      </c>
      <c r="D127" s="2" t="s">
        <v>1782</v>
      </c>
      <c r="E127" s="2" t="s">
        <v>1781</v>
      </c>
      <c r="F127" s="2">
        <v>65</v>
      </c>
      <c r="G127" s="2" t="s">
        <v>25</v>
      </c>
      <c r="H127" s="13">
        <v>4</v>
      </c>
      <c r="I127" s="14">
        <v>0.92531650826605816</v>
      </c>
    </row>
    <row r="128" spans="1:9" ht="14.25" customHeight="1" x14ac:dyDescent="0.3">
      <c r="A128" s="2" t="s">
        <v>423</v>
      </c>
      <c r="B128" s="2" t="s">
        <v>1768</v>
      </c>
      <c r="C128" s="12">
        <v>44760</v>
      </c>
      <c r="D128" s="2" t="s">
        <v>1784</v>
      </c>
      <c r="E128" s="2" t="s">
        <v>1781</v>
      </c>
      <c r="F128" s="2">
        <v>250</v>
      </c>
      <c r="G128" s="2" t="s">
        <v>23</v>
      </c>
      <c r="H128" s="13">
        <v>3</v>
      </c>
      <c r="I128" s="14">
        <v>0.91314982692991542</v>
      </c>
    </row>
    <row r="129" spans="1:9" ht="14.25" customHeight="1" x14ac:dyDescent="0.3">
      <c r="A129" s="2" t="s">
        <v>425</v>
      </c>
      <c r="B129" s="2" t="s">
        <v>1770</v>
      </c>
      <c r="C129" s="12">
        <v>44759</v>
      </c>
      <c r="D129" s="2" t="s">
        <v>1785</v>
      </c>
      <c r="E129" s="2" t="s">
        <v>1781</v>
      </c>
      <c r="F129" s="2">
        <v>130</v>
      </c>
      <c r="G129" s="2" t="s">
        <v>24</v>
      </c>
      <c r="H129" s="13">
        <v>2</v>
      </c>
      <c r="I129" s="14">
        <v>8.4586093307030152E-2</v>
      </c>
    </row>
    <row r="130" spans="1:9" ht="14.25" customHeight="1" x14ac:dyDescent="0.3">
      <c r="A130" s="2" t="s">
        <v>427</v>
      </c>
      <c r="B130" s="2" t="s">
        <v>1772</v>
      </c>
      <c r="C130" s="12">
        <v>44735</v>
      </c>
      <c r="D130" s="2" t="s">
        <v>1786</v>
      </c>
      <c r="E130" s="2" t="s">
        <v>1783</v>
      </c>
      <c r="F130" s="2">
        <v>60</v>
      </c>
      <c r="G130" s="2" t="s">
        <v>25</v>
      </c>
      <c r="H130" s="13">
        <v>7</v>
      </c>
      <c r="I130" s="14">
        <v>0.92983220282837542</v>
      </c>
    </row>
    <row r="131" spans="1:9" ht="14.25" customHeight="1" x14ac:dyDescent="0.3">
      <c r="A131" s="2" t="s">
        <v>429</v>
      </c>
      <c r="B131" s="2" t="s">
        <v>1773</v>
      </c>
      <c r="C131" s="12">
        <v>44734</v>
      </c>
      <c r="D131" s="2" t="s">
        <v>1787</v>
      </c>
      <c r="E131" s="2" t="s">
        <v>1781</v>
      </c>
      <c r="F131" s="2">
        <v>95</v>
      </c>
      <c r="G131" s="2" t="s">
        <v>23</v>
      </c>
      <c r="H131" s="13">
        <v>6</v>
      </c>
      <c r="I131" s="14">
        <v>0.13029960752667558</v>
      </c>
    </row>
    <row r="132" spans="1:9" ht="14.25" customHeight="1" x14ac:dyDescent="0.3">
      <c r="A132" s="2" t="s">
        <v>431</v>
      </c>
      <c r="B132" s="2" t="s">
        <v>1764</v>
      </c>
      <c r="C132" s="12">
        <v>44753</v>
      </c>
      <c r="D132" s="2" t="s">
        <v>1780</v>
      </c>
      <c r="E132" s="2" t="s">
        <v>1781</v>
      </c>
      <c r="F132" s="2">
        <v>72</v>
      </c>
      <c r="G132" s="2" t="s">
        <v>24</v>
      </c>
      <c r="H132" s="13">
        <v>6</v>
      </c>
      <c r="I132" s="14">
        <v>0.41456728266200249</v>
      </c>
    </row>
    <row r="133" spans="1:9" ht="14.25" customHeight="1" x14ac:dyDescent="0.3">
      <c r="A133" s="2" t="s">
        <v>433</v>
      </c>
      <c r="B133" s="2" t="s">
        <v>1766</v>
      </c>
      <c r="C133" s="12">
        <v>44739</v>
      </c>
      <c r="D133" s="2" t="s">
        <v>1782</v>
      </c>
      <c r="E133" s="2" t="s">
        <v>1781</v>
      </c>
      <c r="F133" s="2">
        <v>65</v>
      </c>
      <c r="G133" s="2" t="s">
        <v>25</v>
      </c>
      <c r="H133" s="13">
        <v>8</v>
      </c>
      <c r="I133" s="14">
        <v>0.77953807822657883</v>
      </c>
    </row>
    <row r="134" spans="1:9" ht="14.25" customHeight="1" x14ac:dyDescent="0.3">
      <c r="A134" s="2" t="s">
        <v>435</v>
      </c>
      <c r="B134" s="2" t="s">
        <v>1768</v>
      </c>
      <c r="C134" s="12">
        <v>44740</v>
      </c>
      <c r="D134" s="2" t="s">
        <v>1784</v>
      </c>
      <c r="E134" s="2" t="s">
        <v>1783</v>
      </c>
      <c r="F134" s="2">
        <v>250</v>
      </c>
      <c r="G134" s="2" t="s">
        <v>23</v>
      </c>
      <c r="H134" s="13">
        <v>3</v>
      </c>
      <c r="I134" s="14">
        <v>0.56602493379943331</v>
      </c>
    </row>
    <row r="135" spans="1:9" ht="14.25" customHeight="1" x14ac:dyDescent="0.3">
      <c r="A135" s="2" t="s">
        <v>437</v>
      </c>
      <c r="B135" s="2" t="s">
        <v>1770</v>
      </c>
      <c r="C135" s="12">
        <v>44748</v>
      </c>
      <c r="D135" s="2" t="s">
        <v>1785</v>
      </c>
      <c r="E135" s="2" t="s">
        <v>1783</v>
      </c>
      <c r="F135" s="2">
        <v>130</v>
      </c>
      <c r="G135" s="2" t="s">
        <v>24</v>
      </c>
      <c r="H135" s="13">
        <v>2</v>
      </c>
      <c r="I135" s="14">
        <v>0.7922771947085826</v>
      </c>
    </row>
    <row r="136" spans="1:9" ht="14.25" customHeight="1" x14ac:dyDescent="0.3">
      <c r="A136" s="2" t="s">
        <v>439</v>
      </c>
      <c r="B136" s="2" t="s">
        <v>1764</v>
      </c>
      <c r="C136" s="12">
        <v>44731</v>
      </c>
      <c r="D136" s="2" t="s">
        <v>1780</v>
      </c>
      <c r="E136" s="2" t="s">
        <v>1783</v>
      </c>
      <c r="F136" s="2">
        <v>72</v>
      </c>
      <c r="G136" s="2" t="s">
        <v>25</v>
      </c>
      <c r="H136" s="13">
        <v>9</v>
      </c>
      <c r="I136" s="14">
        <v>9.6806596410280221E-2</v>
      </c>
    </row>
    <row r="137" spans="1:9" ht="14.25" customHeight="1" x14ac:dyDescent="0.3">
      <c r="A137" s="2" t="s">
        <v>441</v>
      </c>
      <c r="B137" s="2" t="s">
        <v>1766</v>
      </c>
      <c r="C137" s="12">
        <v>44763</v>
      </c>
      <c r="D137" s="2" t="s">
        <v>1782</v>
      </c>
      <c r="E137" s="2" t="s">
        <v>1783</v>
      </c>
      <c r="F137" s="2">
        <v>65</v>
      </c>
      <c r="G137" s="2" t="s">
        <v>23</v>
      </c>
      <c r="H137" s="13">
        <v>8</v>
      </c>
      <c r="I137" s="14">
        <v>0.10738058788365801</v>
      </c>
    </row>
    <row r="138" spans="1:9" ht="14.25" customHeight="1" x14ac:dyDescent="0.3">
      <c r="A138" s="2" t="s">
        <v>443</v>
      </c>
      <c r="B138" s="2" t="s">
        <v>1768</v>
      </c>
      <c r="C138" s="12">
        <v>44733</v>
      </c>
      <c r="D138" s="2" t="s">
        <v>1784</v>
      </c>
      <c r="E138" s="2" t="s">
        <v>1783</v>
      </c>
      <c r="F138" s="2">
        <v>250</v>
      </c>
      <c r="G138" s="2" t="s">
        <v>24</v>
      </c>
      <c r="H138" s="13">
        <v>1</v>
      </c>
      <c r="I138" s="14">
        <v>0.68298720032284699</v>
      </c>
    </row>
    <row r="139" spans="1:9" ht="14.25" customHeight="1" x14ac:dyDescent="0.3">
      <c r="A139" s="2" t="s">
        <v>445</v>
      </c>
      <c r="B139" s="2" t="s">
        <v>1770</v>
      </c>
      <c r="C139" s="12">
        <v>44746</v>
      </c>
      <c r="D139" s="2" t="s">
        <v>1785</v>
      </c>
      <c r="E139" s="2" t="s">
        <v>1783</v>
      </c>
      <c r="F139" s="2">
        <v>130</v>
      </c>
      <c r="G139" s="2" t="s">
        <v>25</v>
      </c>
      <c r="H139" s="13">
        <v>2</v>
      </c>
      <c r="I139" s="14">
        <v>8.8476327566971991E-2</v>
      </c>
    </row>
    <row r="140" spans="1:9" ht="14.25" customHeight="1" x14ac:dyDescent="0.3">
      <c r="A140" s="2" t="s">
        <v>447</v>
      </c>
      <c r="B140" s="2" t="s">
        <v>1764</v>
      </c>
      <c r="C140" s="12">
        <v>44755</v>
      </c>
      <c r="D140" s="2" t="s">
        <v>1780</v>
      </c>
      <c r="E140" s="2" t="s">
        <v>1781</v>
      </c>
      <c r="F140" s="2">
        <v>72</v>
      </c>
      <c r="G140" s="2" t="s">
        <v>25</v>
      </c>
      <c r="H140" s="13">
        <v>9</v>
      </c>
      <c r="I140" s="14">
        <v>0.12263076179640997</v>
      </c>
    </row>
    <row r="141" spans="1:9" ht="14.25" customHeight="1" x14ac:dyDescent="0.3">
      <c r="A141" s="2" t="s">
        <v>449</v>
      </c>
      <c r="B141" s="2" t="s">
        <v>1766</v>
      </c>
      <c r="C141" s="12">
        <v>44755</v>
      </c>
      <c r="D141" s="2" t="s">
        <v>1782</v>
      </c>
      <c r="E141" s="2" t="s">
        <v>1783</v>
      </c>
      <c r="F141" s="2">
        <v>65</v>
      </c>
      <c r="G141" s="2" t="s">
        <v>23</v>
      </c>
      <c r="H141" s="13">
        <v>7</v>
      </c>
      <c r="I141" s="14">
        <v>0.21348123854438894</v>
      </c>
    </row>
    <row r="142" spans="1:9" ht="14.25" customHeight="1" x14ac:dyDescent="0.3">
      <c r="A142" s="2" t="s">
        <v>451</v>
      </c>
      <c r="B142" s="2" t="s">
        <v>1768</v>
      </c>
      <c r="C142" s="12">
        <v>44727</v>
      </c>
      <c r="D142" s="2" t="s">
        <v>1784</v>
      </c>
      <c r="E142" s="2" t="s">
        <v>1781</v>
      </c>
      <c r="F142" s="2">
        <v>250</v>
      </c>
      <c r="G142" s="2" t="s">
        <v>24</v>
      </c>
      <c r="H142" s="13">
        <v>3</v>
      </c>
      <c r="I142" s="14">
        <v>0.51777110877083832</v>
      </c>
    </row>
    <row r="143" spans="1:9" ht="14.25" customHeight="1" x14ac:dyDescent="0.3">
      <c r="A143" s="2" t="s">
        <v>453</v>
      </c>
      <c r="B143" s="2" t="s">
        <v>1770</v>
      </c>
      <c r="C143" s="12">
        <v>44746</v>
      </c>
      <c r="D143" s="2" t="s">
        <v>1785</v>
      </c>
      <c r="E143" s="2" t="s">
        <v>1783</v>
      </c>
      <c r="F143" s="2">
        <v>130</v>
      </c>
      <c r="G143" s="2" t="s">
        <v>25</v>
      </c>
      <c r="H143" s="13">
        <v>3</v>
      </c>
      <c r="I143" s="14">
        <v>0.2471412366587864</v>
      </c>
    </row>
    <row r="144" spans="1:9" ht="14.25" customHeight="1" x14ac:dyDescent="0.3">
      <c r="A144" s="2" t="s">
        <v>455</v>
      </c>
      <c r="B144" s="2" t="s">
        <v>1764</v>
      </c>
      <c r="C144" s="12">
        <v>44740</v>
      </c>
      <c r="D144" s="2" t="s">
        <v>1780</v>
      </c>
      <c r="E144" s="2" t="s">
        <v>1781</v>
      </c>
      <c r="F144" s="2">
        <v>72</v>
      </c>
      <c r="G144" s="2" t="s">
        <v>23</v>
      </c>
      <c r="H144" s="13">
        <v>4</v>
      </c>
      <c r="I144" s="14">
        <v>0.74108890181243625</v>
      </c>
    </row>
    <row r="145" spans="1:9" ht="14.25" customHeight="1" x14ac:dyDescent="0.3">
      <c r="A145" s="2" t="s">
        <v>457</v>
      </c>
      <c r="B145" s="2" t="s">
        <v>1766</v>
      </c>
      <c r="C145" s="12">
        <v>44743</v>
      </c>
      <c r="D145" s="2" t="s">
        <v>1782</v>
      </c>
      <c r="E145" s="2" t="s">
        <v>1783</v>
      </c>
      <c r="F145" s="2">
        <v>65</v>
      </c>
      <c r="G145" s="2" t="s">
        <v>24</v>
      </c>
      <c r="H145" s="13">
        <v>5</v>
      </c>
      <c r="I145" s="14">
        <v>0.7589550474918334</v>
      </c>
    </row>
    <row r="146" spans="1:9" ht="14.25" customHeight="1" x14ac:dyDescent="0.3">
      <c r="A146" s="2" t="s">
        <v>459</v>
      </c>
      <c r="B146" s="2" t="s">
        <v>1768</v>
      </c>
      <c r="C146" s="12">
        <v>44737</v>
      </c>
      <c r="D146" s="2" t="s">
        <v>1784</v>
      </c>
      <c r="E146" s="2" t="s">
        <v>1781</v>
      </c>
      <c r="F146" s="2">
        <v>250</v>
      </c>
      <c r="G146" s="2" t="s">
        <v>25</v>
      </c>
      <c r="H146" s="13">
        <v>4</v>
      </c>
      <c r="I146" s="14">
        <v>0.39519452416647527</v>
      </c>
    </row>
    <row r="147" spans="1:9" ht="14.25" customHeight="1" x14ac:dyDescent="0.3">
      <c r="A147" s="2" t="s">
        <v>461</v>
      </c>
      <c r="B147" s="2" t="s">
        <v>1770</v>
      </c>
      <c r="C147" s="12">
        <v>44757</v>
      </c>
      <c r="D147" s="2" t="s">
        <v>1785</v>
      </c>
      <c r="E147" s="2" t="s">
        <v>1783</v>
      </c>
      <c r="F147" s="2">
        <v>130</v>
      </c>
      <c r="G147" s="2" t="s">
        <v>23</v>
      </c>
      <c r="H147" s="13">
        <v>5</v>
      </c>
      <c r="I147" s="14">
        <v>2.5857814158937731E-2</v>
      </c>
    </row>
    <row r="148" spans="1:9" ht="14.25" customHeight="1" x14ac:dyDescent="0.3">
      <c r="A148" s="2" t="s">
        <v>463</v>
      </c>
      <c r="B148" s="2" t="s">
        <v>1772</v>
      </c>
      <c r="C148" s="12">
        <v>44745</v>
      </c>
      <c r="D148" s="2" t="s">
        <v>1786</v>
      </c>
      <c r="E148" s="2" t="s">
        <v>1781</v>
      </c>
      <c r="F148" s="2">
        <v>60</v>
      </c>
      <c r="G148" s="2" t="s">
        <v>24</v>
      </c>
      <c r="H148" s="13">
        <v>10</v>
      </c>
      <c r="I148" s="14">
        <v>0.35224195755599907</v>
      </c>
    </row>
    <row r="149" spans="1:9" ht="14.25" customHeight="1" x14ac:dyDescent="0.3">
      <c r="A149" s="2" t="s">
        <v>465</v>
      </c>
      <c r="B149" s="2" t="s">
        <v>1764</v>
      </c>
      <c r="C149" s="12">
        <v>44760</v>
      </c>
      <c r="D149" s="2" t="s">
        <v>1780</v>
      </c>
      <c r="E149" s="2" t="s">
        <v>1783</v>
      </c>
      <c r="F149" s="2">
        <v>72</v>
      </c>
      <c r="G149" s="2" t="s">
        <v>25</v>
      </c>
      <c r="H149" s="13">
        <v>12</v>
      </c>
      <c r="I149" s="14">
        <v>4.2934737769464881E-2</v>
      </c>
    </row>
    <row r="150" spans="1:9" ht="14.25" customHeight="1" x14ac:dyDescent="0.3">
      <c r="A150" s="2" t="s">
        <v>467</v>
      </c>
      <c r="B150" s="2" t="s">
        <v>1766</v>
      </c>
      <c r="C150" s="12">
        <v>44750</v>
      </c>
      <c r="D150" s="2" t="s">
        <v>1782</v>
      </c>
      <c r="E150" s="2" t="s">
        <v>1781</v>
      </c>
      <c r="F150" s="2">
        <v>65</v>
      </c>
      <c r="G150" s="2" t="s">
        <v>23</v>
      </c>
      <c r="H150" s="13">
        <v>12</v>
      </c>
      <c r="I150" s="14">
        <v>6.8824781708392013E-3</v>
      </c>
    </row>
    <row r="151" spans="1:9" ht="14.25" customHeight="1" x14ac:dyDescent="0.3">
      <c r="A151" s="2" t="s">
        <v>469</v>
      </c>
      <c r="B151" s="2" t="s">
        <v>1768</v>
      </c>
      <c r="C151" s="12">
        <v>44742</v>
      </c>
      <c r="D151" s="2" t="s">
        <v>1784</v>
      </c>
      <c r="E151" s="2" t="s">
        <v>1783</v>
      </c>
      <c r="F151" s="2">
        <v>250</v>
      </c>
      <c r="G151" s="2" t="s">
        <v>24</v>
      </c>
      <c r="H151" s="13">
        <v>1</v>
      </c>
      <c r="I151" s="14">
        <v>0.8553400747255635</v>
      </c>
    </row>
    <row r="152" spans="1:9" ht="14.25" customHeight="1" x14ac:dyDescent="0.3">
      <c r="A152" s="2" t="s">
        <v>471</v>
      </c>
      <c r="B152" s="2" t="s">
        <v>1770</v>
      </c>
      <c r="C152" s="12">
        <v>44754</v>
      </c>
      <c r="D152" s="2" t="s">
        <v>1785</v>
      </c>
      <c r="E152" s="2" t="s">
        <v>1781</v>
      </c>
      <c r="F152" s="2">
        <v>130</v>
      </c>
      <c r="G152" s="2" t="s">
        <v>25</v>
      </c>
      <c r="H152" s="13">
        <v>6</v>
      </c>
      <c r="I152" s="14">
        <v>0.62107648533214554</v>
      </c>
    </row>
    <row r="153" spans="1:9" ht="14.25" customHeight="1" x14ac:dyDescent="0.3">
      <c r="A153" s="2" t="s">
        <v>473</v>
      </c>
      <c r="B153" s="2" t="s">
        <v>1764</v>
      </c>
      <c r="C153" s="12">
        <v>44746</v>
      </c>
      <c r="D153" s="2" t="s">
        <v>1780</v>
      </c>
      <c r="E153" s="2" t="s">
        <v>1783</v>
      </c>
      <c r="F153" s="2">
        <v>72</v>
      </c>
      <c r="G153" s="2" t="s">
        <v>23</v>
      </c>
      <c r="H153" s="13">
        <v>3</v>
      </c>
      <c r="I153" s="14">
        <v>0.93819201157518672</v>
      </c>
    </row>
    <row r="154" spans="1:9" ht="14.25" customHeight="1" x14ac:dyDescent="0.3">
      <c r="A154" s="2" t="s">
        <v>475</v>
      </c>
      <c r="B154" s="2" t="s">
        <v>1766</v>
      </c>
      <c r="C154" s="12">
        <v>44752</v>
      </c>
      <c r="D154" s="2" t="s">
        <v>1782</v>
      </c>
      <c r="E154" s="2" t="s">
        <v>1781</v>
      </c>
      <c r="F154" s="2">
        <v>65</v>
      </c>
      <c r="G154" s="2" t="s">
        <v>24</v>
      </c>
      <c r="H154" s="13">
        <v>12</v>
      </c>
      <c r="I154" s="14">
        <v>0.97731506347213748</v>
      </c>
    </row>
    <row r="155" spans="1:9" ht="14.25" customHeight="1" x14ac:dyDescent="0.3">
      <c r="A155" s="2" t="s">
        <v>477</v>
      </c>
      <c r="B155" s="2" t="s">
        <v>1768</v>
      </c>
      <c r="C155" s="12">
        <v>44725</v>
      </c>
      <c r="D155" s="2" t="s">
        <v>1784</v>
      </c>
      <c r="E155" s="2" t="s">
        <v>1783</v>
      </c>
      <c r="F155" s="2">
        <v>250</v>
      </c>
      <c r="G155" s="2" t="s">
        <v>25</v>
      </c>
      <c r="H155" s="13">
        <v>3</v>
      </c>
      <c r="I155" s="14">
        <v>0.93618769203099483</v>
      </c>
    </row>
    <row r="156" spans="1:9" ht="14.25" customHeight="1" x14ac:dyDescent="0.3">
      <c r="A156" s="2" t="s">
        <v>479</v>
      </c>
      <c r="B156" s="2" t="s">
        <v>1770</v>
      </c>
      <c r="C156" s="12">
        <v>44734</v>
      </c>
      <c r="D156" s="2" t="s">
        <v>1785</v>
      </c>
      <c r="E156" s="2" t="s">
        <v>1781</v>
      </c>
      <c r="F156" s="2">
        <v>130</v>
      </c>
      <c r="G156" s="2" t="s">
        <v>23</v>
      </c>
      <c r="H156" s="13">
        <v>5</v>
      </c>
      <c r="I156" s="14">
        <v>0.92747059451906588</v>
      </c>
    </row>
    <row r="157" spans="1:9" ht="14.25" customHeight="1" x14ac:dyDescent="0.3">
      <c r="A157" s="2" t="s">
        <v>481</v>
      </c>
      <c r="B157" s="2" t="s">
        <v>1772</v>
      </c>
      <c r="C157" s="12">
        <v>44761</v>
      </c>
      <c r="D157" s="2" t="s">
        <v>1786</v>
      </c>
      <c r="E157" s="2" t="s">
        <v>1781</v>
      </c>
      <c r="F157" s="2">
        <v>60</v>
      </c>
      <c r="G157" s="2" t="s">
        <v>24</v>
      </c>
      <c r="H157" s="13">
        <v>8</v>
      </c>
      <c r="I157" s="14">
        <v>9.8331104648150314E-2</v>
      </c>
    </row>
    <row r="158" spans="1:9" ht="14.25" customHeight="1" x14ac:dyDescent="0.3">
      <c r="A158" s="2" t="s">
        <v>483</v>
      </c>
      <c r="B158" s="2" t="s">
        <v>1773</v>
      </c>
      <c r="C158" s="12">
        <v>44735</v>
      </c>
      <c r="D158" s="2" t="s">
        <v>1787</v>
      </c>
      <c r="E158" s="2" t="s">
        <v>1783</v>
      </c>
      <c r="F158" s="2">
        <v>95</v>
      </c>
      <c r="G158" s="2" t="s">
        <v>25</v>
      </c>
      <c r="H158" s="13">
        <v>5</v>
      </c>
      <c r="I158" s="14">
        <v>4.5012478047171678E-3</v>
      </c>
    </row>
    <row r="159" spans="1:9" ht="14.25" customHeight="1" x14ac:dyDescent="0.3">
      <c r="A159" s="2" t="s">
        <v>485</v>
      </c>
      <c r="B159" s="2" t="s">
        <v>1764</v>
      </c>
      <c r="C159" s="12">
        <v>44753</v>
      </c>
      <c r="D159" s="2" t="s">
        <v>1780</v>
      </c>
      <c r="E159" s="2" t="s">
        <v>1783</v>
      </c>
      <c r="F159" s="2">
        <v>72</v>
      </c>
      <c r="G159" s="2" t="s">
        <v>23</v>
      </c>
      <c r="H159" s="13">
        <v>9</v>
      </c>
      <c r="I159" s="14">
        <v>0.22169192366246837</v>
      </c>
    </row>
    <row r="160" spans="1:9" ht="14.25" customHeight="1" x14ac:dyDescent="0.3">
      <c r="A160" s="2" t="s">
        <v>487</v>
      </c>
      <c r="B160" s="2" t="s">
        <v>1766</v>
      </c>
      <c r="C160" s="12">
        <v>44732</v>
      </c>
      <c r="D160" s="2" t="s">
        <v>1782</v>
      </c>
      <c r="E160" s="2" t="s">
        <v>1783</v>
      </c>
      <c r="F160" s="2">
        <v>65</v>
      </c>
      <c r="G160" s="2" t="s">
        <v>24</v>
      </c>
      <c r="H160" s="13">
        <v>6</v>
      </c>
      <c r="I160" s="14">
        <v>0.91624709117858605</v>
      </c>
    </row>
    <row r="161" spans="1:9" ht="14.25" customHeight="1" x14ac:dyDescent="0.3">
      <c r="A161" s="2" t="s">
        <v>489</v>
      </c>
      <c r="B161" s="2" t="s">
        <v>1768</v>
      </c>
      <c r="C161" s="12">
        <v>44748</v>
      </c>
      <c r="D161" s="2" t="s">
        <v>1784</v>
      </c>
      <c r="E161" s="2" t="s">
        <v>1781</v>
      </c>
      <c r="F161" s="2">
        <v>250</v>
      </c>
      <c r="G161" s="2" t="s">
        <v>25</v>
      </c>
      <c r="H161" s="13">
        <v>3</v>
      </c>
      <c r="I161" s="14">
        <v>0.61362516317019966</v>
      </c>
    </row>
    <row r="162" spans="1:9" ht="14.25" customHeight="1" x14ac:dyDescent="0.3">
      <c r="A162" s="2" t="s">
        <v>491</v>
      </c>
      <c r="B162" s="2" t="s">
        <v>1770</v>
      </c>
      <c r="C162" s="12">
        <v>44731</v>
      </c>
      <c r="D162" s="2" t="s">
        <v>1785</v>
      </c>
      <c r="E162" s="2" t="s">
        <v>1781</v>
      </c>
      <c r="F162" s="2">
        <v>130</v>
      </c>
      <c r="G162" s="2" t="s">
        <v>23</v>
      </c>
      <c r="H162" s="13">
        <v>4</v>
      </c>
      <c r="I162" s="14">
        <v>0.81572623665656485</v>
      </c>
    </row>
    <row r="163" spans="1:9" ht="14.25" customHeight="1" x14ac:dyDescent="0.3">
      <c r="A163" s="2" t="s">
        <v>493</v>
      </c>
      <c r="B163" s="2" t="s">
        <v>1764</v>
      </c>
      <c r="C163" s="12">
        <v>44725</v>
      </c>
      <c r="D163" s="2" t="s">
        <v>1780</v>
      </c>
      <c r="E163" s="2" t="s">
        <v>1781</v>
      </c>
      <c r="F163" s="2">
        <v>72</v>
      </c>
      <c r="G163" s="2" t="s">
        <v>24</v>
      </c>
      <c r="H163" s="13">
        <v>11</v>
      </c>
      <c r="I163" s="14">
        <v>0.60394772308749511</v>
      </c>
    </row>
    <row r="164" spans="1:9" ht="14.25" customHeight="1" x14ac:dyDescent="0.3">
      <c r="A164" s="2" t="s">
        <v>495</v>
      </c>
      <c r="B164" s="2" t="s">
        <v>1766</v>
      </c>
      <c r="C164" s="12">
        <v>44753</v>
      </c>
      <c r="D164" s="2" t="s">
        <v>1782</v>
      </c>
      <c r="E164" s="2" t="s">
        <v>1781</v>
      </c>
      <c r="F164" s="2">
        <v>65</v>
      </c>
      <c r="G164" s="2" t="s">
        <v>25</v>
      </c>
      <c r="H164" s="13">
        <v>7</v>
      </c>
      <c r="I164" s="14">
        <v>0.2716676542664398</v>
      </c>
    </row>
    <row r="165" spans="1:9" ht="14.25" customHeight="1" x14ac:dyDescent="0.3">
      <c r="A165" s="2" t="s">
        <v>497</v>
      </c>
      <c r="B165" s="2" t="s">
        <v>1768</v>
      </c>
      <c r="C165" s="12">
        <v>44738</v>
      </c>
      <c r="D165" s="2" t="s">
        <v>1784</v>
      </c>
      <c r="E165" s="2" t="s">
        <v>1781</v>
      </c>
      <c r="F165" s="2">
        <v>250</v>
      </c>
      <c r="G165" s="2" t="s">
        <v>23</v>
      </c>
      <c r="H165" s="13">
        <v>2</v>
      </c>
      <c r="I165" s="14">
        <v>0.56293228162406539</v>
      </c>
    </row>
    <row r="166" spans="1:9" ht="14.25" customHeight="1" x14ac:dyDescent="0.3">
      <c r="A166" s="2" t="s">
        <v>499</v>
      </c>
      <c r="B166" s="2" t="s">
        <v>1770</v>
      </c>
      <c r="C166" s="12">
        <v>44762</v>
      </c>
      <c r="D166" s="2" t="s">
        <v>1785</v>
      </c>
      <c r="E166" s="2" t="s">
        <v>1781</v>
      </c>
      <c r="F166" s="2">
        <v>130</v>
      </c>
      <c r="G166" s="2" t="s">
        <v>24</v>
      </c>
      <c r="H166" s="13">
        <v>4</v>
      </c>
      <c r="I166" s="14">
        <v>0.73579140219525918</v>
      </c>
    </row>
    <row r="167" spans="1:9" ht="14.25" customHeight="1" x14ac:dyDescent="0.3">
      <c r="A167" s="2" t="s">
        <v>501</v>
      </c>
      <c r="B167" s="2" t="s">
        <v>1772</v>
      </c>
      <c r="C167" s="12">
        <v>44756</v>
      </c>
      <c r="D167" s="2" t="s">
        <v>1786</v>
      </c>
      <c r="E167" s="2" t="s">
        <v>1781</v>
      </c>
      <c r="F167" s="2">
        <v>60</v>
      </c>
      <c r="G167" s="2" t="s">
        <v>25</v>
      </c>
      <c r="H167" s="13">
        <v>12</v>
      </c>
      <c r="I167" s="14">
        <v>0.44112931781121201</v>
      </c>
    </row>
    <row r="168" spans="1:9" ht="14.25" customHeight="1" x14ac:dyDescent="0.3">
      <c r="A168" s="2" t="s">
        <v>503</v>
      </c>
      <c r="B168" s="2" t="s">
        <v>1764</v>
      </c>
      <c r="C168" s="12">
        <v>44744</v>
      </c>
      <c r="D168" s="2" t="s">
        <v>1780</v>
      </c>
      <c r="E168" s="2" t="s">
        <v>1781</v>
      </c>
      <c r="F168" s="2">
        <v>72</v>
      </c>
      <c r="G168" s="2" t="s">
        <v>23</v>
      </c>
      <c r="H168" s="13">
        <v>11</v>
      </c>
      <c r="I168" s="14">
        <v>0.67026763876764872</v>
      </c>
    </row>
    <row r="169" spans="1:9" ht="14.25" customHeight="1" x14ac:dyDescent="0.3">
      <c r="A169" s="2" t="s">
        <v>505</v>
      </c>
      <c r="B169" s="2" t="s">
        <v>1766</v>
      </c>
      <c r="C169" s="12">
        <v>44753</v>
      </c>
      <c r="D169" s="2" t="s">
        <v>1782</v>
      </c>
      <c r="E169" s="2" t="s">
        <v>1781</v>
      </c>
      <c r="F169" s="2">
        <v>65</v>
      </c>
      <c r="G169" s="2" t="s">
        <v>24</v>
      </c>
      <c r="H169" s="13">
        <v>9</v>
      </c>
      <c r="I169" s="14">
        <v>0.21501842814819261</v>
      </c>
    </row>
    <row r="170" spans="1:9" ht="14.25" customHeight="1" x14ac:dyDescent="0.3">
      <c r="A170" s="2" t="s">
        <v>507</v>
      </c>
      <c r="B170" s="2" t="s">
        <v>1768</v>
      </c>
      <c r="C170" s="12">
        <v>44762</v>
      </c>
      <c r="D170" s="2" t="s">
        <v>1784</v>
      </c>
      <c r="E170" s="2" t="s">
        <v>1783</v>
      </c>
      <c r="F170" s="2">
        <v>250</v>
      </c>
      <c r="G170" s="2" t="s">
        <v>25</v>
      </c>
      <c r="H170" s="13">
        <v>3</v>
      </c>
      <c r="I170" s="14">
        <v>0.77528388030776896</v>
      </c>
    </row>
    <row r="171" spans="1:9" ht="14.25" customHeight="1" x14ac:dyDescent="0.3">
      <c r="A171" s="2" t="s">
        <v>509</v>
      </c>
      <c r="B171" s="2" t="s">
        <v>1770</v>
      </c>
      <c r="C171" s="12">
        <v>44740</v>
      </c>
      <c r="D171" s="2" t="s">
        <v>1785</v>
      </c>
      <c r="E171" s="2" t="s">
        <v>1781</v>
      </c>
      <c r="F171" s="2">
        <v>130</v>
      </c>
      <c r="G171" s="2" t="s">
        <v>23</v>
      </c>
      <c r="H171" s="13">
        <v>3</v>
      </c>
      <c r="I171" s="14">
        <v>0.32334348690445713</v>
      </c>
    </row>
    <row r="172" spans="1:9" ht="14.25" customHeight="1" x14ac:dyDescent="0.3">
      <c r="A172" s="2" t="s">
        <v>511</v>
      </c>
      <c r="B172" s="2" t="s">
        <v>1764</v>
      </c>
      <c r="C172" s="12">
        <v>44729</v>
      </c>
      <c r="D172" s="2" t="s">
        <v>1780</v>
      </c>
      <c r="E172" s="2" t="s">
        <v>1781</v>
      </c>
      <c r="F172" s="2">
        <v>72</v>
      </c>
      <c r="G172" s="2" t="s">
        <v>24</v>
      </c>
      <c r="H172" s="13">
        <v>5</v>
      </c>
      <c r="I172" s="14">
        <v>0.2117276391971491</v>
      </c>
    </row>
    <row r="173" spans="1:9" ht="14.25" customHeight="1" x14ac:dyDescent="0.3">
      <c r="A173" s="2" t="s">
        <v>513</v>
      </c>
      <c r="B173" s="2" t="s">
        <v>1766</v>
      </c>
      <c r="C173" s="12">
        <v>44727</v>
      </c>
      <c r="D173" s="2" t="s">
        <v>1782</v>
      </c>
      <c r="E173" s="2" t="s">
        <v>1781</v>
      </c>
      <c r="F173" s="2">
        <v>65</v>
      </c>
      <c r="G173" s="2" t="s">
        <v>25</v>
      </c>
      <c r="H173" s="13">
        <v>10</v>
      </c>
      <c r="I173" s="14">
        <v>0.99817658128489728</v>
      </c>
    </row>
    <row r="174" spans="1:9" ht="14.25" customHeight="1" x14ac:dyDescent="0.3">
      <c r="A174" s="2" t="s">
        <v>515</v>
      </c>
      <c r="B174" s="2" t="s">
        <v>1768</v>
      </c>
      <c r="C174" s="12">
        <v>44734</v>
      </c>
      <c r="D174" s="2" t="s">
        <v>1784</v>
      </c>
      <c r="E174" s="2" t="s">
        <v>1781</v>
      </c>
      <c r="F174" s="2">
        <v>250</v>
      </c>
      <c r="G174" s="2" t="s">
        <v>23</v>
      </c>
      <c r="H174" s="13">
        <v>3</v>
      </c>
      <c r="I174" s="14">
        <v>0.34321661485625221</v>
      </c>
    </row>
    <row r="175" spans="1:9" ht="14.25" customHeight="1" x14ac:dyDescent="0.3">
      <c r="A175" s="2" t="s">
        <v>517</v>
      </c>
      <c r="B175" s="2" t="s">
        <v>1770</v>
      </c>
      <c r="C175" s="12">
        <v>44744</v>
      </c>
      <c r="D175" s="2" t="s">
        <v>1785</v>
      </c>
      <c r="E175" s="2" t="s">
        <v>1781</v>
      </c>
      <c r="F175" s="2">
        <v>130</v>
      </c>
      <c r="G175" s="2" t="s">
        <v>24</v>
      </c>
      <c r="H175" s="13">
        <v>6</v>
      </c>
      <c r="I175" s="14">
        <v>0.17688363553653064</v>
      </c>
    </row>
    <row r="176" spans="1:9" ht="14.25" customHeight="1" x14ac:dyDescent="0.3">
      <c r="A176" s="2" t="s">
        <v>519</v>
      </c>
      <c r="B176" s="2" t="s">
        <v>1772</v>
      </c>
      <c r="C176" s="12">
        <v>44737</v>
      </c>
      <c r="D176" s="2" t="s">
        <v>1786</v>
      </c>
      <c r="E176" s="2" t="s">
        <v>1783</v>
      </c>
      <c r="F176" s="2">
        <v>60</v>
      </c>
      <c r="G176" s="2" t="s">
        <v>25</v>
      </c>
      <c r="H176" s="13">
        <v>12</v>
      </c>
      <c r="I176" s="14">
        <v>0.54853763527560739</v>
      </c>
    </row>
    <row r="177" spans="1:9" ht="14.25" customHeight="1" x14ac:dyDescent="0.3">
      <c r="A177" s="2" t="s">
        <v>521</v>
      </c>
      <c r="B177" s="2" t="s">
        <v>1773</v>
      </c>
      <c r="C177" s="12">
        <v>44752</v>
      </c>
      <c r="D177" s="2" t="s">
        <v>1787</v>
      </c>
      <c r="E177" s="2" t="s">
        <v>1781</v>
      </c>
      <c r="F177" s="2">
        <v>95</v>
      </c>
      <c r="G177" s="2" t="s">
        <v>23</v>
      </c>
      <c r="H177" s="13">
        <v>7</v>
      </c>
      <c r="I177" s="14">
        <v>0.40612729229894939</v>
      </c>
    </row>
    <row r="178" spans="1:9" ht="14.25" customHeight="1" x14ac:dyDescent="0.3">
      <c r="A178" s="2" t="s">
        <v>523</v>
      </c>
      <c r="B178" s="2" t="s">
        <v>1764</v>
      </c>
      <c r="C178" s="12">
        <v>44736</v>
      </c>
      <c r="D178" s="2" t="s">
        <v>1780</v>
      </c>
      <c r="E178" s="2" t="s">
        <v>1781</v>
      </c>
      <c r="F178" s="2">
        <v>72</v>
      </c>
      <c r="G178" s="2" t="s">
        <v>24</v>
      </c>
      <c r="H178" s="13">
        <v>6</v>
      </c>
      <c r="I178" s="14">
        <v>0.16780300089638589</v>
      </c>
    </row>
    <row r="179" spans="1:9" ht="14.25" customHeight="1" x14ac:dyDescent="0.3">
      <c r="A179" s="2" t="s">
        <v>525</v>
      </c>
      <c r="B179" s="2" t="s">
        <v>1766</v>
      </c>
      <c r="C179" s="12">
        <v>44752</v>
      </c>
      <c r="D179" s="2" t="s">
        <v>1782</v>
      </c>
      <c r="E179" s="2" t="s">
        <v>1781</v>
      </c>
      <c r="F179" s="2">
        <v>65</v>
      </c>
      <c r="G179" s="2" t="s">
        <v>25</v>
      </c>
      <c r="H179" s="13">
        <v>10</v>
      </c>
      <c r="I179" s="14">
        <v>0.91086777790941564</v>
      </c>
    </row>
    <row r="180" spans="1:9" ht="14.25" customHeight="1" x14ac:dyDescent="0.3">
      <c r="A180" s="2" t="s">
        <v>527</v>
      </c>
      <c r="B180" s="2" t="s">
        <v>1768</v>
      </c>
      <c r="C180" s="12">
        <v>44759</v>
      </c>
      <c r="D180" s="2" t="s">
        <v>1784</v>
      </c>
      <c r="E180" s="2" t="s">
        <v>1783</v>
      </c>
      <c r="F180" s="2">
        <v>250</v>
      </c>
      <c r="G180" s="2" t="s">
        <v>23</v>
      </c>
      <c r="H180" s="13">
        <v>3</v>
      </c>
      <c r="I180" s="14">
        <v>0.2731985494536886</v>
      </c>
    </row>
    <row r="181" spans="1:9" ht="14.25" customHeight="1" x14ac:dyDescent="0.3">
      <c r="A181" s="2" t="s">
        <v>529</v>
      </c>
      <c r="B181" s="2" t="s">
        <v>1770</v>
      </c>
      <c r="C181" s="12">
        <v>44763</v>
      </c>
      <c r="D181" s="2" t="s">
        <v>1785</v>
      </c>
      <c r="E181" s="2" t="s">
        <v>1783</v>
      </c>
      <c r="F181" s="2">
        <v>130</v>
      </c>
      <c r="G181" s="2" t="s">
        <v>24</v>
      </c>
      <c r="H181" s="13">
        <v>4</v>
      </c>
      <c r="I181" s="14">
        <v>0.81984662786178419</v>
      </c>
    </row>
    <row r="182" spans="1:9" ht="14.25" customHeight="1" x14ac:dyDescent="0.3">
      <c r="A182" s="2" t="s">
        <v>531</v>
      </c>
      <c r="B182" s="2" t="s">
        <v>1764</v>
      </c>
      <c r="C182" s="12">
        <v>44763</v>
      </c>
      <c r="D182" s="2" t="s">
        <v>1780</v>
      </c>
      <c r="E182" s="2" t="s">
        <v>1783</v>
      </c>
      <c r="F182" s="2">
        <v>72</v>
      </c>
      <c r="G182" s="2" t="s">
        <v>25</v>
      </c>
      <c r="H182" s="13">
        <v>7</v>
      </c>
      <c r="I182" s="14">
        <v>0.89980934003543744</v>
      </c>
    </row>
    <row r="183" spans="1:9" ht="14.25" customHeight="1" x14ac:dyDescent="0.3">
      <c r="A183" s="2" t="s">
        <v>533</v>
      </c>
      <c r="B183" s="2" t="s">
        <v>1766</v>
      </c>
      <c r="C183" s="12">
        <v>44750</v>
      </c>
      <c r="D183" s="2" t="s">
        <v>1782</v>
      </c>
      <c r="E183" s="2" t="s">
        <v>1783</v>
      </c>
      <c r="F183" s="2">
        <v>65</v>
      </c>
      <c r="G183" s="2" t="s">
        <v>23</v>
      </c>
      <c r="H183" s="13">
        <v>5</v>
      </c>
      <c r="I183" s="14">
        <v>0.73522347452625669</v>
      </c>
    </row>
    <row r="184" spans="1:9" ht="14.25" customHeight="1" x14ac:dyDescent="0.3">
      <c r="A184" s="2" t="s">
        <v>535</v>
      </c>
      <c r="B184" s="2" t="s">
        <v>1768</v>
      </c>
      <c r="C184" s="12">
        <v>44751</v>
      </c>
      <c r="D184" s="2" t="s">
        <v>1784</v>
      </c>
      <c r="E184" s="2" t="s">
        <v>1783</v>
      </c>
      <c r="F184" s="2">
        <v>250</v>
      </c>
      <c r="G184" s="2" t="s">
        <v>24</v>
      </c>
      <c r="H184" s="13">
        <v>3</v>
      </c>
      <c r="I184" s="14">
        <v>0.36579213338930128</v>
      </c>
    </row>
    <row r="185" spans="1:9" ht="14.25" customHeight="1" x14ac:dyDescent="0.3">
      <c r="A185" s="2" t="s">
        <v>537</v>
      </c>
      <c r="B185" s="2" t="s">
        <v>1770</v>
      </c>
      <c r="C185" s="12">
        <v>44736</v>
      </c>
      <c r="D185" s="2" t="s">
        <v>1785</v>
      </c>
      <c r="E185" s="2" t="s">
        <v>1783</v>
      </c>
      <c r="F185" s="2">
        <v>130</v>
      </c>
      <c r="G185" s="2" t="s">
        <v>25</v>
      </c>
      <c r="H185" s="13">
        <v>2</v>
      </c>
      <c r="I185" s="14">
        <v>0.79313642440033238</v>
      </c>
    </row>
    <row r="186" spans="1:9" ht="14.25" customHeight="1" x14ac:dyDescent="0.3">
      <c r="A186" s="2" t="s">
        <v>539</v>
      </c>
      <c r="B186" s="2" t="s">
        <v>1764</v>
      </c>
      <c r="C186" s="12">
        <v>44737</v>
      </c>
      <c r="D186" s="2" t="s">
        <v>1780</v>
      </c>
      <c r="E186" s="2" t="s">
        <v>1781</v>
      </c>
      <c r="F186" s="2">
        <v>72</v>
      </c>
      <c r="G186" s="2" t="s">
        <v>25</v>
      </c>
      <c r="H186" s="13">
        <v>4</v>
      </c>
      <c r="I186" s="14">
        <v>8.0407664979564641E-2</v>
      </c>
    </row>
    <row r="187" spans="1:9" ht="14.25" customHeight="1" x14ac:dyDescent="0.3">
      <c r="A187" s="2" t="s">
        <v>541</v>
      </c>
      <c r="B187" s="2" t="s">
        <v>1766</v>
      </c>
      <c r="C187" s="12">
        <v>44744</v>
      </c>
      <c r="D187" s="2" t="s">
        <v>1782</v>
      </c>
      <c r="E187" s="2" t="s">
        <v>1783</v>
      </c>
      <c r="F187" s="2">
        <v>65</v>
      </c>
      <c r="G187" s="2" t="s">
        <v>23</v>
      </c>
      <c r="H187" s="13">
        <v>12</v>
      </c>
      <c r="I187" s="14">
        <v>0.38525936096781821</v>
      </c>
    </row>
    <row r="188" spans="1:9" ht="14.25" customHeight="1" x14ac:dyDescent="0.3">
      <c r="A188" s="2" t="s">
        <v>543</v>
      </c>
      <c r="B188" s="2" t="s">
        <v>1768</v>
      </c>
      <c r="C188" s="12">
        <v>44735</v>
      </c>
      <c r="D188" s="2" t="s">
        <v>1784</v>
      </c>
      <c r="E188" s="2" t="s">
        <v>1781</v>
      </c>
      <c r="F188" s="2">
        <v>250</v>
      </c>
      <c r="G188" s="2" t="s">
        <v>24</v>
      </c>
      <c r="H188" s="13">
        <v>1</v>
      </c>
      <c r="I188" s="14">
        <v>0.45507177071325888</v>
      </c>
    </row>
    <row r="189" spans="1:9" ht="14.25" customHeight="1" x14ac:dyDescent="0.3">
      <c r="A189" s="2" t="s">
        <v>545</v>
      </c>
      <c r="B189" s="2" t="s">
        <v>1770</v>
      </c>
      <c r="C189" s="12">
        <v>44751</v>
      </c>
      <c r="D189" s="2" t="s">
        <v>1785</v>
      </c>
      <c r="E189" s="2" t="s">
        <v>1783</v>
      </c>
      <c r="F189" s="2">
        <v>130</v>
      </c>
      <c r="G189" s="2" t="s">
        <v>25</v>
      </c>
      <c r="H189" s="13">
        <v>4</v>
      </c>
      <c r="I189" s="14">
        <v>0.93827031337312128</v>
      </c>
    </row>
    <row r="190" spans="1:9" ht="14.25" customHeight="1" x14ac:dyDescent="0.3">
      <c r="A190" s="2" t="s">
        <v>547</v>
      </c>
      <c r="B190" s="2" t="s">
        <v>1764</v>
      </c>
      <c r="C190" s="12">
        <v>44726</v>
      </c>
      <c r="D190" s="2" t="s">
        <v>1780</v>
      </c>
      <c r="E190" s="2" t="s">
        <v>1781</v>
      </c>
      <c r="F190" s="2">
        <v>72</v>
      </c>
      <c r="G190" s="2" t="s">
        <v>23</v>
      </c>
      <c r="H190" s="13">
        <v>7</v>
      </c>
      <c r="I190" s="14">
        <v>0.14716035331195043</v>
      </c>
    </row>
    <row r="191" spans="1:9" ht="14.25" customHeight="1" x14ac:dyDescent="0.3">
      <c r="A191" s="2" t="s">
        <v>549</v>
      </c>
      <c r="B191" s="2" t="s">
        <v>1766</v>
      </c>
      <c r="C191" s="12">
        <v>44749</v>
      </c>
      <c r="D191" s="2" t="s">
        <v>1782</v>
      </c>
      <c r="E191" s="2" t="s">
        <v>1783</v>
      </c>
      <c r="F191" s="2">
        <v>65</v>
      </c>
      <c r="G191" s="2" t="s">
        <v>24</v>
      </c>
      <c r="H191" s="13">
        <v>12</v>
      </c>
      <c r="I191" s="14">
        <v>0.10159867043013626</v>
      </c>
    </row>
    <row r="192" spans="1:9" ht="14.25" customHeight="1" x14ac:dyDescent="0.3">
      <c r="A192" s="2" t="s">
        <v>551</v>
      </c>
      <c r="B192" s="2" t="s">
        <v>1768</v>
      </c>
      <c r="C192" s="12">
        <v>44734</v>
      </c>
      <c r="D192" s="2" t="s">
        <v>1784</v>
      </c>
      <c r="E192" s="2" t="s">
        <v>1781</v>
      </c>
      <c r="F192" s="2">
        <v>250</v>
      </c>
      <c r="G192" s="2" t="s">
        <v>25</v>
      </c>
      <c r="H192" s="13">
        <v>2</v>
      </c>
      <c r="I192" s="14">
        <v>0.50060788399709522</v>
      </c>
    </row>
    <row r="193" spans="1:9" ht="14.25" customHeight="1" x14ac:dyDescent="0.3">
      <c r="A193" s="2" t="s">
        <v>553</v>
      </c>
      <c r="B193" s="2" t="s">
        <v>1770</v>
      </c>
      <c r="C193" s="12">
        <v>44726</v>
      </c>
      <c r="D193" s="2" t="s">
        <v>1785</v>
      </c>
      <c r="E193" s="2" t="s">
        <v>1783</v>
      </c>
      <c r="F193" s="2">
        <v>130</v>
      </c>
      <c r="G193" s="2" t="s">
        <v>23</v>
      </c>
      <c r="H193" s="13">
        <v>6</v>
      </c>
      <c r="I193" s="14">
        <v>0.70539643021834586</v>
      </c>
    </row>
    <row r="194" spans="1:9" ht="14.25" customHeight="1" x14ac:dyDescent="0.3">
      <c r="A194" s="2" t="s">
        <v>555</v>
      </c>
      <c r="B194" s="2" t="s">
        <v>1772</v>
      </c>
      <c r="C194" s="12">
        <v>44743</v>
      </c>
      <c r="D194" s="2" t="s">
        <v>1786</v>
      </c>
      <c r="E194" s="2" t="s">
        <v>1781</v>
      </c>
      <c r="F194" s="2">
        <v>60</v>
      </c>
      <c r="G194" s="2" t="s">
        <v>24</v>
      </c>
      <c r="H194" s="13">
        <v>12</v>
      </c>
      <c r="I194" s="14">
        <v>0.72481379032239401</v>
      </c>
    </row>
    <row r="195" spans="1:9" ht="14.25" customHeight="1" x14ac:dyDescent="0.3">
      <c r="A195" s="2" t="s">
        <v>557</v>
      </c>
      <c r="B195" s="2" t="s">
        <v>1764</v>
      </c>
      <c r="C195" s="12">
        <v>44742</v>
      </c>
      <c r="D195" s="2" t="s">
        <v>1780</v>
      </c>
      <c r="E195" s="2" t="s">
        <v>1783</v>
      </c>
      <c r="F195" s="2">
        <v>72</v>
      </c>
      <c r="G195" s="2" t="s">
        <v>25</v>
      </c>
      <c r="H195" s="13">
        <v>6</v>
      </c>
      <c r="I195" s="14">
        <v>0.21833121955544521</v>
      </c>
    </row>
    <row r="196" spans="1:9" ht="14.25" customHeight="1" x14ac:dyDescent="0.3">
      <c r="A196" s="2" t="s">
        <v>559</v>
      </c>
      <c r="B196" s="2" t="s">
        <v>1766</v>
      </c>
      <c r="C196" s="12">
        <v>44747</v>
      </c>
      <c r="D196" s="2" t="s">
        <v>1782</v>
      </c>
      <c r="E196" s="2" t="s">
        <v>1781</v>
      </c>
      <c r="F196" s="2">
        <v>65</v>
      </c>
      <c r="G196" s="2" t="s">
        <v>23</v>
      </c>
      <c r="H196" s="13">
        <v>8</v>
      </c>
      <c r="I196" s="14">
        <v>0.33253524453952932</v>
      </c>
    </row>
    <row r="197" spans="1:9" ht="14.25" customHeight="1" x14ac:dyDescent="0.3">
      <c r="A197" s="2" t="s">
        <v>561</v>
      </c>
      <c r="B197" s="2" t="s">
        <v>1768</v>
      </c>
      <c r="C197" s="12">
        <v>44764</v>
      </c>
      <c r="D197" s="2" t="s">
        <v>1784</v>
      </c>
      <c r="E197" s="2" t="s">
        <v>1783</v>
      </c>
      <c r="F197" s="2">
        <v>250</v>
      </c>
      <c r="G197" s="2" t="s">
        <v>24</v>
      </c>
      <c r="H197" s="13">
        <v>2</v>
      </c>
      <c r="I197" s="14">
        <v>0.39793552100289009</v>
      </c>
    </row>
    <row r="198" spans="1:9" ht="14.25" customHeight="1" x14ac:dyDescent="0.3">
      <c r="A198" s="2" t="s">
        <v>563</v>
      </c>
      <c r="B198" s="2" t="s">
        <v>1770</v>
      </c>
      <c r="C198" s="12">
        <v>44735</v>
      </c>
      <c r="D198" s="2" t="s">
        <v>1785</v>
      </c>
      <c r="E198" s="2" t="s">
        <v>1781</v>
      </c>
      <c r="F198" s="2">
        <v>130</v>
      </c>
      <c r="G198" s="2" t="s">
        <v>25</v>
      </c>
      <c r="H198" s="13">
        <v>4</v>
      </c>
      <c r="I198" s="14">
        <v>0.83519533088641318</v>
      </c>
    </row>
    <row r="199" spans="1:9" ht="14.25" customHeight="1" x14ac:dyDescent="0.3">
      <c r="A199" s="2" t="s">
        <v>565</v>
      </c>
      <c r="B199" s="2" t="s">
        <v>1764</v>
      </c>
      <c r="C199" s="12">
        <v>44737</v>
      </c>
      <c r="D199" s="2" t="s">
        <v>1780</v>
      </c>
      <c r="E199" s="2" t="s">
        <v>1783</v>
      </c>
      <c r="F199" s="2">
        <v>72</v>
      </c>
      <c r="G199" s="2" t="s">
        <v>23</v>
      </c>
      <c r="H199" s="13">
        <v>10</v>
      </c>
      <c r="I199" s="14">
        <v>8.7312208799101843E-3</v>
      </c>
    </row>
    <row r="200" spans="1:9" ht="14.25" customHeight="1" x14ac:dyDescent="0.3">
      <c r="A200" s="2" t="s">
        <v>567</v>
      </c>
      <c r="B200" s="2" t="s">
        <v>1766</v>
      </c>
      <c r="C200" s="12">
        <v>44749</v>
      </c>
      <c r="D200" s="2" t="s">
        <v>1782</v>
      </c>
      <c r="E200" s="2" t="s">
        <v>1781</v>
      </c>
      <c r="F200" s="2">
        <v>65</v>
      </c>
      <c r="G200" s="2" t="s">
        <v>24</v>
      </c>
      <c r="H200" s="13">
        <v>12</v>
      </c>
      <c r="I200" s="14">
        <v>0.95071636556912675</v>
      </c>
    </row>
    <row r="201" spans="1:9" ht="14.25" customHeight="1" x14ac:dyDescent="0.3">
      <c r="A201" s="2" t="s">
        <v>569</v>
      </c>
      <c r="B201" s="2" t="s">
        <v>1768</v>
      </c>
      <c r="C201" s="12">
        <v>44729</v>
      </c>
      <c r="D201" s="2" t="s">
        <v>1784</v>
      </c>
      <c r="E201" s="2" t="s">
        <v>1783</v>
      </c>
      <c r="F201" s="2">
        <v>250</v>
      </c>
      <c r="G201" s="2" t="s">
        <v>25</v>
      </c>
      <c r="H201" s="13">
        <v>4</v>
      </c>
      <c r="I201" s="14">
        <v>6.5110770871939172E-2</v>
      </c>
    </row>
    <row r="202" spans="1:9" ht="14.25" customHeight="1" x14ac:dyDescent="0.3">
      <c r="A202" s="2" t="s">
        <v>571</v>
      </c>
      <c r="B202" s="2" t="s">
        <v>1770</v>
      </c>
      <c r="C202" s="12">
        <v>44738</v>
      </c>
      <c r="D202" s="2" t="s">
        <v>1785</v>
      </c>
      <c r="E202" s="2" t="s">
        <v>1781</v>
      </c>
      <c r="F202" s="2">
        <v>130</v>
      </c>
      <c r="G202" s="2" t="s">
        <v>23</v>
      </c>
      <c r="H202" s="13">
        <v>6</v>
      </c>
      <c r="I202" s="14">
        <v>0.43772024513265795</v>
      </c>
    </row>
    <row r="203" spans="1:9" ht="14.25" customHeight="1" x14ac:dyDescent="0.3">
      <c r="A203" s="2" t="s">
        <v>573</v>
      </c>
      <c r="B203" s="2" t="s">
        <v>1772</v>
      </c>
      <c r="C203" s="12">
        <v>44740</v>
      </c>
      <c r="D203" s="2" t="s">
        <v>1786</v>
      </c>
      <c r="E203" s="2" t="s">
        <v>1781</v>
      </c>
      <c r="F203" s="2">
        <v>60</v>
      </c>
      <c r="G203" s="2" t="s">
        <v>24</v>
      </c>
      <c r="H203" s="13">
        <v>7</v>
      </c>
      <c r="I203" s="14">
        <v>0.41853663840169475</v>
      </c>
    </row>
    <row r="204" spans="1:9" ht="14.25" customHeight="1" x14ac:dyDescent="0.3">
      <c r="A204" s="2" t="s">
        <v>575</v>
      </c>
      <c r="B204" s="2" t="s">
        <v>1773</v>
      </c>
      <c r="C204" s="12">
        <v>44755</v>
      </c>
      <c r="D204" s="2" t="s">
        <v>1787</v>
      </c>
      <c r="E204" s="2" t="s">
        <v>1783</v>
      </c>
      <c r="F204" s="2">
        <v>95</v>
      </c>
      <c r="G204" s="2" t="s">
        <v>25</v>
      </c>
      <c r="H204" s="13">
        <v>7</v>
      </c>
      <c r="I204" s="14">
        <v>0.38824165845812764</v>
      </c>
    </row>
    <row r="205" spans="1:9" ht="14.25" customHeight="1" x14ac:dyDescent="0.3">
      <c r="A205" s="2" t="s">
        <v>577</v>
      </c>
      <c r="B205" s="2" t="s">
        <v>1764</v>
      </c>
      <c r="C205" s="12">
        <v>44755</v>
      </c>
      <c r="D205" s="2" t="s">
        <v>1780</v>
      </c>
      <c r="E205" s="2" t="s">
        <v>1783</v>
      </c>
      <c r="F205" s="2">
        <v>72</v>
      </c>
      <c r="G205" s="2" t="s">
        <v>23</v>
      </c>
      <c r="H205" s="13">
        <v>3</v>
      </c>
      <c r="I205" s="14">
        <v>0.75434060698733896</v>
      </c>
    </row>
    <row r="206" spans="1:9" ht="14.25" customHeight="1" x14ac:dyDescent="0.3">
      <c r="A206" s="2" t="s">
        <v>579</v>
      </c>
      <c r="B206" s="2" t="s">
        <v>1766</v>
      </c>
      <c r="C206" s="12">
        <v>44764</v>
      </c>
      <c r="D206" s="2" t="s">
        <v>1782</v>
      </c>
      <c r="E206" s="2" t="s">
        <v>1783</v>
      </c>
      <c r="F206" s="2">
        <v>65</v>
      </c>
      <c r="G206" s="2" t="s">
        <v>24</v>
      </c>
      <c r="H206" s="13">
        <v>12</v>
      </c>
      <c r="I206" s="14">
        <v>0.61587381700020483</v>
      </c>
    </row>
    <row r="207" spans="1:9" ht="14.25" customHeight="1" x14ac:dyDescent="0.3">
      <c r="A207" s="2" t="s">
        <v>581</v>
      </c>
      <c r="B207" s="2" t="s">
        <v>1768</v>
      </c>
      <c r="C207" s="12">
        <v>44735</v>
      </c>
      <c r="D207" s="2" t="s">
        <v>1784</v>
      </c>
      <c r="E207" s="2" t="s">
        <v>1781</v>
      </c>
      <c r="F207" s="2">
        <v>250</v>
      </c>
      <c r="G207" s="2" t="s">
        <v>25</v>
      </c>
      <c r="H207" s="13">
        <v>2</v>
      </c>
      <c r="I207" s="14">
        <v>0.80006888756762451</v>
      </c>
    </row>
    <row r="208" spans="1:9" ht="14.25" customHeight="1" x14ac:dyDescent="0.3">
      <c r="A208" s="2" t="s">
        <v>583</v>
      </c>
      <c r="B208" s="2" t="s">
        <v>1770</v>
      </c>
      <c r="C208" s="12">
        <v>44734</v>
      </c>
      <c r="D208" s="2" t="s">
        <v>1785</v>
      </c>
      <c r="E208" s="2" t="s">
        <v>1781</v>
      </c>
      <c r="F208" s="2">
        <v>130</v>
      </c>
      <c r="G208" s="2" t="s">
        <v>23</v>
      </c>
      <c r="H208" s="13">
        <v>5</v>
      </c>
      <c r="I208" s="14">
        <v>0.68228949683615203</v>
      </c>
    </row>
    <row r="209" spans="1:9" ht="14.25" customHeight="1" x14ac:dyDescent="0.3">
      <c r="A209" s="2" t="s">
        <v>585</v>
      </c>
      <c r="B209" s="2" t="s">
        <v>1764</v>
      </c>
      <c r="C209" s="12">
        <v>44728</v>
      </c>
      <c r="D209" s="2" t="s">
        <v>1780</v>
      </c>
      <c r="E209" s="2" t="s">
        <v>1781</v>
      </c>
      <c r="F209" s="2">
        <v>72</v>
      </c>
      <c r="G209" s="2" t="s">
        <v>24</v>
      </c>
      <c r="H209" s="13">
        <v>10</v>
      </c>
      <c r="I209" s="14">
        <v>1.6479509006877335E-2</v>
      </c>
    </row>
    <row r="210" spans="1:9" ht="14.25" customHeight="1" x14ac:dyDescent="0.3">
      <c r="A210" s="2" t="s">
        <v>587</v>
      </c>
      <c r="B210" s="2" t="s">
        <v>1766</v>
      </c>
      <c r="C210" s="12">
        <v>44739</v>
      </c>
      <c r="D210" s="2" t="s">
        <v>1782</v>
      </c>
      <c r="E210" s="2" t="s">
        <v>1781</v>
      </c>
      <c r="F210" s="2">
        <v>65</v>
      </c>
      <c r="G210" s="2" t="s">
        <v>25</v>
      </c>
      <c r="H210" s="13">
        <v>10</v>
      </c>
      <c r="I210" s="14">
        <v>0.23078123893127422</v>
      </c>
    </row>
    <row r="211" spans="1:9" ht="14.25" customHeight="1" x14ac:dyDescent="0.3">
      <c r="A211" s="2" t="s">
        <v>589</v>
      </c>
      <c r="B211" s="2" t="s">
        <v>1768</v>
      </c>
      <c r="C211" s="12">
        <v>44765</v>
      </c>
      <c r="D211" s="2" t="s">
        <v>1784</v>
      </c>
      <c r="E211" s="2" t="s">
        <v>1781</v>
      </c>
      <c r="F211" s="2">
        <v>250</v>
      </c>
      <c r="G211" s="2" t="s">
        <v>23</v>
      </c>
      <c r="H211" s="13">
        <v>3</v>
      </c>
      <c r="I211" s="14">
        <v>2.2225272121484729E-2</v>
      </c>
    </row>
    <row r="212" spans="1:9" ht="14.25" customHeight="1" x14ac:dyDescent="0.3">
      <c r="A212" s="2" t="s">
        <v>591</v>
      </c>
      <c r="B212" s="2" t="s">
        <v>1770</v>
      </c>
      <c r="C212" s="12">
        <v>44740</v>
      </c>
      <c r="D212" s="2" t="s">
        <v>1785</v>
      </c>
      <c r="E212" s="2" t="s">
        <v>1781</v>
      </c>
      <c r="F212" s="2">
        <v>130</v>
      </c>
      <c r="G212" s="2" t="s">
        <v>24</v>
      </c>
      <c r="H212" s="13">
        <v>3</v>
      </c>
      <c r="I212" s="14">
        <v>0.72206439626516772</v>
      </c>
    </row>
    <row r="213" spans="1:9" ht="14.25" customHeight="1" x14ac:dyDescent="0.3">
      <c r="A213" s="2" t="s">
        <v>593</v>
      </c>
      <c r="B213" s="2" t="s">
        <v>1772</v>
      </c>
      <c r="C213" s="12">
        <v>44734</v>
      </c>
      <c r="D213" s="2" t="s">
        <v>1786</v>
      </c>
      <c r="E213" s="2" t="s">
        <v>1781</v>
      </c>
      <c r="F213" s="2">
        <v>60</v>
      </c>
      <c r="G213" s="2" t="s">
        <v>25</v>
      </c>
      <c r="H213" s="13">
        <v>7</v>
      </c>
      <c r="I213" s="14">
        <v>0.66067744665264683</v>
      </c>
    </row>
    <row r="214" spans="1:9" ht="14.25" customHeight="1" x14ac:dyDescent="0.3">
      <c r="A214" s="2" t="s">
        <v>595</v>
      </c>
      <c r="B214" s="2" t="s">
        <v>1764</v>
      </c>
      <c r="C214" s="12">
        <v>44727</v>
      </c>
      <c r="D214" s="2" t="s">
        <v>1780</v>
      </c>
      <c r="E214" s="2" t="s">
        <v>1781</v>
      </c>
      <c r="F214" s="2">
        <v>72</v>
      </c>
      <c r="G214" s="2" t="s">
        <v>23</v>
      </c>
      <c r="H214" s="13">
        <v>6</v>
      </c>
      <c r="I214" s="14">
        <v>0.14048396352986114</v>
      </c>
    </row>
    <row r="215" spans="1:9" ht="14.25" customHeight="1" x14ac:dyDescent="0.3">
      <c r="A215" s="2" t="s">
        <v>597</v>
      </c>
      <c r="B215" s="2" t="s">
        <v>1766</v>
      </c>
      <c r="C215" s="12">
        <v>44737</v>
      </c>
      <c r="D215" s="2" t="s">
        <v>1782</v>
      </c>
      <c r="E215" s="2" t="s">
        <v>1781</v>
      </c>
      <c r="F215" s="2">
        <v>65</v>
      </c>
      <c r="G215" s="2" t="s">
        <v>24</v>
      </c>
      <c r="H215" s="13">
        <v>8</v>
      </c>
      <c r="I215" s="14">
        <v>0.37872981249566817</v>
      </c>
    </row>
    <row r="216" spans="1:9" ht="14.25" customHeight="1" x14ac:dyDescent="0.3">
      <c r="A216" s="2" t="s">
        <v>599</v>
      </c>
      <c r="B216" s="2" t="s">
        <v>1768</v>
      </c>
      <c r="C216" s="12">
        <v>44747</v>
      </c>
      <c r="D216" s="2" t="s">
        <v>1784</v>
      </c>
      <c r="E216" s="2" t="s">
        <v>1783</v>
      </c>
      <c r="F216" s="2">
        <v>250</v>
      </c>
      <c r="G216" s="2" t="s">
        <v>25</v>
      </c>
      <c r="H216" s="13">
        <v>2</v>
      </c>
      <c r="I216" s="14">
        <v>0.71515589694127546</v>
      </c>
    </row>
    <row r="217" spans="1:9" ht="14.25" customHeight="1" x14ac:dyDescent="0.3">
      <c r="A217" s="2" t="s">
        <v>601</v>
      </c>
      <c r="B217" s="2" t="s">
        <v>1770</v>
      </c>
      <c r="C217" s="12">
        <v>44754</v>
      </c>
      <c r="D217" s="2" t="s">
        <v>1785</v>
      </c>
      <c r="E217" s="2" t="s">
        <v>1781</v>
      </c>
      <c r="F217" s="2">
        <v>130</v>
      </c>
      <c r="G217" s="2" t="s">
        <v>23</v>
      </c>
      <c r="H217" s="13">
        <v>6</v>
      </c>
      <c r="I217" s="14">
        <v>0.21412519358799298</v>
      </c>
    </row>
    <row r="218" spans="1:9" ht="14.25" customHeight="1" x14ac:dyDescent="0.3">
      <c r="A218" s="2" t="s">
        <v>603</v>
      </c>
      <c r="B218" s="2" t="s">
        <v>1764</v>
      </c>
      <c r="C218" s="12">
        <v>44760</v>
      </c>
      <c r="D218" s="2" t="s">
        <v>1780</v>
      </c>
      <c r="E218" s="2" t="s">
        <v>1781</v>
      </c>
      <c r="F218" s="2">
        <v>72</v>
      </c>
      <c r="G218" s="2" t="s">
        <v>24</v>
      </c>
      <c r="H218" s="13">
        <v>6</v>
      </c>
      <c r="I218" s="14">
        <v>0.16455091596073168</v>
      </c>
    </row>
    <row r="219" spans="1:9" ht="14.25" customHeight="1" x14ac:dyDescent="0.3">
      <c r="A219" s="2" t="s">
        <v>605</v>
      </c>
      <c r="B219" s="2" t="s">
        <v>1766</v>
      </c>
      <c r="C219" s="12">
        <v>44759</v>
      </c>
      <c r="D219" s="2" t="s">
        <v>1782</v>
      </c>
      <c r="E219" s="2" t="s">
        <v>1781</v>
      </c>
      <c r="F219" s="2">
        <v>65</v>
      </c>
      <c r="G219" s="2" t="s">
        <v>25</v>
      </c>
      <c r="H219" s="13">
        <v>4</v>
      </c>
      <c r="I219" s="14">
        <v>0.25666907491668522</v>
      </c>
    </row>
    <row r="220" spans="1:9" ht="14.25" customHeight="1" x14ac:dyDescent="0.3">
      <c r="A220" s="2" t="s">
        <v>607</v>
      </c>
      <c r="B220" s="2" t="s">
        <v>1768</v>
      </c>
      <c r="C220" s="12">
        <v>44735</v>
      </c>
      <c r="D220" s="2" t="s">
        <v>1784</v>
      </c>
      <c r="E220" s="2" t="s">
        <v>1781</v>
      </c>
      <c r="F220" s="2">
        <v>250</v>
      </c>
      <c r="G220" s="2" t="s">
        <v>23</v>
      </c>
      <c r="H220" s="13">
        <v>3</v>
      </c>
      <c r="I220" s="14">
        <v>0.90160231788426648</v>
      </c>
    </row>
    <row r="221" spans="1:9" ht="14.25" customHeight="1" x14ac:dyDescent="0.3">
      <c r="A221" s="2" t="s">
        <v>609</v>
      </c>
      <c r="B221" s="2" t="s">
        <v>1770</v>
      </c>
      <c r="C221" s="12">
        <v>44734</v>
      </c>
      <c r="D221" s="2" t="s">
        <v>1785</v>
      </c>
      <c r="E221" s="2" t="s">
        <v>1781</v>
      </c>
      <c r="F221" s="2">
        <v>130</v>
      </c>
      <c r="G221" s="2" t="s">
        <v>24</v>
      </c>
      <c r="H221" s="13">
        <v>2</v>
      </c>
      <c r="I221" s="14">
        <v>0.320164833885899</v>
      </c>
    </row>
    <row r="222" spans="1:9" ht="14.25" customHeight="1" x14ac:dyDescent="0.3">
      <c r="A222" s="2" t="s">
        <v>611</v>
      </c>
      <c r="B222" s="2" t="s">
        <v>1772</v>
      </c>
      <c r="C222" s="12">
        <v>44753</v>
      </c>
      <c r="D222" s="2" t="s">
        <v>1786</v>
      </c>
      <c r="E222" s="2" t="s">
        <v>1783</v>
      </c>
      <c r="F222" s="2">
        <v>60</v>
      </c>
      <c r="G222" s="2" t="s">
        <v>25</v>
      </c>
      <c r="H222" s="13">
        <v>9</v>
      </c>
      <c r="I222" s="14">
        <v>0.13498450487731639</v>
      </c>
    </row>
    <row r="223" spans="1:9" ht="14.25" customHeight="1" x14ac:dyDescent="0.3">
      <c r="A223" s="2" t="s">
        <v>613</v>
      </c>
      <c r="B223" s="2" t="s">
        <v>1773</v>
      </c>
      <c r="C223" s="12">
        <v>44739</v>
      </c>
      <c r="D223" s="2" t="s">
        <v>1787</v>
      </c>
      <c r="E223" s="2" t="s">
        <v>1781</v>
      </c>
      <c r="F223" s="2">
        <v>95</v>
      </c>
      <c r="G223" s="2" t="s">
        <v>23</v>
      </c>
      <c r="H223" s="13">
        <v>5</v>
      </c>
      <c r="I223" s="14">
        <v>0.91789593738279973</v>
      </c>
    </row>
    <row r="224" spans="1:9" ht="14.25" customHeight="1" x14ac:dyDescent="0.3">
      <c r="A224" s="2" t="s">
        <v>615</v>
      </c>
      <c r="B224" s="2" t="s">
        <v>1764</v>
      </c>
      <c r="C224" s="12">
        <v>44740</v>
      </c>
      <c r="D224" s="2" t="s">
        <v>1780</v>
      </c>
      <c r="E224" s="2" t="s">
        <v>1781</v>
      </c>
      <c r="F224" s="2">
        <v>72</v>
      </c>
      <c r="G224" s="2" t="s">
        <v>24</v>
      </c>
      <c r="H224" s="13">
        <v>3</v>
      </c>
      <c r="I224" s="14">
        <v>0.98021726342122206</v>
      </c>
    </row>
    <row r="225" spans="1:9" ht="14.25" customHeight="1" x14ac:dyDescent="0.3">
      <c r="A225" s="2" t="s">
        <v>617</v>
      </c>
      <c r="B225" s="2" t="s">
        <v>1766</v>
      </c>
      <c r="C225" s="12">
        <v>44748</v>
      </c>
      <c r="D225" s="2" t="s">
        <v>1782</v>
      </c>
      <c r="E225" s="2" t="s">
        <v>1781</v>
      </c>
      <c r="F225" s="2">
        <v>65</v>
      </c>
      <c r="G225" s="2" t="s">
        <v>25</v>
      </c>
      <c r="H225" s="13">
        <v>7</v>
      </c>
      <c r="I225" s="14">
        <v>6.7354248366482961E-2</v>
      </c>
    </row>
    <row r="226" spans="1:9" ht="14.25" customHeight="1" x14ac:dyDescent="0.3">
      <c r="A226" s="2" t="s">
        <v>619</v>
      </c>
      <c r="B226" s="2" t="s">
        <v>1768</v>
      </c>
      <c r="C226" s="12">
        <v>44731</v>
      </c>
      <c r="D226" s="2" t="s">
        <v>1784</v>
      </c>
      <c r="E226" s="2" t="s">
        <v>1783</v>
      </c>
      <c r="F226" s="2">
        <v>250</v>
      </c>
      <c r="G226" s="2" t="s">
        <v>23</v>
      </c>
      <c r="H226" s="13">
        <v>2</v>
      </c>
      <c r="I226" s="14">
        <v>0.49907272133883429</v>
      </c>
    </row>
    <row r="227" spans="1:9" ht="14.25" customHeight="1" x14ac:dyDescent="0.3">
      <c r="A227" s="2" t="s">
        <v>621</v>
      </c>
      <c r="B227" s="2" t="s">
        <v>1770</v>
      </c>
      <c r="C227" s="12">
        <v>44763</v>
      </c>
      <c r="D227" s="2" t="s">
        <v>1785</v>
      </c>
      <c r="E227" s="2" t="s">
        <v>1783</v>
      </c>
      <c r="F227" s="2">
        <v>130</v>
      </c>
      <c r="G227" s="2" t="s">
        <v>24</v>
      </c>
      <c r="H227" s="13">
        <v>5</v>
      </c>
      <c r="I227" s="14">
        <v>0.61466468459589796</v>
      </c>
    </row>
    <row r="228" spans="1:9" ht="14.25" customHeight="1" x14ac:dyDescent="0.3">
      <c r="A228" s="2" t="s">
        <v>623</v>
      </c>
      <c r="B228" s="2" t="s">
        <v>1764</v>
      </c>
      <c r="C228" s="12">
        <v>44733</v>
      </c>
      <c r="D228" s="2" t="s">
        <v>1780</v>
      </c>
      <c r="E228" s="2" t="s">
        <v>1783</v>
      </c>
      <c r="F228" s="2">
        <v>72</v>
      </c>
      <c r="G228" s="2" t="s">
        <v>25</v>
      </c>
      <c r="H228" s="13">
        <v>7</v>
      </c>
      <c r="I228" s="14">
        <v>0.94639798804768638</v>
      </c>
    </row>
    <row r="229" spans="1:9" ht="14.25" customHeight="1" x14ac:dyDescent="0.3">
      <c r="A229" s="2" t="s">
        <v>625</v>
      </c>
      <c r="B229" s="2" t="s">
        <v>1766</v>
      </c>
      <c r="C229" s="12">
        <v>44746</v>
      </c>
      <c r="D229" s="2" t="s">
        <v>1782</v>
      </c>
      <c r="E229" s="2" t="s">
        <v>1783</v>
      </c>
      <c r="F229" s="2">
        <v>65</v>
      </c>
      <c r="G229" s="2" t="s">
        <v>23</v>
      </c>
      <c r="H229" s="13">
        <v>10</v>
      </c>
      <c r="I229" s="14">
        <v>0.95168663838417633</v>
      </c>
    </row>
    <row r="230" spans="1:9" ht="14.25" customHeight="1" x14ac:dyDescent="0.3">
      <c r="A230" s="2" t="s">
        <v>627</v>
      </c>
      <c r="B230" s="2" t="s">
        <v>1768</v>
      </c>
      <c r="C230" s="12">
        <v>44755</v>
      </c>
      <c r="D230" s="2" t="s">
        <v>1784</v>
      </c>
      <c r="E230" s="2" t="s">
        <v>1783</v>
      </c>
      <c r="F230" s="2">
        <v>250</v>
      </c>
      <c r="G230" s="2" t="s">
        <v>24</v>
      </c>
      <c r="H230" s="13">
        <v>2</v>
      </c>
      <c r="I230" s="14">
        <v>0.55958868077394219</v>
      </c>
    </row>
    <row r="231" spans="1:9" ht="14.25" customHeight="1" x14ac:dyDescent="0.3">
      <c r="A231" s="2" t="s">
        <v>629</v>
      </c>
      <c r="B231" s="2" t="s">
        <v>1770</v>
      </c>
      <c r="C231" s="12">
        <v>44755</v>
      </c>
      <c r="D231" s="2" t="s">
        <v>1785</v>
      </c>
      <c r="E231" s="2" t="s">
        <v>1783</v>
      </c>
      <c r="F231" s="2">
        <v>130</v>
      </c>
      <c r="G231" s="2" t="s">
        <v>25</v>
      </c>
      <c r="H231" s="13">
        <v>2</v>
      </c>
      <c r="I231" s="14">
        <v>0.81003936677165544</v>
      </c>
    </row>
    <row r="232" spans="1:9" ht="14.25" customHeight="1" x14ac:dyDescent="0.3">
      <c r="A232" s="2" t="s">
        <v>631</v>
      </c>
      <c r="B232" s="2" t="s">
        <v>1764</v>
      </c>
      <c r="C232" s="12">
        <v>44727</v>
      </c>
      <c r="D232" s="2" t="s">
        <v>1780</v>
      </c>
      <c r="E232" s="2" t="s">
        <v>1783</v>
      </c>
      <c r="F232" s="2">
        <v>72</v>
      </c>
      <c r="G232" s="2" t="s">
        <v>25</v>
      </c>
      <c r="H232" s="13">
        <v>12</v>
      </c>
      <c r="I232" s="14">
        <v>0.35450072343254235</v>
      </c>
    </row>
    <row r="233" spans="1:9" ht="14.25" customHeight="1" x14ac:dyDescent="0.3">
      <c r="A233" s="2" t="s">
        <v>633</v>
      </c>
      <c r="B233" s="2" t="s">
        <v>1766</v>
      </c>
      <c r="C233" s="12">
        <v>44746</v>
      </c>
      <c r="D233" s="2" t="s">
        <v>1782</v>
      </c>
      <c r="E233" s="2" t="s">
        <v>1781</v>
      </c>
      <c r="F233" s="2">
        <v>65</v>
      </c>
      <c r="G233" s="2" t="s">
        <v>23</v>
      </c>
      <c r="H233" s="13">
        <v>11</v>
      </c>
      <c r="I233" s="14">
        <v>0.34895469608332785</v>
      </c>
    </row>
    <row r="234" spans="1:9" ht="14.25" customHeight="1" x14ac:dyDescent="0.3">
      <c r="A234" s="2" t="s">
        <v>635</v>
      </c>
      <c r="B234" s="2" t="s">
        <v>1768</v>
      </c>
      <c r="C234" s="12">
        <v>44740</v>
      </c>
      <c r="D234" s="2" t="s">
        <v>1784</v>
      </c>
      <c r="E234" s="2" t="s">
        <v>1781</v>
      </c>
      <c r="F234" s="2">
        <v>250</v>
      </c>
      <c r="G234" s="2" t="s">
        <v>24</v>
      </c>
      <c r="H234" s="13">
        <v>2</v>
      </c>
      <c r="I234" s="14">
        <v>0.52279578451533193</v>
      </c>
    </row>
    <row r="235" spans="1:9" ht="14.25" customHeight="1" x14ac:dyDescent="0.3">
      <c r="A235" s="2" t="s">
        <v>637</v>
      </c>
      <c r="B235" s="2" t="s">
        <v>1770</v>
      </c>
      <c r="C235" s="12">
        <v>44743</v>
      </c>
      <c r="D235" s="2" t="s">
        <v>1785</v>
      </c>
      <c r="E235" s="2" t="s">
        <v>1781</v>
      </c>
      <c r="F235" s="2">
        <v>130</v>
      </c>
      <c r="G235" s="2" t="s">
        <v>25</v>
      </c>
      <c r="H235" s="13">
        <v>3</v>
      </c>
      <c r="I235" s="14">
        <v>0.69617887937852907</v>
      </c>
    </row>
    <row r="236" spans="1:9" ht="14.25" customHeight="1" x14ac:dyDescent="0.3">
      <c r="A236" s="2" t="s">
        <v>639</v>
      </c>
      <c r="B236" s="2" t="s">
        <v>1764</v>
      </c>
      <c r="C236" s="12">
        <v>44737</v>
      </c>
      <c r="D236" s="2" t="s">
        <v>1780</v>
      </c>
      <c r="E236" s="2" t="s">
        <v>1783</v>
      </c>
      <c r="F236" s="2">
        <v>72</v>
      </c>
      <c r="G236" s="2" t="s">
        <v>23</v>
      </c>
      <c r="H236" s="13">
        <v>6</v>
      </c>
      <c r="I236" s="14">
        <v>0.55638354082081654</v>
      </c>
    </row>
    <row r="237" spans="1:9" ht="14.25" customHeight="1" x14ac:dyDescent="0.3">
      <c r="A237" s="2" t="s">
        <v>641</v>
      </c>
      <c r="B237" s="2" t="s">
        <v>1766</v>
      </c>
      <c r="C237" s="12">
        <v>44757</v>
      </c>
      <c r="D237" s="2" t="s">
        <v>1782</v>
      </c>
      <c r="E237" s="2" t="s">
        <v>1783</v>
      </c>
      <c r="F237" s="2">
        <v>65</v>
      </c>
      <c r="G237" s="2" t="s">
        <v>24</v>
      </c>
      <c r="H237" s="13">
        <v>8</v>
      </c>
      <c r="I237" s="14">
        <v>7.8132692098414003E-2</v>
      </c>
    </row>
    <row r="238" spans="1:9" ht="14.25" customHeight="1" x14ac:dyDescent="0.3">
      <c r="A238" s="2" t="s">
        <v>643</v>
      </c>
      <c r="B238" s="2" t="s">
        <v>1768</v>
      </c>
      <c r="C238" s="12">
        <v>44745</v>
      </c>
      <c r="D238" s="2" t="s">
        <v>1784</v>
      </c>
      <c r="E238" s="2" t="s">
        <v>1783</v>
      </c>
      <c r="F238" s="2">
        <v>250</v>
      </c>
      <c r="G238" s="2" t="s">
        <v>25</v>
      </c>
      <c r="H238" s="13">
        <v>1</v>
      </c>
      <c r="I238" s="14">
        <v>0.37783112687678633</v>
      </c>
    </row>
    <row r="239" spans="1:9" ht="14.25" customHeight="1" x14ac:dyDescent="0.3">
      <c r="A239" s="2" t="s">
        <v>645</v>
      </c>
      <c r="B239" s="2" t="s">
        <v>1770</v>
      </c>
      <c r="C239" s="12">
        <v>44760</v>
      </c>
      <c r="D239" s="2" t="s">
        <v>1785</v>
      </c>
      <c r="E239" s="2" t="s">
        <v>1783</v>
      </c>
      <c r="F239" s="2">
        <v>130</v>
      </c>
      <c r="G239" s="2" t="s">
        <v>23</v>
      </c>
      <c r="H239" s="13">
        <v>7</v>
      </c>
      <c r="I239" s="14">
        <v>0.34200944354303275</v>
      </c>
    </row>
    <row r="240" spans="1:9" ht="14.25" customHeight="1" x14ac:dyDescent="0.3">
      <c r="A240" s="2" t="s">
        <v>647</v>
      </c>
      <c r="B240" s="2" t="s">
        <v>1772</v>
      </c>
      <c r="C240" s="12">
        <v>44750</v>
      </c>
      <c r="D240" s="2" t="s">
        <v>1786</v>
      </c>
      <c r="E240" s="2" t="s">
        <v>1783</v>
      </c>
      <c r="F240" s="2">
        <v>60</v>
      </c>
      <c r="G240" s="2" t="s">
        <v>24</v>
      </c>
      <c r="H240" s="13">
        <v>11</v>
      </c>
      <c r="I240" s="14">
        <v>0.92737976442865855</v>
      </c>
    </row>
    <row r="241" spans="1:9" ht="14.25" customHeight="1" x14ac:dyDescent="0.3">
      <c r="A241" s="2" t="s">
        <v>649</v>
      </c>
      <c r="B241" s="2" t="s">
        <v>1764</v>
      </c>
      <c r="C241" s="12">
        <v>44742</v>
      </c>
      <c r="D241" s="2" t="s">
        <v>1780</v>
      </c>
      <c r="E241" s="2" t="s">
        <v>1783</v>
      </c>
      <c r="F241" s="2">
        <v>72</v>
      </c>
      <c r="G241" s="2" t="s">
        <v>25</v>
      </c>
      <c r="H241" s="13">
        <v>6</v>
      </c>
      <c r="I241" s="14">
        <v>0.96938667185148797</v>
      </c>
    </row>
    <row r="242" spans="1:9" ht="14.25" customHeight="1" x14ac:dyDescent="0.3">
      <c r="A242" s="2" t="s">
        <v>651</v>
      </c>
      <c r="B242" s="2" t="s">
        <v>1766</v>
      </c>
      <c r="C242" s="12">
        <v>44754</v>
      </c>
      <c r="D242" s="2" t="s">
        <v>1782</v>
      </c>
      <c r="E242" s="2" t="s">
        <v>1783</v>
      </c>
      <c r="F242" s="2">
        <v>65</v>
      </c>
      <c r="G242" s="2" t="s">
        <v>23</v>
      </c>
      <c r="H242" s="13">
        <v>6</v>
      </c>
      <c r="I242" s="14">
        <v>0.24406307827004359</v>
      </c>
    </row>
    <row r="243" spans="1:9" ht="14.25" customHeight="1" x14ac:dyDescent="0.3">
      <c r="A243" s="2" t="s">
        <v>653</v>
      </c>
      <c r="B243" s="2" t="s">
        <v>1768</v>
      </c>
      <c r="C243" s="12">
        <v>44746</v>
      </c>
      <c r="D243" s="2" t="s">
        <v>1784</v>
      </c>
      <c r="E243" s="2" t="s">
        <v>1781</v>
      </c>
      <c r="F243" s="2">
        <v>250</v>
      </c>
      <c r="G243" s="2" t="s">
        <v>24</v>
      </c>
      <c r="H243" s="13">
        <v>2</v>
      </c>
      <c r="I243" s="14">
        <v>0.931057824254786</v>
      </c>
    </row>
    <row r="244" spans="1:9" ht="14.25" customHeight="1" x14ac:dyDescent="0.3">
      <c r="A244" s="2" t="s">
        <v>655</v>
      </c>
      <c r="B244" s="2" t="s">
        <v>1770</v>
      </c>
      <c r="C244" s="12">
        <v>44752</v>
      </c>
      <c r="D244" s="2" t="s">
        <v>1785</v>
      </c>
      <c r="E244" s="2" t="s">
        <v>1781</v>
      </c>
      <c r="F244" s="2">
        <v>130</v>
      </c>
      <c r="G244" s="2" t="s">
        <v>25</v>
      </c>
      <c r="H244" s="13">
        <v>4</v>
      </c>
      <c r="I244" s="14">
        <v>0.67570229189541975</v>
      </c>
    </row>
    <row r="245" spans="1:9" ht="14.25" customHeight="1" x14ac:dyDescent="0.3">
      <c r="A245" s="2" t="s">
        <v>657</v>
      </c>
      <c r="B245" s="2" t="s">
        <v>1764</v>
      </c>
      <c r="C245" s="12">
        <v>44725</v>
      </c>
      <c r="D245" s="2" t="s">
        <v>1780</v>
      </c>
      <c r="E245" s="2" t="s">
        <v>1781</v>
      </c>
      <c r="F245" s="2">
        <v>72</v>
      </c>
      <c r="G245" s="2" t="s">
        <v>23</v>
      </c>
      <c r="H245" s="13">
        <v>7</v>
      </c>
      <c r="I245" s="14">
        <v>0.91192982577548221</v>
      </c>
    </row>
    <row r="246" spans="1:9" ht="14.25" customHeight="1" x14ac:dyDescent="0.3">
      <c r="A246" s="2" t="s">
        <v>659</v>
      </c>
      <c r="B246" s="2" t="s">
        <v>1766</v>
      </c>
      <c r="C246" s="12">
        <v>44734</v>
      </c>
      <c r="D246" s="2" t="s">
        <v>1782</v>
      </c>
      <c r="E246" s="2" t="s">
        <v>1783</v>
      </c>
      <c r="F246" s="2">
        <v>65</v>
      </c>
      <c r="G246" s="2" t="s">
        <v>24</v>
      </c>
      <c r="H246" s="13">
        <v>13</v>
      </c>
      <c r="I246" s="14">
        <v>0.46313611506175134</v>
      </c>
    </row>
    <row r="247" spans="1:9" ht="14.25" customHeight="1" x14ac:dyDescent="0.3">
      <c r="A247" s="2" t="s">
        <v>661</v>
      </c>
      <c r="B247" s="2" t="s">
        <v>1768</v>
      </c>
      <c r="C247" s="12">
        <v>44761</v>
      </c>
      <c r="D247" s="2" t="s">
        <v>1784</v>
      </c>
      <c r="E247" s="2" t="s">
        <v>1783</v>
      </c>
      <c r="F247" s="2">
        <v>250</v>
      </c>
      <c r="G247" s="2" t="s">
        <v>25</v>
      </c>
      <c r="H247" s="13">
        <v>1</v>
      </c>
      <c r="I247" s="14">
        <v>5.3530222562513607E-2</v>
      </c>
    </row>
    <row r="248" spans="1:9" ht="14.25" customHeight="1" x14ac:dyDescent="0.3">
      <c r="A248" s="2" t="s">
        <v>663</v>
      </c>
      <c r="B248" s="2" t="s">
        <v>1770</v>
      </c>
      <c r="C248" s="12">
        <v>44735</v>
      </c>
      <c r="D248" s="2" t="s">
        <v>1785</v>
      </c>
      <c r="E248" s="2" t="s">
        <v>1783</v>
      </c>
      <c r="F248" s="2">
        <v>130</v>
      </c>
      <c r="G248" s="2" t="s">
        <v>23</v>
      </c>
      <c r="H248" s="13">
        <v>2</v>
      </c>
      <c r="I248" s="14">
        <v>0.10135414856508229</v>
      </c>
    </row>
    <row r="249" spans="1:9" ht="14.25" customHeight="1" x14ac:dyDescent="0.3">
      <c r="A249" s="2" t="s">
        <v>665</v>
      </c>
      <c r="B249" s="2" t="s">
        <v>1772</v>
      </c>
      <c r="C249" s="12">
        <v>44753</v>
      </c>
      <c r="D249" s="2" t="s">
        <v>1786</v>
      </c>
      <c r="E249" s="2" t="s">
        <v>1783</v>
      </c>
      <c r="F249" s="2">
        <v>60</v>
      </c>
      <c r="G249" s="2" t="s">
        <v>24</v>
      </c>
      <c r="H249" s="13">
        <v>10</v>
      </c>
      <c r="I249" s="14">
        <v>0.15413196820236597</v>
      </c>
    </row>
    <row r="250" spans="1:9" ht="14.25" customHeight="1" x14ac:dyDescent="0.3">
      <c r="A250" s="2" t="s">
        <v>667</v>
      </c>
      <c r="B250" s="2" t="s">
        <v>1773</v>
      </c>
      <c r="C250" s="12">
        <v>44732</v>
      </c>
      <c r="D250" s="2" t="s">
        <v>1787</v>
      </c>
      <c r="E250" s="2" t="s">
        <v>1783</v>
      </c>
      <c r="F250" s="2">
        <v>95</v>
      </c>
      <c r="G250" s="2" t="s">
        <v>25</v>
      </c>
      <c r="H250" s="13">
        <v>4</v>
      </c>
      <c r="I250" s="14">
        <v>0.99147229272651061</v>
      </c>
    </row>
    <row r="251" spans="1:9" ht="14.25" customHeight="1" x14ac:dyDescent="0.3">
      <c r="A251" s="2" t="s">
        <v>669</v>
      </c>
      <c r="B251" s="2" t="s">
        <v>1764</v>
      </c>
      <c r="C251" s="12">
        <v>44748</v>
      </c>
      <c r="D251" s="2" t="s">
        <v>1780</v>
      </c>
      <c r="E251" s="2" t="s">
        <v>1783</v>
      </c>
      <c r="F251" s="2">
        <v>72</v>
      </c>
      <c r="G251" s="2" t="s">
        <v>23</v>
      </c>
      <c r="H251" s="13">
        <v>4</v>
      </c>
      <c r="I251" s="14">
        <v>0.26792541838229555</v>
      </c>
    </row>
    <row r="252" spans="1:9" ht="14.25" customHeight="1" x14ac:dyDescent="0.3">
      <c r="A252" s="2" t="s">
        <v>671</v>
      </c>
      <c r="B252" s="2" t="s">
        <v>1766</v>
      </c>
      <c r="C252" s="12">
        <v>44731</v>
      </c>
      <c r="D252" s="2" t="s">
        <v>1782</v>
      </c>
      <c r="E252" s="2" t="s">
        <v>1783</v>
      </c>
      <c r="F252" s="2">
        <v>65</v>
      </c>
      <c r="G252" s="2" t="s">
        <v>24</v>
      </c>
      <c r="H252" s="13">
        <v>7</v>
      </c>
      <c r="I252" s="14">
        <v>0.67400237007588726</v>
      </c>
    </row>
    <row r="253" spans="1:9" ht="14.25" customHeight="1" x14ac:dyDescent="0.3">
      <c r="A253" s="2" t="s">
        <v>673</v>
      </c>
      <c r="B253" s="2" t="s">
        <v>1768</v>
      </c>
      <c r="C253" s="12">
        <v>44725</v>
      </c>
      <c r="D253" s="2" t="s">
        <v>1784</v>
      </c>
      <c r="E253" s="2" t="s">
        <v>1781</v>
      </c>
      <c r="F253" s="2">
        <v>250</v>
      </c>
      <c r="G253" s="2" t="s">
        <v>25</v>
      </c>
      <c r="H253" s="13">
        <v>2</v>
      </c>
      <c r="I253" s="14">
        <v>0.10779012567415547</v>
      </c>
    </row>
    <row r="254" spans="1:9" ht="14.25" customHeight="1" x14ac:dyDescent="0.3">
      <c r="A254" s="2" t="s">
        <v>675</v>
      </c>
      <c r="B254" s="2" t="s">
        <v>1770</v>
      </c>
      <c r="C254" s="12">
        <v>44753</v>
      </c>
      <c r="D254" s="2" t="s">
        <v>1785</v>
      </c>
      <c r="E254" s="2" t="s">
        <v>1781</v>
      </c>
      <c r="F254" s="2">
        <v>130</v>
      </c>
      <c r="G254" s="2" t="s">
        <v>23</v>
      </c>
      <c r="H254" s="13">
        <v>4</v>
      </c>
      <c r="I254" s="14">
        <v>6.5825812137458972E-2</v>
      </c>
    </row>
    <row r="255" spans="1:9" ht="14.25" customHeight="1" x14ac:dyDescent="0.3">
      <c r="A255" s="2" t="s">
        <v>677</v>
      </c>
      <c r="B255" s="2" t="s">
        <v>1764</v>
      </c>
      <c r="C255" s="12">
        <v>44738</v>
      </c>
      <c r="D255" s="2" t="s">
        <v>1780</v>
      </c>
      <c r="E255" s="2" t="s">
        <v>1781</v>
      </c>
      <c r="F255" s="2">
        <v>72</v>
      </c>
      <c r="G255" s="2" t="s">
        <v>24</v>
      </c>
      <c r="H255" s="13">
        <v>11</v>
      </c>
      <c r="I255" s="14">
        <v>0.36167362480508147</v>
      </c>
    </row>
    <row r="256" spans="1:9" ht="14.25" customHeight="1" x14ac:dyDescent="0.3">
      <c r="A256" s="2" t="s">
        <v>679</v>
      </c>
      <c r="B256" s="2" t="s">
        <v>1766</v>
      </c>
      <c r="C256" s="12">
        <v>44762</v>
      </c>
      <c r="D256" s="2" t="s">
        <v>1782</v>
      </c>
      <c r="E256" s="2" t="s">
        <v>1783</v>
      </c>
      <c r="F256" s="2">
        <v>65</v>
      </c>
      <c r="G256" s="2" t="s">
        <v>25</v>
      </c>
      <c r="H256" s="13">
        <v>9</v>
      </c>
      <c r="I256" s="14">
        <v>0.15611277710708626</v>
      </c>
    </row>
    <row r="257" spans="1:9" ht="14.25" customHeight="1" x14ac:dyDescent="0.3">
      <c r="A257" s="2" t="s">
        <v>681</v>
      </c>
      <c r="B257" s="2" t="s">
        <v>1768</v>
      </c>
      <c r="C257" s="12">
        <v>44756</v>
      </c>
      <c r="D257" s="2" t="s">
        <v>1784</v>
      </c>
      <c r="E257" s="2" t="s">
        <v>1783</v>
      </c>
      <c r="F257" s="2">
        <v>250</v>
      </c>
      <c r="G257" s="2" t="s">
        <v>23</v>
      </c>
      <c r="H257" s="13">
        <v>2</v>
      </c>
      <c r="I257" s="14">
        <v>0.11892962947938523</v>
      </c>
    </row>
    <row r="258" spans="1:9" ht="14.25" customHeight="1" x14ac:dyDescent="0.3">
      <c r="A258" s="2" t="s">
        <v>683</v>
      </c>
      <c r="B258" s="2" t="s">
        <v>1770</v>
      </c>
      <c r="C258" s="12">
        <v>44744</v>
      </c>
      <c r="D258" s="2" t="s">
        <v>1785</v>
      </c>
      <c r="E258" s="2" t="s">
        <v>1783</v>
      </c>
      <c r="F258" s="2">
        <v>130</v>
      </c>
      <c r="G258" s="2" t="s">
        <v>24</v>
      </c>
      <c r="H258" s="13">
        <v>5</v>
      </c>
      <c r="I258" s="14">
        <v>0.94178498482348294</v>
      </c>
    </row>
    <row r="259" spans="1:9" ht="14.25" customHeight="1" x14ac:dyDescent="0.3">
      <c r="A259" s="2" t="s">
        <v>685</v>
      </c>
      <c r="B259" s="2" t="s">
        <v>1772</v>
      </c>
      <c r="C259" s="12">
        <v>44753</v>
      </c>
      <c r="D259" s="2" t="s">
        <v>1786</v>
      </c>
      <c r="E259" s="2" t="s">
        <v>1783</v>
      </c>
      <c r="F259" s="2">
        <v>60</v>
      </c>
      <c r="G259" s="2" t="s">
        <v>25</v>
      </c>
      <c r="H259" s="13">
        <v>5</v>
      </c>
      <c r="I259" s="14">
        <v>0.82224390590219021</v>
      </c>
    </row>
    <row r="260" spans="1:9" ht="14.25" customHeight="1" x14ac:dyDescent="0.3">
      <c r="A260" s="2" t="s">
        <v>687</v>
      </c>
      <c r="B260" s="2" t="s">
        <v>1764</v>
      </c>
      <c r="C260" s="12">
        <v>44762</v>
      </c>
      <c r="D260" s="2" t="s">
        <v>1780</v>
      </c>
      <c r="E260" s="2" t="s">
        <v>1783</v>
      </c>
      <c r="F260" s="2">
        <v>72</v>
      </c>
      <c r="G260" s="2" t="s">
        <v>23</v>
      </c>
      <c r="H260" s="13">
        <v>10</v>
      </c>
      <c r="I260" s="14">
        <v>1.5473035826796155E-2</v>
      </c>
    </row>
    <row r="261" spans="1:9" ht="14.25" customHeight="1" x14ac:dyDescent="0.3">
      <c r="A261" s="2" t="s">
        <v>689</v>
      </c>
      <c r="B261" s="2" t="s">
        <v>1766</v>
      </c>
      <c r="C261" s="12">
        <v>44740</v>
      </c>
      <c r="D261" s="2" t="s">
        <v>1782</v>
      </c>
      <c r="E261" s="2" t="s">
        <v>1783</v>
      </c>
      <c r="F261" s="2">
        <v>65</v>
      </c>
      <c r="G261" s="2" t="s">
        <v>24</v>
      </c>
      <c r="H261" s="13">
        <v>3</v>
      </c>
      <c r="I261" s="14">
        <v>0.57002189482885535</v>
      </c>
    </row>
    <row r="262" spans="1:9" ht="14.25" customHeight="1" x14ac:dyDescent="0.3">
      <c r="A262" s="2" t="s">
        <v>691</v>
      </c>
      <c r="B262" s="2" t="s">
        <v>1768</v>
      </c>
      <c r="C262" s="12">
        <v>44729</v>
      </c>
      <c r="D262" s="2" t="s">
        <v>1784</v>
      </c>
      <c r="E262" s="2" t="s">
        <v>1781</v>
      </c>
      <c r="F262" s="2">
        <v>250</v>
      </c>
      <c r="G262" s="2" t="s">
        <v>25</v>
      </c>
      <c r="H262" s="13">
        <v>3</v>
      </c>
      <c r="I262" s="14">
        <v>0.22169123462523532</v>
      </c>
    </row>
    <row r="263" spans="1:9" ht="14.25" customHeight="1" x14ac:dyDescent="0.3">
      <c r="A263" s="2" t="s">
        <v>693</v>
      </c>
      <c r="B263" s="2" t="s">
        <v>1770</v>
      </c>
      <c r="C263" s="12">
        <v>44727</v>
      </c>
      <c r="D263" s="2" t="s">
        <v>1785</v>
      </c>
      <c r="E263" s="2" t="s">
        <v>1783</v>
      </c>
      <c r="F263" s="2">
        <v>130</v>
      </c>
      <c r="G263" s="2" t="s">
        <v>23</v>
      </c>
      <c r="H263" s="13">
        <v>6</v>
      </c>
      <c r="I263" s="14">
        <v>0.16327712663351335</v>
      </c>
    </row>
    <row r="264" spans="1:9" ht="14.25" customHeight="1" x14ac:dyDescent="0.3">
      <c r="A264" s="2" t="s">
        <v>695</v>
      </c>
      <c r="B264" s="2" t="s">
        <v>1764</v>
      </c>
      <c r="C264" s="12">
        <v>44734</v>
      </c>
      <c r="D264" s="2" t="s">
        <v>1780</v>
      </c>
      <c r="E264" s="2" t="s">
        <v>1781</v>
      </c>
      <c r="F264" s="2">
        <v>72</v>
      </c>
      <c r="G264" s="2" t="s">
        <v>24</v>
      </c>
      <c r="H264" s="13">
        <v>9</v>
      </c>
      <c r="I264" s="14">
        <v>0.71431849239690393</v>
      </c>
    </row>
    <row r="265" spans="1:9" ht="14.25" customHeight="1" x14ac:dyDescent="0.3">
      <c r="A265" s="2" t="s">
        <v>697</v>
      </c>
      <c r="B265" s="2" t="s">
        <v>1766</v>
      </c>
      <c r="C265" s="12">
        <v>44744</v>
      </c>
      <c r="D265" s="2" t="s">
        <v>1782</v>
      </c>
      <c r="E265" s="2" t="s">
        <v>1783</v>
      </c>
      <c r="F265" s="2">
        <v>65</v>
      </c>
      <c r="G265" s="2" t="s">
        <v>25</v>
      </c>
      <c r="H265" s="13">
        <v>7</v>
      </c>
      <c r="I265" s="14">
        <v>0.58151491016386692</v>
      </c>
    </row>
    <row r="266" spans="1:9" ht="14.25" customHeight="1" x14ac:dyDescent="0.3">
      <c r="A266" s="2" t="s">
        <v>699</v>
      </c>
      <c r="B266" s="2" t="s">
        <v>1768</v>
      </c>
      <c r="C266" s="12">
        <v>44737</v>
      </c>
      <c r="D266" s="2" t="s">
        <v>1784</v>
      </c>
      <c r="E266" s="2" t="s">
        <v>1781</v>
      </c>
      <c r="F266" s="2">
        <v>250</v>
      </c>
      <c r="G266" s="2" t="s">
        <v>23</v>
      </c>
      <c r="H266" s="13">
        <v>1</v>
      </c>
      <c r="I266" s="14">
        <v>0.94025500085845537</v>
      </c>
    </row>
    <row r="267" spans="1:9" ht="14.25" customHeight="1" x14ac:dyDescent="0.3">
      <c r="A267" s="2" t="s">
        <v>701</v>
      </c>
      <c r="B267" s="2" t="s">
        <v>1770</v>
      </c>
      <c r="C267" s="12">
        <v>44752</v>
      </c>
      <c r="D267" s="2" t="s">
        <v>1785</v>
      </c>
      <c r="E267" s="2" t="s">
        <v>1783</v>
      </c>
      <c r="F267" s="2">
        <v>130</v>
      </c>
      <c r="G267" s="2" t="s">
        <v>24</v>
      </c>
      <c r="H267" s="13">
        <v>3</v>
      </c>
      <c r="I267" s="14">
        <v>0.85696007733376245</v>
      </c>
    </row>
    <row r="268" spans="1:9" ht="14.25" customHeight="1" x14ac:dyDescent="0.3">
      <c r="A268" s="2" t="s">
        <v>703</v>
      </c>
      <c r="B268" s="2" t="s">
        <v>1772</v>
      </c>
      <c r="C268" s="12">
        <v>44736</v>
      </c>
      <c r="D268" s="2" t="s">
        <v>1786</v>
      </c>
      <c r="E268" s="2" t="s">
        <v>1781</v>
      </c>
      <c r="F268" s="2">
        <v>60</v>
      </c>
      <c r="G268" s="2" t="s">
        <v>25</v>
      </c>
      <c r="H268" s="13">
        <v>6</v>
      </c>
      <c r="I268" s="14">
        <v>0.73704670632037661</v>
      </c>
    </row>
    <row r="269" spans="1:9" ht="14.25" customHeight="1" x14ac:dyDescent="0.3">
      <c r="A269" s="2" t="s">
        <v>705</v>
      </c>
      <c r="B269" s="2" t="s">
        <v>1773</v>
      </c>
      <c r="C269" s="12">
        <v>44752</v>
      </c>
      <c r="D269" s="2" t="s">
        <v>1787</v>
      </c>
      <c r="E269" s="2" t="s">
        <v>1783</v>
      </c>
      <c r="F269" s="2">
        <v>95</v>
      </c>
      <c r="G269" s="2" t="s">
        <v>23</v>
      </c>
      <c r="H269" s="13">
        <v>5</v>
      </c>
      <c r="I269" s="14">
        <v>0.99556674564351355</v>
      </c>
    </row>
    <row r="270" spans="1:9" ht="14.25" customHeight="1" x14ac:dyDescent="0.3">
      <c r="A270" s="2" t="s">
        <v>707</v>
      </c>
      <c r="B270" s="2" t="s">
        <v>1764</v>
      </c>
      <c r="C270" s="12">
        <v>44759</v>
      </c>
      <c r="D270" s="2" t="s">
        <v>1780</v>
      </c>
      <c r="E270" s="2" t="s">
        <v>1781</v>
      </c>
      <c r="F270" s="2">
        <v>72</v>
      </c>
      <c r="G270" s="2" t="s">
        <v>24</v>
      </c>
      <c r="H270" s="13">
        <v>8</v>
      </c>
      <c r="I270" s="14">
        <v>0.82336237784945987</v>
      </c>
    </row>
    <row r="271" spans="1:9" ht="14.25" customHeight="1" x14ac:dyDescent="0.3">
      <c r="A271" s="2" t="s">
        <v>709</v>
      </c>
      <c r="B271" s="2" t="s">
        <v>1766</v>
      </c>
      <c r="C271" s="12">
        <v>44763</v>
      </c>
      <c r="D271" s="2" t="s">
        <v>1782</v>
      </c>
      <c r="E271" s="2" t="s">
        <v>1783</v>
      </c>
      <c r="F271" s="2">
        <v>65</v>
      </c>
      <c r="G271" s="2" t="s">
        <v>25</v>
      </c>
      <c r="H271" s="13">
        <v>13</v>
      </c>
      <c r="I271" s="14">
        <v>0.21429857063805535</v>
      </c>
    </row>
    <row r="272" spans="1:9" ht="14.25" customHeight="1" x14ac:dyDescent="0.3">
      <c r="A272" s="2" t="s">
        <v>711</v>
      </c>
      <c r="B272" s="2" t="s">
        <v>1768</v>
      </c>
      <c r="C272" s="12">
        <v>44763</v>
      </c>
      <c r="D272" s="2" t="s">
        <v>1784</v>
      </c>
      <c r="E272" s="2" t="s">
        <v>1781</v>
      </c>
      <c r="F272" s="2">
        <v>250</v>
      </c>
      <c r="G272" s="2" t="s">
        <v>23</v>
      </c>
      <c r="H272" s="13">
        <v>2</v>
      </c>
      <c r="I272" s="14">
        <v>0.9858246368711242</v>
      </c>
    </row>
    <row r="273" spans="1:9" ht="14.25" customHeight="1" x14ac:dyDescent="0.3">
      <c r="A273" s="2" t="s">
        <v>713</v>
      </c>
      <c r="B273" s="2" t="s">
        <v>1770</v>
      </c>
      <c r="C273" s="12">
        <v>44750</v>
      </c>
      <c r="D273" s="2" t="s">
        <v>1785</v>
      </c>
      <c r="E273" s="2" t="s">
        <v>1783</v>
      </c>
      <c r="F273" s="2">
        <v>130</v>
      </c>
      <c r="G273" s="2" t="s">
        <v>24</v>
      </c>
      <c r="H273" s="13">
        <v>6</v>
      </c>
      <c r="I273" s="14">
        <v>2.0787857004193944E-2</v>
      </c>
    </row>
    <row r="274" spans="1:9" ht="14.25" customHeight="1" x14ac:dyDescent="0.3">
      <c r="A274" s="2" t="s">
        <v>715</v>
      </c>
      <c r="B274" s="2" t="s">
        <v>1764</v>
      </c>
      <c r="C274" s="12">
        <v>44751</v>
      </c>
      <c r="D274" s="2" t="s">
        <v>1780</v>
      </c>
      <c r="E274" s="2" t="s">
        <v>1781</v>
      </c>
      <c r="F274" s="2">
        <v>72</v>
      </c>
      <c r="G274" s="2" t="s">
        <v>25</v>
      </c>
      <c r="H274" s="13">
        <v>8</v>
      </c>
      <c r="I274" s="14">
        <v>0.4043041551106823</v>
      </c>
    </row>
    <row r="275" spans="1:9" ht="14.25" customHeight="1" x14ac:dyDescent="0.3">
      <c r="A275" s="2" t="s">
        <v>717</v>
      </c>
      <c r="B275" s="2" t="s">
        <v>1766</v>
      </c>
      <c r="C275" s="12">
        <v>44736</v>
      </c>
      <c r="D275" s="2" t="s">
        <v>1782</v>
      </c>
      <c r="E275" s="2" t="s">
        <v>1783</v>
      </c>
      <c r="F275" s="2">
        <v>65</v>
      </c>
      <c r="G275" s="2" t="s">
        <v>23</v>
      </c>
      <c r="H275" s="13">
        <v>6</v>
      </c>
      <c r="I275" s="14">
        <v>0.86228936216370378</v>
      </c>
    </row>
    <row r="276" spans="1:9" ht="14.25" customHeight="1" x14ac:dyDescent="0.3">
      <c r="A276" s="2" t="s">
        <v>719</v>
      </c>
      <c r="B276" s="2" t="s">
        <v>1768</v>
      </c>
      <c r="C276" s="12">
        <v>44737</v>
      </c>
      <c r="D276" s="2" t="s">
        <v>1784</v>
      </c>
      <c r="E276" s="2" t="s">
        <v>1781</v>
      </c>
      <c r="F276" s="2">
        <v>250</v>
      </c>
      <c r="G276" s="2" t="s">
        <v>24</v>
      </c>
      <c r="H276" s="13">
        <v>3</v>
      </c>
      <c r="I276" s="14">
        <v>0.20267200262393703</v>
      </c>
    </row>
    <row r="277" spans="1:9" ht="14.25" customHeight="1" x14ac:dyDescent="0.3">
      <c r="A277" s="2" t="s">
        <v>721</v>
      </c>
      <c r="B277" s="2" t="s">
        <v>1770</v>
      </c>
      <c r="C277" s="12">
        <v>44744</v>
      </c>
      <c r="D277" s="2" t="s">
        <v>1780</v>
      </c>
      <c r="E277" s="2" t="s">
        <v>1783</v>
      </c>
      <c r="F277" s="2">
        <v>72</v>
      </c>
      <c r="G277" s="2" t="s">
        <v>25</v>
      </c>
      <c r="H277" s="13">
        <v>6</v>
      </c>
      <c r="I277" s="14">
        <v>0.42721330596562979</v>
      </c>
    </row>
    <row r="278" spans="1:9" ht="14.25" customHeight="1" x14ac:dyDescent="0.3">
      <c r="A278" s="2" t="s">
        <v>723</v>
      </c>
      <c r="B278" s="2" t="s">
        <v>1764</v>
      </c>
      <c r="C278" s="12">
        <v>44735</v>
      </c>
      <c r="D278" s="2" t="s">
        <v>1782</v>
      </c>
      <c r="E278" s="2" t="s">
        <v>1781</v>
      </c>
      <c r="F278" s="2">
        <v>65</v>
      </c>
      <c r="G278" s="2" t="s">
        <v>25</v>
      </c>
      <c r="H278" s="13">
        <v>13</v>
      </c>
      <c r="I278" s="14">
        <v>0.87108149970897442</v>
      </c>
    </row>
    <row r="279" spans="1:9" ht="14.25" customHeight="1" x14ac:dyDescent="0.3">
      <c r="A279" s="2" t="s">
        <v>725</v>
      </c>
      <c r="B279" s="2" t="s">
        <v>1766</v>
      </c>
      <c r="C279" s="12">
        <v>44751</v>
      </c>
      <c r="D279" s="2" t="s">
        <v>1784</v>
      </c>
      <c r="E279" s="2" t="s">
        <v>1783</v>
      </c>
      <c r="F279" s="2">
        <v>250</v>
      </c>
      <c r="G279" s="2" t="s">
        <v>23</v>
      </c>
      <c r="H279" s="13">
        <v>1</v>
      </c>
      <c r="I279" s="14">
        <v>2.6358009716956676E-2</v>
      </c>
    </row>
    <row r="280" spans="1:9" ht="14.25" customHeight="1" x14ac:dyDescent="0.3">
      <c r="A280" s="2" t="s">
        <v>727</v>
      </c>
      <c r="B280" s="2" t="s">
        <v>1768</v>
      </c>
      <c r="C280" s="12">
        <v>44726</v>
      </c>
      <c r="D280" s="2" t="s">
        <v>1785</v>
      </c>
      <c r="E280" s="2" t="s">
        <v>1783</v>
      </c>
      <c r="F280" s="2">
        <v>130</v>
      </c>
      <c r="G280" s="2" t="s">
        <v>24</v>
      </c>
      <c r="H280" s="13">
        <v>3</v>
      </c>
      <c r="I280" s="14">
        <v>0.77767785740350603</v>
      </c>
    </row>
    <row r="281" spans="1:9" ht="14.25" customHeight="1" x14ac:dyDescent="0.3">
      <c r="A281" s="2" t="s">
        <v>729</v>
      </c>
      <c r="B281" s="2" t="s">
        <v>1770</v>
      </c>
      <c r="C281" s="12">
        <v>44749</v>
      </c>
      <c r="D281" s="2" t="s">
        <v>1780</v>
      </c>
      <c r="E281" s="2" t="s">
        <v>1783</v>
      </c>
      <c r="F281" s="2">
        <v>72</v>
      </c>
      <c r="G281" s="2" t="s">
        <v>25</v>
      </c>
      <c r="H281" s="13">
        <v>3</v>
      </c>
      <c r="I281" s="14">
        <v>0.68682565144107521</v>
      </c>
    </row>
    <row r="282" spans="1:9" ht="14.25" customHeight="1" x14ac:dyDescent="0.3">
      <c r="A282" s="2" t="s">
        <v>731</v>
      </c>
      <c r="B282" s="2" t="s">
        <v>1764</v>
      </c>
      <c r="C282" s="12">
        <v>44734</v>
      </c>
      <c r="D282" s="2" t="s">
        <v>1782</v>
      </c>
      <c r="E282" s="2" t="s">
        <v>1783</v>
      </c>
      <c r="F282" s="2">
        <v>65</v>
      </c>
      <c r="G282" s="2" t="s">
        <v>23</v>
      </c>
      <c r="H282" s="13">
        <v>14</v>
      </c>
      <c r="I282" s="14">
        <v>0.58269109940879071</v>
      </c>
    </row>
    <row r="283" spans="1:9" ht="14.25" customHeight="1" x14ac:dyDescent="0.3">
      <c r="A283" s="2" t="s">
        <v>733</v>
      </c>
      <c r="B283" s="2" t="s">
        <v>1766</v>
      </c>
      <c r="C283" s="12">
        <v>44726</v>
      </c>
      <c r="D283" s="2" t="s">
        <v>1784</v>
      </c>
      <c r="E283" s="2" t="s">
        <v>1783</v>
      </c>
      <c r="F283" s="2">
        <v>250</v>
      </c>
      <c r="G283" s="2" t="s">
        <v>24</v>
      </c>
      <c r="H283" s="13">
        <v>3</v>
      </c>
      <c r="I283" s="14">
        <v>0.44339908275720785</v>
      </c>
    </row>
    <row r="284" spans="1:9" ht="14.25" customHeight="1" x14ac:dyDescent="0.3">
      <c r="A284" s="2" t="s">
        <v>735</v>
      </c>
      <c r="B284" s="2" t="s">
        <v>1768</v>
      </c>
      <c r="C284" s="12">
        <v>44743</v>
      </c>
      <c r="D284" s="2" t="s">
        <v>1785</v>
      </c>
      <c r="E284" s="2" t="s">
        <v>1781</v>
      </c>
      <c r="F284" s="2">
        <v>130</v>
      </c>
      <c r="G284" s="2" t="s">
        <v>25</v>
      </c>
      <c r="H284" s="13">
        <v>3</v>
      </c>
      <c r="I284" s="14">
        <v>0.12575036810320794</v>
      </c>
    </row>
    <row r="285" spans="1:9" ht="14.25" customHeight="1" x14ac:dyDescent="0.3">
      <c r="A285" s="2" t="s">
        <v>737</v>
      </c>
      <c r="B285" s="2" t="s">
        <v>1770</v>
      </c>
      <c r="C285" s="12">
        <v>44742</v>
      </c>
      <c r="D285" s="2" t="s">
        <v>1786</v>
      </c>
      <c r="E285" s="2" t="s">
        <v>1783</v>
      </c>
      <c r="F285" s="2">
        <v>60</v>
      </c>
      <c r="G285" s="2" t="s">
        <v>23</v>
      </c>
      <c r="H285" s="13">
        <v>13</v>
      </c>
      <c r="I285" s="14">
        <v>0.58443763111426095</v>
      </c>
    </row>
    <row r="286" spans="1:9" ht="14.25" customHeight="1" x14ac:dyDescent="0.3">
      <c r="A286" s="2" t="s">
        <v>739</v>
      </c>
      <c r="B286" s="2" t="s">
        <v>1772</v>
      </c>
      <c r="C286" s="12">
        <v>44747</v>
      </c>
      <c r="D286" s="2" t="s">
        <v>1780</v>
      </c>
      <c r="E286" s="2" t="s">
        <v>1781</v>
      </c>
      <c r="F286" s="2">
        <v>72</v>
      </c>
      <c r="G286" s="2" t="s">
        <v>24</v>
      </c>
      <c r="H286" s="13">
        <v>11</v>
      </c>
      <c r="I286" s="14">
        <v>0.20269838427382159</v>
      </c>
    </row>
    <row r="287" spans="1:9" ht="14.25" customHeight="1" x14ac:dyDescent="0.3">
      <c r="A287" s="2" t="s">
        <v>741</v>
      </c>
      <c r="B287" s="2" t="s">
        <v>1764</v>
      </c>
      <c r="C287" s="12">
        <v>44764</v>
      </c>
      <c r="D287" s="2" t="s">
        <v>1782</v>
      </c>
      <c r="E287" s="2" t="s">
        <v>1783</v>
      </c>
      <c r="F287" s="2">
        <v>65</v>
      </c>
      <c r="G287" s="2" t="s">
        <v>25</v>
      </c>
      <c r="H287" s="13">
        <v>5</v>
      </c>
      <c r="I287" s="14">
        <v>0.34588473967990274</v>
      </c>
    </row>
    <row r="288" spans="1:9" ht="14.25" customHeight="1" x14ac:dyDescent="0.3">
      <c r="A288" s="2" t="s">
        <v>743</v>
      </c>
      <c r="B288" s="2" t="s">
        <v>1766</v>
      </c>
      <c r="C288" s="12">
        <v>44735</v>
      </c>
      <c r="D288" s="2" t="s">
        <v>1784</v>
      </c>
      <c r="E288" s="2" t="s">
        <v>1781</v>
      </c>
      <c r="F288" s="2">
        <v>250</v>
      </c>
      <c r="G288" s="2" t="s">
        <v>23</v>
      </c>
      <c r="H288" s="13">
        <v>3</v>
      </c>
      <c r="I288" s="14">
        <v>0.44863071332488991</v>
      </c>
    </row>
    <row r="289" spans="1:9" ht="14.25" customHeight="1" x14ac:dyDescent="0.3">
      <c r="A289" s="2" t="s">
        <v>745</v>
      </c>
      <c r="B289" s="2" t="s">
        <v>1768</v>
      </c>
      <c r="C289" s="12">
        <v>44737</v>
      </c>
      <c r="D289" s="2" t="s">
        <v>1785</v>
      </c>
      <c r="E289" s="2" t="s">
        <v>1783</v>
      </c>
      <c r="F289" s="2">
        <v>130</v>
      </c>
      <c r="G289" s="2" t="s">
        <v>24</v>
      </c>
      <c r="H289" s="13">
        <v>2</v>
      </c>
      <c r="I289" s="14">
        <v>0.41195662281860623</v>
      </c>
    </row>
    <row r="290" spans="1:9" ht="14.25" customHeight="1" x14ac:dyDescent="0.3">
      <c r="A290" s="2" t="s">
        <v>747</v>
      </c>
      <c r="B290" s="2" t="s">
        <v>1770</v>
      </c>
      <c r="C290" s="12">
        <v>44749</v>
      </c>
      <c r="D290" s="2" t="s">
        <v>1780</v>
      </c>
      <c r="E290" s="2" t="s">
        <v>1781</v>
      </c>
      <c r="F290" s="2">
        <v>72</v>
      </c>
      <c r="G290" s="2" t="s">
        <v>25</v>
      </c>
      <c r="H290" s="13">
        <v>10</v>
      </c>
      <c r="I290" s="14">
        <v>0.78611978286567918</v>
      </c>
    </row>
    <row r="291" spans="1:9" ht="14.25" customHeight="1" x14ac:dyDescent="0.3">
      <c r="A291" s="2" t="s">
        <v>749</v>
      </c>
      <c r="B291" s="2" t="s">
        <v>1764</v>
      </c>
      <c r="C291" s="12">
        <v>44729</v>
      </c>
      <c r="D291" s="2" t="s">
        <v>1782</v>
      </c>
      <c r="E291" s="2" t="s">
        <v>1783</v>
      </c>
      <c r="F291" s="2">
        <v>65</v>
      </c>
      <c r="G291" s="2" t="s">
        <v>23</v>
      </c>
      <c r="H291" s="13">
        <v>12</v>
      </c>
      <c r="I291" s="14">
        <v>0.82093526112515247</v>
      </c>
    </row>
    <row r="292" spans="1:9" ht="14.25" customHeight="1" x14ac:dyDescent="0.3">
      <c r="A292" s="2" t="s">
        <v>751</v>
      </c>
      <c r="B292" s="2" t="s">
        <v>1766</v>
      </c>
      <c r="C292" s="12">
        <v>44738</v>
      </c>
      <c r="D292" s="2" t="s">
        <v>1784</v>
      </c>
      <c r="E292" s="2" t="s">
        <v>1781</v>
      </c>
      <c r="F292" s="2">
        <v>250</v>
      </c>
      <c r="G292" s="2" t="s">
        <v>24</v>
      </c>
      <c r="H292" s="13">
        <v>3</v>
      </c>
      <c r="I292" s="14">
        <v>0.5655055849614361</v>
      </c>
    </row>
    <row r="293" spans="1:9" ht="14.25" customHeight="1" x14ac:dyDescent="0.3">
      <c r="A293" s="2" t="s">
        <v>753</v>
      </c>
      <c r="B293" s="2" t="s">
        <v>1768</v>
      </c>
      <c r="C293" s="12">
        <v>44740</v>
      </c>
      <c r="D293" s="2" t="s">
        <v>1785</v>
      </c>
      <c r="E293" s="2" t="s">
        <v>1783</v>
      </c>
      <c r="F293" s="2">
        <v>130</v>
      </c>
      <c r="G293" s="2" t="s">
        <v>25</v>
      </c>
      <c r="H293" s="13">
        <v>4</v>
      </c>
      <c r="I293" s="14">
        <v>0.48001599413027629</v>
      </c>
    </row>
    <row r="294" spans="1:9" ht="14.25" customHeight="1" x14ac:dyDescent="0.3">
      <c r="A294" s="2" t="s">
        <v>755</v>
      </c>
      <c r="B294" s="2" t="s">
        <v>1770</v>
      </c>
      <c r="C294" s="12">
        <v>44755</v>
      </c>
      <c r="D294" s="2" t="s">
        <v>1786</v>
      </c>
      <c r="E294" s="2" t="s">
        <v>1781</v>
      </c>
      <c r="F294" s="2">
        <v>60</v>
      </c>
      <c r="G294" s="2" t="s">
        <v>23</v>
      </c>
      <c r="H294" s="13">
        <v>9</v>
      </c>
      <c r="I294" s="14">
        <v>0.80703544305681518</v>
      </c>
    </row>
    <row r="295" spans="1:9" ht="14.25" customHeight="1" x14ac:dyDescent="0.3">
      <c r="A295" s="2" t="s">
        <v>757</v>
      </c>
      <c r="B295" s="2" t="s">
        <v>1772</v>
      </c>
      <c r="C295" s="12">
        <v>44755</v>
      </c>
      <c r="D295" s="2" t="s">
        <v>1787</v>
      </c>
      <c r="E295" s="2" t="s">
        <v>1783</v>
      </c>
      <c r="F295" s="2">
        <v>95</v>
      </c>
      <c r="G295" s="2" t="s">
        <v>24</v>
      </c>
      <c r="H295" s="13">
        <v>6</v>
      </c>
      <c r="I295" s="14">
        <v>0.13472953271650978</v>
      </c>
    </row>
    <row r="296" spans="1:9" ht="14.25" customHeight="1" x14ac:dyDescent="0.3">
      <c r="A296" s="2" t="s">
        <v>759</v>
      </c>
      <c r="B296" s="2" t="s">
        <v>1773</v>
      </c>
      <c r="C296" s="12">
        <v>44764</v>
      </c>
      <c r="D296" s="2" t="s">
        <v>1780</v>
      </c>
      <c r="E296" s="2" t="s">
        <v>1781</v>
      </c>
      <c r="F296" s="2">
        <v>72</v>
      </c>
      <c r="G296" s="2" t="s">
        <v>25</v>
      </c>
      <c r="H296" s="13">
        <v>9</v>
      </c>
      <c r="I296" s="14">
        <v>0.53735244514022174</v>
      </c>
    </row>
    <row r="297" spans="1:9" ht="14.25" customHeight="1" x14ac:dyDescent="0.3">
      <c r="A297" s="2" t="s">
        <v>761</v>
      </c>
      <c r="B297" s="2" t="s">
        <v>1764</v>
      </c>
      <c r="C297" s="12">
        <v>44735</v>
      </c>
      <c r="D297" s="2" t="s">
        <v>1782</v>
      </c>
      <c r="E297" s="2" t="s">
        <v>1783</v>
      </c>
      <c r="F297" s="2">
        <v>65</v>
      </c>
      <c r="G297" s="2" t="s">
        <v>23</v>
      </c>
      <c r="H297" s="13">
        <v>10</v>
      </c>
      <c r="I297" s="14">
        <v>0.86493253723020291</v>
      </c>
    </row>
    <row r="298" spans="1:9" ht="14.25" customHeight="1" x14ac:dyDescent="0.3">
      <c r="A298" s="2" t="s">
        <v>763</v>
      </c>
      <c r="B298" s="2" t="s">
        <v>1766</v>
      </c>
      <c r="C298" s="12">
        <v>44734</v>
      </c>
      <c r="D298" s="2" t="s">
        <v>1784</v>
      </c>
      <c r="E298" s="2" t="s">
        <v>1781</v>
      </c>
      <c r="F298" s="2">
        <v>250</v>
      </c>
      <c r="G298" s="2" t="s">
        <v>24</v>
      </c>
      <c r="H298" s="13">
        <v>2</v>
      </c>
      <c r="I298" s="14">
        <v>0.14635193252367351</v>
      </c>
    </row>
    <row r="299" spans="1:9" ht="14.25" customHeight="1" x14ac:dyDescent="0.3">
      <c r="A299" s="2" t="s">
        <v>765</v>
      </c>
      <c r="B299" s="2" t="s">
        <v>1768</v>
      </c>
      <c r="C299" s="12">
        <v>44728</v>
      </c>
      <c r="D299" s="2" t="s">
        <v>1785</v>
      </c>
      <c r="E299" s="2" t="s">
        <v>1783</v>
      </c>
      <c r="F299" s="2">
        <v>130</v>
      </c>
      <c r="G299" s="2" t="s">
        <v>25</v>
      </c>
      <c r="H299" s="13">
        <v>5</v>
      </c>
      <c r="I299" s="14">
        <v>0.49930216593502397</v>
      </c>
    </row>
    <row r="300" spans="1:9" ht="14.25" customHeight="1" x14ac:dyDescent="0.3">
      <c r="A300" s="2" t="s">
        <v>767</v>
      </c>
      <c r="B300" s="2" t="s">
        <v>1770</v>
      </c>
      <c r="C300" s="12">
        <v>44739</v>
      </c>
      <c r="D300" s="2" t="s">
        <v>1780</v>
      </c>
      <c r="E300" s="2" t="s">
        <v>1781</v>
      </c>
      <c r="F300" s="2">
        <v>72</v>
      </c>
      <c r="G300" s="2" t="s">
        <v>23</v>
      </c>
      <c r="H300" s="13">
        <v>4</v>
      </c>
      <c r="I300" s="14">
        <v>0.16760369217058779</v>
      </c>
    </row>
    <row r="301" spans="1:9" ht="14.25" customHeight="1" x14ac:dyDescent="0.3">
      <c r="A301" s="2" t="s">
        <v>769</v>
      </c>
      <c r="B301" s="2" t="s">
        <v>1764</v>
      </c>
      <c r="C301" s="12">
        <v>44765</v>
      </c>
      <c r="D301" s="2" t="s">
        <v>1782</v>
      </c>
      <c r="E301" s="2" t="s">
        <v>1783</v>
      </c>
      <c r="F301" s="2">
        <v>65</v>
      </c>
      <c r="G301" s="2" t="s">
        <v>24</v>
      </c>
      <c r="H301" s="13">
        <v>13</v>
      </c>
      <c r="I301" s="14">
        <v>0.57040391639924315</v>
      </c>
    </row>
    <row r="302" spans="1:9" ht="14.25" customHeight="1" x14ac:dyDescent="0.3">
      <c r="A302" s="2" t="s">
        <v>771</v>
      </c>
      <c r="B302" s="2" t="s">
        <v>1766</v>
      </c>
      <c r="C302" s="12">
        <v>44740</v>
      </c>
      <c r="D302" s="2" t="s">
        <v>1784</v>
      </c>
      <c r="E302" s="2" t="s">
        <v>1783</v>
      </c>
      <c r="F302" s="2">
        <v>250</v>
      </c>
      <c r="G302" s="2" t="s">
        <v>25</v>
      </c>
      <c r="H302" s="13">
        <v>2</v>
      </c>
      <c r="I302" s="14">
        <v>0.35240472893682595</v>
      </c>
    </row>
    <row r="303" spans="1:9" ht="14.25" customHeight="1" x14ac:dyDescent="0.3">
      <c r="A303" s="2" t="s">
        <v>773</v>
      </c>
      <c r="B303" s="2" t="s">
        <v>1768</v>
      </c>
      <c r="C303" s="12">
        <v>44734</v>
      </c>
      <c r="D303" s="2" t="s">
        <v>1785</v>
      </c>
      <c r="E303" s="2" t="s">
        <v>1783</v>
      </c>
      <c r="F303" s="2">
        <v>130</v>
      </c>
      <c r="G303" s="2" t="s">
        <v>23</v>
      </c>
      <c r="H303" s="13">
        <v>3</v>
      </c>
      <c r="I303" s="14">
        <v>0.11208092156242278</v>
      </c>
    </row>
    <row r="304" spans="1:9" ht="14.25" customHeight="1" x14ac:dyDescent="0.3">
      <c r="A304" s="2" t="s">
        <v>775</v>
      </c>
      <c r="B304" s="2" t="s">
        <v>1770</v>
      </c>
      <c r="C304" s="12">
        <v>44727</v>
      </c>
      <c r="D304" s="2" t="s">
        <v>1786</v>
      </c>
      <c r="E304" s="2" t="s">
        <v>1783</v>
      </c>
      <c r="F304" s="2">
        <v>60</v>
      </c>
      <c r="G304" s="2" t="s">
        <v>24</v>
      </c>
      <c r="H304" s="13">
        <v>10</v>
      </c>
      <c r="I304" s="14">
        <v>0.57839134647100132</v>
      </c>
    </row>
    <row r="305" spans="1:9" ht="14.25" customHeight="1" x14ac:dyDescent="0.3">
      <c r="A305" s="2" t="s">
        <v>777</v>
      </c>
      <c r="B305" s="2" t="s">
        <v>1772</v>
      </c>
      <c r="C305" s="12">
        <v>44737</v>
      </c>
      <c r="D305" s="2" t="s">
        <v>1780</v>
      </c>
      <c r="E305" s="2" t="s">
        <v>1783</v>
      </c>
      <c r="F305" s="2">
        <v>72</v>
      </c>
      <c r="G305" s="2" t="s">
        <v>25</v>
      </c>
      <c r="H305" s="13">
        <v>9</v>
      </c>
      <c r="I305" s="14">
        <v>0.18785567306752626</v>
      </c>
    </row>
    <row r="306" spans="1:9" ht="14.25" customHeight="1" x14ac:dyDescent="0.3">
      <c r="A306" s="2" t="s">
        <v>779</v>
      </c>
      <c r="B306" s="2" t="s">
        <v>1764</v>
      </c>
      <c r="C306" s="12">
        <v>44747</v>
      </c>
      <c r="D306" s="2" t="s">
        <v>1782</v>
      </c>
      <c r="E306" s="2" t="s">
        <v>1781</v>
      </c>
      <c r="F306" s="2">
        <v>65</v>
      </c>
      <c r="G306" s="2" t="s">
        <v>23</v>
      </c>
      <c r="H306" s="13">
        <v>8</v>
      </c>
      <c r="I306" s="14">
        <v>0.69234786906479862</v>
      </c>
    </row>
    <row r="307" spans="1:9" ht="14.25" customHeight="1" x14ac:dyDescent="0.3">
      <c r="A307" s="2" t="s">
        <v>781</v>
      </c>
      <c r="B307" s="2" t="s">
        <v>1766</v>
      </c>
      <c r="C307" s="12">
        <v>44754</v>
      </c>
      <c r="D307" s="2" t="s">
        <v>1784</v>
      </c>
      <c r="E307" s="2" t="s">
        <v>1783</v>
      </c>
      <c r="F307" s="2">
        <v>250</v>
      </c>
      <c r="G307" s="2" t="s">
        <v>24</v>
      </c>
      <c r="H307" s="13">
        <v>3</v>
      </c>
      <c r="I307" s="14">
        <v>0.7313105471637672</v>
      </c>
    </row>
    <row r="308" spans="1:9" ht="14.25" customHeight="1" x14ac:dyDescent="0.3">
      <c r="A308" s="2" t="s">
        <v>783</v>
      </c>
      <c r="B308" s="2" t="s">
        <v>1768</v>
      </c>
      <c r="C308" s="12">
        <v>44760</v>
      </c>
      <c r="D308" s="2" t="s">
        <v>1785</v>
      </c>
      <c r="E308" s="2" t="s">
        <v>1781</v>
      </c>
      <c r="F308" s="2">
        <v>130</v>
      </c>
      <c r="G308" s="2" t="s">
        <v>25</v>
      </c>
      <c r="H308" s="13">
        <v>3</v>
      </c>
      <c r="I308" s="14">
        <v>0.39651294953245186</v>
      </c>
    </row>
    <row r="309" spans="1:9" ht="14.25" customHeight="1" x14ac:dyDescent="0.3">
      <c r="A309" s="2" t="s">
        <v>785</v>
      </c>
      <c r="B309" s="2" t="s">
        <v>1770</v>
      </c>
      <c r="C309" s="12">
        <v>44759</v>
      </c>
      <c r="D309" s="2" t="s">
        <v>1780</v>
      </c>
      <c r="E309" s="2" t="s">
        <v>1783</v>
      </c>
      <c r="F309" s="2">
        <v>72</v>
      </c>
      <c r="G309" s="2" t="s">
        <v>23</v>
      </c>
      <c r="H309" s="13">
        <v>5</v>
      </c>
      <c r="I309" s="14">
        <v>0.47053293956185105</v>
      </c>
    </row>
    <row r="310" spans="1:9" ht="14.25" customHeight="1" x14ac:dyDescent="0.3">
      <c r="A310" s="2" t="s">
        <v>787</v>
      </c>
      <c r="B310" s="2" t="s">
        <v>1764</v>
      </c>
      <c r="C310" s="12">
        <v>44735</v>
      </c>
      <c r="D310" s="2" t="s">
        <v>1782</v>
      </c>
      <c r="E310" s="2" t="s">
        <v>1781</v>
      </c>
      <c r="F310" s="2">
        <v>65</v>
      </c>
      <c r="G310" s="2" t="s">
        <v>24</v>
      </c>
      <c r="H310" s="13">
        <v>9</v>
      </c>
      <c r="I310" s="14">
        <v>0.9022424845836422</v>
      </c>
    </row>
    <row r="311" spans="1:9" ht="14.25" customHeight="1" x14ac:dyDescent="0.3">
      <c r="A311" s="2" t="s">
        <v>789</v>
      </c>
      <c r="B311" s="2" t="s">
        <v>1766</v>
      </c>
      <c r="C311" s="12">
        <v>44734</v>
      </c>
      <c r="D311" s="2" t="s">
        <v>1784</v>
      </c>
      <c r="E311" s="2" t="s">
        <v>1783</v>
      </c>
      <c r="F311" s="2">
        <v>250</v>
      </c>
      <c r="G311" s="2" t="s">
        <v>25</v>
      </c>
      <c r="H311" s="13">
        <v>1</v>
      </c>
      <c r="I311" s="14">
        <v>0.25057968884738369</v>
      </c>
    </row>
    <row r="312" spans="1:9" ht="14.25" customHeight="1" x14ac:dyDescent="0.3">
      <c r="A312" s="2" t="s">
        <v>791</v>
      </c>
      <c r="B312" s="2" t="s">
        <v>1768</v>
      </c>
      <c r="C312" s="12">
        <v>44753</v>
      </c>
      <c r="D312" s="2" t="s">
        <v>1785</v>
      </c>
      <c r="E312" s="2" t="s">
        <v>1781</v>
      </c>
      <c r="F312" s="2">
        <v>130</v>
      </c>
      <c r="G312" s="2" t="s">
        <v>23</v>
      </c>
      <c r="H312" s="13">
        <v>4</v>
      </c>
      <c r="I312" s="14">
        <v>0.56892266919679113</v>
      </c>
    </row>
    <row r="313" spans="1:9" ht="14.25" customHeight="1" x14ac:dyDescent="0.3">
      <c r="A313" s="2" t="s">
        <v>793</v>
      </c>
      <c r="B313" s="2" t="s">
        <v>1770</v>
      </c>
      <c r="C313" s="12">
        <v>44739</v>
      </c>
      <c r="D313" s="2" t="s">
        <v>1786</v>
      </c>
      <c r="E313" s="2" t="s">
        <v>1783</v>
      </c>
      <c r="F313" s="2">
        <v>60</v>
      </c>
      <c r="G313" s="2" t="s">
        <v>24</v>
      </c>
      <c r="H313" s="13">
        <v>6</v>
      </c>
      <c r="I313" s="14">
        <v>3.357106137416721E-2</v>
      </c>
    </row>
    <row r="314" spans="1:9" ht="14.25" customHeight="1" x14ac:dyDescent="0.3">
      <c r="A314" s="2" t="s">
        <v>795</v>
      </c>
      <c r="B314" s="2" t="s">
        <v>1772</v>
      </c>
      <c r="C314" s="12">
        <v>44740</v>
      </c>
      <c r="D314" s="2" t="s">
        <v>1787</v>
      </c>
      <c r="E314" s="2" t="s">
        <v>1781</v>
      </c>
      <c r="F314" s="2">
        <v>95</v>
      </c>
      <c r="G314" s="2" t="s">
        <v>25</v>
      </c>
      <c r="H314" s="13">
        <v>4</v>
      </c>
      <c r="I314" s="14">
        <v>0.11797039324964398</v>
      </c>
    </row>
    <row r="315" spans="1:9" ht="14.25" customHeight="1" x14ac:dyDescent="0.3">
      <c r="A315" s="2" t="s">
        <v>797</v>
      </c>
      <c r="B315" s="2" t="s">
        <v>1773</v>
      </c>
      <c r="C315" s="12">
        <v>44748</v>
      </c>
      <c r="D315" s="2" t="s">
        <v>1780</v>
      </c>
      <c r="E315" s="2" t="s">
        <v>1783</v>
      </c>
      <c r="F315" s="2">
        <v>72</v>
      </c>
      <c r="G315" s="2" t="s">
        <v>23</v>
      </c>
      <c r="H315" s="13">
        <v>8</v>
      </c>
      <c r="I315" s="14">
        <v>2.8176385964748696E-2</v>
      </c>
    </row>
    <row r="316" spans="1:9" ht="14.25" customHeight="1" x14ac:dyDescent="0.3">
      <c r="A316" s="2" t="s">
        <v>799</v>
      </c>
      <c r="B316" s="2" t="s">
        <v>1764</v>
      </c>
      <c r="C316" s="12">
        <v>44731</v>
      </c>
      <c r="D316" s="2" t="s">
        <v>1782</v>
      </c>
      <c r="E316" s="2" t="s">
        <v>1781</v>
      </c>
      <c r="F316" s="2">
        <v>65</v>
      </c>
      <c r="G316" s="2" t="s">
        <v>24</v>
      </c>
      <c r="H316" s="13">
        <v>8</v>
      </c>
      <c r="I316" s="14">
        <v>0.66941136725758887</v>
      </c>
    </row>
    <row r="317" spans="1:9" ht="14.25" customHeight="1" x14ac:dyDescent="0.3">
      <c r="A317" s="2" t="s">
        <v>801</v>
      </c>
      <c r="B317" s="2" t="s">
        <v>1766</v>
      </c>
      <c r="C317" s="12">
        <v>44763</v>
      </c>
      <c r="D317" s="2" t="s">
        <v>1784</v>
      </c>
      <c r="E317" s="2" t="s">
        <v>1783</v>
      </c>
      <c r="F317" s="2">
        <v>250</v>
      </c>
      <c r="G317" s="2" t="s">
        <v>25</v>
      </c>
      <c r="H317" s="13">
        <v>2</v>
      </c>
      <c r="I317" s="14">
        <v>0.36448172495541775</v>
      </c>
    </row>
    <row r="318" spans="1:9" ht="14.25" customHeight="1" x14ac:dyDescent="0.3">
      <c r="A318" s="2" t="s">
        <v>803</v>
      </c>
      <c r="B318" s="2" t="s">
        <v>1768</v>
      </c>
      <c r="C318" s="12">
        <v>44733</v>
      </c>
      <c r="D318" s="2" t="s">
        <v>1785</v>
      </c>
      <c r="E318" s="2" t="s">
        <v>1781</v>
      </c>
      <c r="F318" s="2">
        <v>130</v>
      </c>
      <c r="G318" s="2" t="s">
        <v>23</v>
      </c>
      <c r="H318" s="13">
        <v>7</v>
      </c>
      <c r="I318" s="14">
        <v>0.15416488306079768</v>
      </c>
    </row>
    <row r="319" spans="1:9" ht="14.25" customHeight="1" x14ac:dyDescent="0.3">
      <c r="A319" s="2" t="s">
        <v>805</v>
      </c>
      <c r="B319" s="2" t="s">
        <v>1770</v>
      </c>
      <c r="C319" s="12">
        <v>44746</v>
      </c>
      <c r="D319" s="2" t="s">
        <v>1780</v>
      </c>
      <c r="E319" s="2" t="s">
        <v>1783</v>
      </c>
      <c r="F319" s="2">
        <v>72</v>
      </c>
      <c r="G319" s="2" t="s">
        <v>24</v>
      </c>
      <c r="H319" s="13">
        <v>7</v>
      </c>
      <c r="I319" s="14">
        <v>0.66646609625242947</v>
      </c>
    </row>
    <row r="320" spans="1:9" ht="14.25" customHeight="1" x14ac:dyDescent="0.3">
      <c r="A320" s="2" t="s">
        <v>807</v>
      </c>
      <c r="B320" s="2" t="s">
        <v>1764</v>
      </c>
      <c r="C320" s="12">
        <v>44755</v>
      </c>
      <c r="D320" s="2" t="s">
        <v>1782</v>
      </c>
      <c r="E320" s="2" t="s">
        <v>1781</v>
      </c>
      <c r="F320" s="2">
        <v>65</v>
      </c>
      <c r="G320" s="2" t="s">
        <v>25</v>
      </c>
      <c r="H320" s="13">
        <v>4</v>
      </c>
      <c r="I320" s="14">
        <v>0.69183752034253276</v>
      </c>
    </row>
    <row r="321" spans="1:9" ht="14.25" customHeight="1" x14ac:dyDescent="0.3">
      <c r="A321" s="2" t="s">
        <v>809</v>
      </c>
      <c r="B321" s="2" t="s">
        <v>1766</v>
      </c>
      <c r="C321" s="12">
        <v>44755</v>
      </c>
      <c r="D321" s="2" t="s">
        <v>1784</v>
      </c>
      <c r="E321" s="2" t="s">
        <v>1783</v>
      </c>
      <c r="F321" s="2">
        <v>250</v>
      </c>
      <c r="G321" s="2" t="s">
        <v>23</v>
      </c>
      <c r="H321" s="13">
        <v>2</v>
      </c>
      <c r="I321" s="14">
        <v>0.14649599591234685</v>
      </c>
    </row>
    <row r="322" spans="1:9" ht="14.25" customHeight="1" x14ac:dyDescent="0.3">
      <c r="A322" s="2" t="s">
        <v>811</v>
      </c>
      <c r="B322" s="2" t="s">
        <v>1768</v>
      </c>
      <c r="C322" s="12">
        <v>44727</v>
      </c>
      <c r="D322" s="2" t="s">
        <v>1785</v>
      </c>
      <c r="E322" s="2" t="s">
        <v>1781</v>
      </c>
      <c r="F322" s="2">
        <v>130</v>
      </c>
      <c r="G322" s="2" t="s">
        <v>24</v>
      </c>
      <c r="H322" s="13">
        <v>2</v>
      </c>
      <c r="I322" s="14">
        <v>0.98540635482364014</v>
      </c>
    </row>
    <row r="323" spans="1:9" ht="14.25" customHeight="1" x14ac:dyDescent="0.3">
      <c r="A323" s="2" t="s">
        <v>813</v>
      </c>
      <c r="B323" s="2" t="s">
        <v>1770</v>
      </c>
      <c r="C323" s="12">
        <v>44746</v>
      </c>
      <c r="D323" s="2" t="s">
        <v>1780</v>
      </c>
      <c r="E323" s="2" t="s">
        <v>1783</v>
      </c>
      <c r="F323" s="2">
        <v>72</v>
      </c>
      <c r="G323" s="2" t="s">
        <v>25</v>
      </c>
      <c r="H323" s="13">
        <v>9</v>
      </c>
      <c r="I323" s="14">
        <v>0.32091320735788698</v>
      </c>
    </row>
    <row r="324" spans="1:9" ht="14.25" customHeight="1" x14ac:dyDescent="0.3">
      <c r="A324" s="2" t="s">
        <v>815</v>
      </c>
      <c r="B324" s="2" t="s">
        <v>1764</v>
      </c>
      <c r="C324" s="12">
        <v>44740</v>
      </c>
      <c r="D324" s="2" t="s">
        <v>1782</v>
      </c>
      <c r="E324" s="2" t="s">
        <v>1783</v>
      </c>
      <c r="F324" s="2">
        <v>65</v>
      </c>
      <c r="G324" s="2" t="s">
        <v>25</v>
      </c>
      <c r="H324" s="13">
        <v>9</v>
      </c>
      <c r="I324" s="14">
        <v>0.94495394109275654</v>
      </c>
    </row>
    <row r="325" spans="1:9" ht="14.25" customHeight="1" x14ac:dyDescent="0.3">
      <c r="A325" s="2" t="s">
        <v>817</v>
      </c>
      <c r="B325" s="2" t="s">
        <v>1766</v>
      </c>
      <c r="C325" s="12">
        <v>44743</v>
      </c>
      <c r="D325" s="2" t="s">
        <v>1784</v>
      </c>
      <c r="E325" s="2" t="s">
        <v>1783</v>
      </c>
      <c r="F325" s="2">
        <v>250</v>
      </c>
      <c r="G325" s="2" t="s">
        <v>23</v>
      </c>
      <c r="H325" s="13">
        <v>2</v>
      </c>
      <c r="I325" s="14">
        <v>0.50906748027199666</v>
      </c>
    </row>
    <row r="326" spans="1:9" ht="14.25" customHeight="1" x14ac:dyDescent="0.3">
      <c r="A326" s="2" t="s">
        <v>819</v>
      </c>
      <c r="B326" s="2" t="s">
        <v>1768</v>
      </c>
      <c r="C326" s="12">
        <v>44737</v>
      </c>
      <c r="D326" s="2" t="s">
        <v>1785</v>
      </c>
      <c r="E326" s="2" t="s">
        <v>1783</v>
      </c>
      <c r="F326" s="2">
        <v>130</v>
      </c>
      <c r="G326" s="2" t="s">
        <v>24</v>
      </c>
      <c r="H326" s="13">
        <v>4</v>
      </c>
      <c r="I326" s="14">
        <v>0.66059053266706258</v>
      </c>
    </row>
    <row r="327" spans="1:9" ht="14.25" customHeight="1" x14ac:dyDescent="0.3">
      <c r="A327" s="2" t="s">
        <v>821</v>
      </c>
      <c r="B327" s="2" t="s">
        <v>1770</v>
      </c>
      <c r="C327" s="12">
        <v>44757</v>
      </c>
      <c r="D327" s="2" t="s">
        <v>1780</v>
      </c>
      <c r="E327" s="2" t="s">
        <v>1783</v>
      </c>
      <c r="F327" s="2">
        <v>72</v>
      </c>
      <c r="G327" s="2" t="s">
        <v>25</v>
      </c>
      <c r="H327" s="13">
        <v>8</v>
      </c>
      <c r="I327" s="14">
        <v>0.89615601403703116</v>
      </c>
    </row>
    <row r="328" spans="1:9" ht="14.25" customHeight="1" x14ac:dyDescent="0.3">
      <c r="A328" s="2" t="s">
        <v>823</v>
      </c>
      <c r="B328" s="2" t="s">
        <v>1764</v>
      </c>
      <c r="C328" s="12">
        <v>44745</v>
      </c>
      <c r="D328" s="2" t="s">
        <v>1782</v>
      </c>
      <c r="E328" s="2" t="s">
        <v>1781</v>
      </c>
      <c r="F328" s="2">
        <v>65</v>
      </c>
      <c r="G328" s="2" t="s">
        <v>23</v>
      </c>
      <c r="H328" s="13">
        <v>8</v>
      </c>
      <c r="I328" s="14">
        <v>0.133950017527805</v>
      </c>
    </row>
    <row r="329" spans="1:9" ht="14.25" customHeight="1" x14ac:dyDescent="0.3">
      <c r="A329" s="2" t="s">
        <v>825</v>
      </c>
      <c r="B329" s="2" t="s">
        <v>1766</v>
      </c>
      <c r="C329" s="12">
        <v>44760</v>
      </c>
      <c r="D329" s="2" t="s">
        <v>1784</v>
      </c>
      <c r="E329" s="2" t="s">
        <v>1783</v>
      </c>
      <c r="F329" s="2">
        <v>250</v>
      </c>
      <c r="G329" s="2" t="s">
        <v>24</v>
      </c>
      <c r="H329" s="13">
        <v>4</v>
      </c>
      <c r="I329" s="14">
        <v>0.3823797297998468</v>
      </c>
    </row>
    <row r="330" spans="1:9" ht="14.25" customHeight="1" x14ac:dyDescent="0.3">
      <c r="A330" s="2" t="s">
        <v>827</v>
      </c>
      <c r="B330" s="2" t="s">
        <v>1768</v>
      </c>
      <c r="C330" s="12">
        <v>44750</v>
      </c>
      <c r="D330" s="2" t="s">
        <v>1785</v>
      </c>
      <c r="E330" s="2" t="s">
        <v>1781</v>
      </c>
      <c r="F330" s="2">
        <v>130</v>
      </c>
      <c r="G330" s="2" t="s">
        <v>25</v>
      </c>
      <c r="H330" s="13">
        <v>2</v>
      </c>
      <c r="I330" s="14">
        <v>0.15073825601342095</v>
      </c>
    </row>
    <row r="331" spans="1:9" ht="14.25" customHeight="1" x14ac:dyDescent="0.3">
      <c r="A331" s="2" t="s">
        <v>829</v>
      </c>
      <c r="B331" s="2" t="s">
        <v>1770</v>
      </c>
      <c r="C331" s="12">
        <v>44742</v>
      </c>
      <c r="D331" s="2" t="s">
        <v>1786</v>
      </c>
      <c r="E331" s="2" t="s">
        <v>1783</v>
      </c>
      <c r="F331" s="2">
        <v>60</v>
      </c>
      <c r="G331" s="2" t="s">
        <v>23</v>
      </c>
      <c r="H331" s="13">
        <v>10</v>
      </c>
      <c r="I331" s="14">
        <v>0.96395128247903139</v>
      </c>
    </row>
    <row r="332" spans="1:9" ht="14.25" customHeight="1" x14ac:dyDescent="0.3">
      <c r="A332" s="2" t="s">
        <v>831</v>
      </c>
      <c r="B332" s="2" t="s">
        <v>1772</v>
      </c>
      <c r="C332" s="12">
        <v>44754</v>
      </c>
      <c r="D332" s="2" t="s">
        <v>1780</v>
      </c>
      <c r="E332" s="2" t="s">
        <v>1781</v>
      </c>
      <c r="F332" s="2">
        <v>72</v>
      </c>
      <c r="G332" s="2" t="s">
        <v>24</v>
      </c>
      <c r="H332" s="13">
        <v>5</v>
      </c>
      <c r="I332" s="14">
        <v>0.93894083705684528</v>
      </c>
    </row>
    <row r="333" spans="1:9" ht="14.25" customHeight="1" x14ac:dyDescent="0.3">
      <c r="A333" s="2" t="s">
        <v>833</v>
      </c>
      <c r="B333" s="2" t="s">
        <v>1764</v>
      </c>
      <c r="C333" s="12">
        <v>44746</v>
      </c>
      <c r="D333" s="2" t="s">
        <v>1782</v>
      </c>
      <c r="E333" s="2" t="s">
        <v>1783</v>
      </c>
      <c r="F333" s="2">
        <v>65</v>
      </c>
      <c r="G333" s="2" t="s">
        <v>25</v>
      </c>
      <c r="H333" s="13">
        <v>7</v>
      </c>
      <c r="I333" s="14">
        <v>0.90335270578489546</v>
      </c>
    </row>
    <row r="334" spans="1:9" ht="14.25" customHeight="1" x14ac:dyDescent="0.3">
      <c r="A334" s="2" t="s">
        <v>835</v>
      </c>
      <c r="B334" s="2" t="s">
        <v>1766</v>
      </c>
      <c r="C334" s="12">
        <v>44752</v>
      </c>
      <c r="D334" s="2" t="s">
        <v>1784</v>
      </c>
      <c r="E334" s="2" t="s">
        <v>1781</v>
      </c>
      <c r="F334" s="2">
        <v>250</v>
      </c>
      <c r="G334" s="2" t="s">
        <v>23</v>
      </c>
      <c r="H334" s="13">
        <v>2</v>
      </c>
      <c r="I334" s="14">
        <v>0.62209777321995885</v>
      </c>
    </row>
    <row r="335" spans="1:9" ht="14.25" customHeight="1" x14ac:dyDescent="0.3">
      <c r="A335" s="2" t="s">
        <v>837</v>
      </c>
      <c r="B335" s="2" t="s">
        <v>1768</v>
      </c>
      <c r="C335" s="12">
        <v>44725</v>
      </c>
      <c r="D335" s="2" t="s">
        <v>1785</v>
      </c>
      <c r="E335" s="2" t="s">
        <v>1783</v>
      </c>
      <c r="F335" s="2">
        <v>130</v>
      </c>
      <c r="G335" s="2" t="s">
        <v>24</v>
      </c>
      <c r="H335" s="13">
        <v>5</v>
      </c>
      <c r="I335" s="14">
        <v>6.1676790443396468E-2</v>
      </c>
    </row>
    <row r="336" spans="1:9" ht="14.25" customHeight="1" x14ac:dyDescent="0.3">
      <c r="A336" s="2" t="s">
        <v>839</v>
      </c>
      <c r="B336" s="2" t="s">
        <v>1770</v>
      </c>
      <c r="C336" s="12">
        <v>44734</v>
      </c>
      <c r="D336" s="2" t="s">
        <v>1780</v>
      </c>
      <c r="E336" s="2" t="s">
        <v>1781</v>
      </c>
      <c r="F336" s="2">
        <v>72</v>
      </c>
      <c r="G336" s="2" t="s">
        <v>25</v>
      </c>
      <c r="H336" s="13">
        <v>12</v>
      </c>
      <c r="I336" s="14">
        <v>0.49213521317421138</v>
      </c>
    </row>
    <row r="337" spans="1:9" ht="14.25" customHeight="1" x14ac:dyDescent="0.3">
      <c r="A337" s="2" t="s">
        <v>841</v>
      </c>
      <c r="B337" s="2" t="s">
        <v>1764</v>
      </c>
      <c r="C337" s="12">
        <v>44761</v>
      </c>
      <c r="D337" s="2" t="s">
        <v>1782</v>
      </c>
      <c r="E337" s="2" t="s">
        <v>1783</v>
      </c>
      <c r="F337" s="2">
        <v>65</v>
      </c>
      <c r="G337" s="2" t="s">
        <v>23</v>
      </c>
      <c r="H337" s="13">
        <v>9</v>
      </c>
      <c r="I337" s="14">
        <v>0.69552711985994919</v>
      </c>
    </row>
    <row r="338" spans="1:9" ht="14.25" customHeight="1" x14ac:dyDescent="0.3">
      <c r="A338" s="2" t="s">
        <v>843</v>
      </c>
      <c r="B338" s="2" t="s">
        <v>1766</v>
      </c>
      <c r="C338" s="12">
        <v>44735</v>
      </c>
      <c r="D338" s="2" t="s">
        <v>1784</v>
      </c>
      <c r="E338" s="2" t="s">
        <v>1781</v>
      </c>
      <c r="F338" s="2">
        <v>250</v>
      </c>
      <c r="G338" s="2" t="s">
        <v>24</v>
      </c>
      <c r="H338" s="13">
        <v>4</v>
      </c>
      <c r="I338" s="14">
        <v>0.54528907278354111</v>
      </c>
    </row>
    <row r="339" spans="1:9" ht="14.25" customHeight="1" x14ac:dyDescent="0.3">
      <c r="A339" s="2" t="s">
        <v>845</v>
      </c>
      <c r="B339" s="2" t="s">
        <v>1768</v>
      </c>
      <c r="C339" s="12">
        <v>44753</v>
      </c>
      <c r="D339" s="2" t="s">
        <v>1785</v>
      </c>
      <c r="E339" s="2" t="s">
        <v>1783</v>
      </c>
      <c r="F339" s="2">
        <v>130</v>
      </c>
      <c r="G339" s="2" t="s">
        <v>25</v>
      </c>
      <c r="H339" s="13">
        <v>4</v>
      </c>
      <c r="I339" s="14">
        <v>0.35199536538224718</v>
      </c>
    </row>
    <row r="340" spans="1:9" ht="14.25" customHeight="1" x14ac:dyDescent="0.3">
      <c r="A340" s="2" t="s">
        <v>847</v>
      </c>
      <c r="B340" s="2" t="s">
        <v>1770</v>
      </c>
      <c r="C340" s="12">
        <v>44732</v>
      </c>
      <c r="D340" s="2" t="s">
        <v>1786</v>
      </c>
      <c r="E340" s="2" t="s">
        <v>1781</v>
      </c>
      <c r="F340" s="2">
        <v>60</v>
      </c>
      <c r="G340" s="2" t="s">
        <v>23</v>
      </c>
      <c r="H340" s="13">
        <v>6</v>
      </c>
      <c r="I340" s="14">
        <v>6.0292533629099143E-2</v>
      </c>
    </row>
    <row r="341" spans="1:9" ht="14.25" customHeight="1" x14ac:dyDescent="0.3">
      <c r="A341" s="2" t="s">
        <v>849</v>
      </c>
      <c r="B341" s="2" t="s">
        <v>1772</v>
      </c>
      <c r="C341" s="12">
        <v>44748</v>
      </c>
      <c r="D341" s="2" t="s">
        <v>1787</v>
      </c>
      <c r="E341" s="2" t="s">
        <v>1783</v>
      </c>
      <c r="F341" s="2">
        <v>95</v>
      </c>
      <c r="G341" s="2" t="s">
        <v>24</v>
      </c>
      <c r="H341" s="13">
        <v>7</v>
      </c>
      <c r="I341" s="14">
        <v>4.1434457281700587E-2</v>
      </c>
    </row>
    <row r="342" spans="1:9" ht="14.25" customHeight="1" x14ac:dyDescent="0.3">
      <c r="A342" s="2" t="s">
        <v>851</v>
      </c>
      <c r="B342" s="2" t="s">
        <v>1773</v>
      </c>
      <c r="C342" s="12">
        <v>44731</v>
      </c>
      <c r="D342" s="2" t="s">
        <v>1780</v>
      </c>
      <c r="E342" s="2" t="s">
        <v>1781</v>
      </c>
      <c r="F342" s="2">
        <v>72</v>
      </c>
      <c r="G342" s="2" t="s">
        <v>25</v>
      </c>
      <c r="H342" s="13">
        <v>3</v>
      </c>
      <c r="I342" s="14">
        <v>0.29516274884520199</v>
      </c>
    </row>
    <row r="343" spans="1:9" ht="14.25" customHeight="1" x14ac:dyDescent="0.3">
      <c r="A343" s="2" t="s">
        <v>853</v>
      </c>
      <c r="B343" s="2" t="s">
        <v>1764</v>
      </c>
      <c r="C343" s="12">
        <v>44725</v>
      </c>
      <c r="D343" s="2" t="s">
        <v>1782</v>
      </c>
      <c r="E343" s="2" t="s">
        <v>1783</v>
      </c>
      <c r="F343" s="2">
        <v>65</v>
      </c>
      <c r="G343" s="2" t="s">
        <v>23</v>
      </c>
      <c r="H343" s="13">
        <v>4</v>
      </c>
      <c r="I343" s="14">
        <v>0.68154294540119276</v>
      </c>
    </row>
    <row r="344" spans="1:9" ht="14.25" customHeight="1" x14ac:dyDescent="0.3">
      <c r="A344" s="2" t="s">
        <v>855</v>
      </c>
      <c r="B344" s="2" t="s">
        <v>1766</v>
      </c>
      <c r="C344" s="12">
        <v>44753</v>
      </c>
      <c r="D344" s="2" t="s">
        <v>1784</v>
      </c>
      <c r="E344" s="2" t="s">
        <v>1781</v>
      </c>
      <c r="F344" s="2">
        <v>250</v>
      </c>
      <c r="G344" s="2" t="s">
        <v>24</v>
      </c>
      <c r="H344" s="13">
        <v>1</v>
      </c>
      <c r="I344" s="14">
        <v>0.52632346520297391</v>
      </c>
    </row>
    <row r="345" spans="1:9" ht="14.25" customHeight="1" x14ac:dyDescent="0.3">
      <c r="A345" s="2" t="s">
        <v>857</v>
      </c>
      <c r="B345" s="2" t="s">
        <v>1768</v>
      </c>
      <c r="C345" s="12">
        <v>44738</v>
      </c>
      <c r="D345" s="2" t="s">
        <v>1785</v>
      </c>
      <c r="E345" s="2" t="s">
        <v>1783</v>
      </c>
      <c r="F345" s="2">
        <v>130</v>
      </c>
      <c r="G345" s="2" t="s">
        <v>25</v>
      </c>
      <c r="H345" s="13">
        <v>6</v>
      </c>
      <c r="I345" s="14">
        <v>5.4437687903536869E-2</v>
      </c>
    </row>
    <row r="346" spans="1:9" ht="14.25" customHeight="1" x14ac:dyDescent="0.3">
      <c r="A346" s="2" t="s">
        <v>859</v>
      </c>
      <c r="B346" s="2" t="s">
        <v>1770</v>
      </c>
      <c r="C346" s="12">
        <v>44762</v>
      </c>
      <c r="D346" s="2" t="s">
        <v>1780</v>
      </c>
      <c r="E346" s="2" t="s">
        <v>1783</v>
      </c>
      <c r="F346" s="2">
        <v>72</v>
      </c>
      <c r="G346" s="2" t="s">
        <v>23</v>
      </c>
      <c r="H346" s="13">
        <v>10</v>
      </c>
      <c r="I346" s="14">
        <v>0.95350738842174898</v>
      </c>
    </row>
    <row r="347" spans="1:9" ht="14.25" customHeight="1" x14ac:dyDescent="0.3">
      <c r="A347" s="2" t="s">
        <v>861</v>
      </c>
      <c r="B347" s="2" t="s">
        <v>1764</v>
      </c>
      <c r="C347" s="12">
        <v>44756</v>
      </c>
      <c r="D347" s="2" t="s">
        <v>1782</v>
      </c>
      <c r="E347" s="2" t="s">
        <v>1783</v>
      </c>
      <c r="F347" s="2">
        <v>65</v>
      </c>
      <c r="G347" s="2" t="s">
        <v>24</v>
      </c>
      <c r="H347" s="13">
        <v>4</v>
      </c>
      <c r="I347" s="14">
        <v>0.46726651348176196</v>
      </c>
    </row>
    <row r="348" spans="1:9" ht="14.25" customHeight="1" x14ac:dyDescent="0.3">
      <c r="A348" s="2" t="s">
        <v>863</v>
      </c>
      <c r="B348" s="2" t="s">
        <v>1766</v>
      </c>
      <c r="C348" s="12">
        <v>44744</v>
      </c>
      <c r="D348" s="2" t="s">
        <v>1784</v>
      </c>
      <c r="E348" s="2" t="s">
        <v>1783</v>
      </c>
      <c r="F348" s="2">
        <v>250</v>
      </c>
      <c r="G348" s="2" t="s">
        <v>25</v>
      </c>
      <c r="H348" s="13">
        <v>2</v>
      </c>
      <c r="I348" s="14">
        <v>0.6015089815611987</v>
      </c>
    </row>
    <row r="349" spans="1:9" ht="14.25" customHeight="1" x14ac:dyDescent="0.3">
      <c r="A349" s="2" t="s">
        <v>865</v>
      </c>
      <c r="B349" s="2" t="s">
        <v>1768</v>
      </c>
      <c r="C349" s="12">
        <v>44753</v>
      </c>
      <c r="D349" s="2" t="s">
        <v>1785</v>
      </c>
      <c r="E349" s="2" t="s">
        <v>1783</v>
      </c>
      <c r="F349" s="2">
        <v>130</v>
      </c>
      <c r="G349" s="2" t="s">
        <v>23</v>
      </c>
      <c r="H349" s="13">
        <v>7</v>
      </c>
      <c r="I349" s="14">
        <v>0.17158764742187849</v>
      </c>
    </row>
    <row r="350" spans="1:9" ht="14.25" customHeight="1" x14ac:dyDescent="0.3">
      <c r="A350" s="2" t="s">
        <v>867</v>
      </c>
      <c r="B350" s="2" t="s">
        <v>1770</v>
      </c>
      <c r="C350" s="12">
        <v>44762</v>
      </c>
      <c r="D350" s="2" t="s">
        <v>1786</v>
      </c>
      <c r="E350" s="2" t="s">
        <v>1781</v>
      </c>
      <c r="F350" s="2">
        <v>60</v>
      </c>
      <c r="G350" s="2" t="s">
        <v>24</v>
      </c>
      <c r="H350" s="13">
        <v>11</v>
      </c>
      <c r="I350" s="14">
        <v>0.44731050880102885</v>
      </c>
    </row>
    <row r="351" spans="1:9" ht="14.25" customHeight="1" x14ac:dyDescent="0.3">
      <c r="A351" s="2" t="s">
        <v>869</v>
      </c>
      <c r="B351" s="2" t="s">
        <v>1772</v>
      </c>
      <c r="C351" s="12">
        <v>44740</v>
      </c>
      <c r="D351" s="2" t="s">
        <v>1780</v>
      </c>
      <c r="E351" s="2" t="s">
        <v>1783</v>
      </c>
      <c r="F351" s="2">
        <v>72</v>
      </c>
      <c r="G351" s="2" t="s">
        <v>25</v>
      </c>
      <c r="H351" s="13">
        <v>8</v>
      </c>
      <c r="I351" s="14">
        <v>0.54246953050958213</v>
      </c>
    </row>
    <row r="352" spans="1:9" ht="14.25" customHeight="1" x14ac:dyDescent="0.3">
      <c r="A352" s="2" t="s">
        <v>871</v>
      </c>
      <c r="B352" s="2" t="s">
        <v>1764</v>
      </c>
      <c r="C352" s="12">
        <v>44729</v>
      </c>
      <c r="D352" s="2" t="s">
        <v>1782</v>
      </c>
      <c r="E352" s="2" t="s">
        <v>1781</v>
      </c>
      <c r="F352" s="2">
        <v>65</v>
      </c>
      <c r="G352" s="2" t="s">
        <v>23</v>
      </c>
      <c r="H352" s="13">
        <v>11</v>
      </c>
      <c r="I352" s="14">
        <v>0.50484804947298401</v>
      </c>
    </row>
    <row r="353" spans="1:9" ht="14.25" customHeight="1" x14ac:dyDescent="0.3">
      <c r="A353" s="2" t="s">
        <v>873</v>
      </c>
      <c r="B353" s="2" t="s">
        <v>1766</v>
      </c>
      <c r="C353" s="12">
        <v>44727</v>
      </c>
      <c r="D353" s="2" t="s">
        <v>1784</v>
      </c>
      <c r="E353" s="2" t="s">
        <v>1783</v>
      </c>
      <c r="F353" s="2">
        <v>250</v>
      </c>
      <c r="G353" s="2" t="s">
        <v>24</v>
      </c>
      <c r="H353" s="13">
        <v>4</v>
      </c>
      <c r="I353" s="14">
        <v>9.2316747421295475E-2</v>
      </c>
    </row>
    <row r="354" spans="1:9" ht="14.25" customHeight="1" x14ac:dyDescent="0.3">
      <c r="A354" s="2" t="s">
        <v>875</v>
      </c>
      <c r="B354" s="2" t="s">
        <v>1768</v>
      </c>
      <c r="C354" s="12">
        <v>44734</v>
      </c>
      <c r="D354" s="2" t="s">
        <v>1785</v>
      </c>
      <c r="E354" s="2" t="s">
        <v>1781</v>
      </c>
      <c r="F354" s="2">
        <v>130</v>
      </c>
      <c r="G354" s="2" t="s">
        <v>25</v>
      </c>
      <c r="H354" s="13">
        <v>7</v>
      </c>
      <c r="I354" s="14">
        <v>0.34907542272706216</v>
      </c>
    </row>
    <row r="355" spans="1:9" ht="14.25" customHeight="1" x14ac:dyDescent="0.3">
      <c r="A355" s="2" t="s">
        <v>877</v>
      </c>
      <c r="B355" s="2" t="s">
        <v>1770</v>
      </c>
      <c r="C355" s="12">
        <v>44744</v>
      </c>
      <c r="D355" s="2" t="s">
        <v>1780</v>
      </c>
      <c r="E355" s="2" t="s">
        <v>1783</v>
      </c>
      <c r="F355" s="2">
        <v>72</v>
      </c>
      <c r="G355" s="2" t="s">
        <v>23</v>
      </c>
      <c r="H355" s="13">
        <v>4</v>
      </c>
      <c r="I355" s="14">
        <v>0.90031823580716619</v>
      </c>
    </row>
    <row r="356" spans="1:9" ht="14.25" customHeight="1" x14ac:dyDescent="0.3">
      <c r="A356" s="2" t="s">
        <v>879</v>
      </c>
      <c r="B356" s="2" t="s">
        <v>1764</v>
      </c>
      <c r="C356" s="12">
        <v>44737</v>
      </c>
      <c r="D356" s="2" t="s">
        <v>1782</v>
      </c>
      <c r="E356" s="2" t="s">
        <v>1781</v>
      </c>
      <c r="F356" s="2">
        <v>65</v>
      </c>
      <c r="G356" s="2" t="s">
        <v>24</v>
      </c>
      <c r="H356" s="13">
        <v>5</v>
      </c>
      <c r="I356" s="14">
        <v>0.18050692795462731</v>
      </c>
    </row>
    <row r="357" spans="1:9" ht="14.25" customHeight="1" x14ac:dyDescent="0.3">
      <c r="A357" s="2" t="s">
        <v>881</v>
      </c>
      <c r="B357" s="2" t="s">
        <v>1766</v>
      </c>
      <c r="C357" s="12">
        <v>44752</v>
      </c>
      <c r="D357" s="2" t="s">
        <v>1784</v>
      </c>
      <c r="E357" s="2" t="s">
        <v>1783</v>
      </c>
      <c r="F357" s="2">
        <v>250</v>
      </c>
      <c r="G357" s="2" t="s">
        <v>25</v>
      </c>
      <c r="H357" s="13">
        <v>1</v>
      </c>
      <c r="I357" s="14">
        <v>2.5445092820001292E-2</v>
      </c>
    </row>
    <row r="358" spans="1:9" ht="14.25" customHeight="1" x14ac:dyDescent="0.3">
      <c r="A358" s="2" t="s">
        <v>883</v>
      </c>
      <c r="B358" s="2" t="s">
        <v>1768</v>
      </c>
      <c r="C358" s="12">
        <v>44736</v>
      </c>
      <c r="D358" s="2" t="s">
        <v>1785</v>
      </c>
      <c r="E358" s="2" t="s">
        <v>1781</v>
      </c>
      <c r="F358" s="2">
        <v>130</v>
      </c>
      <c r="G358" s="2" t="s">
        <v>23</v>
      </c>
      <c r="H358" s="13">
        <v>2</v>
      </c>
      <c r="I358" s="14">
        <v>0.79643741142705549</v>
      </c>
    </row>
    <row r="359" spans="1:9" ht="14.25" customHeight="1" x14ac:dyDescent="0.3">
      <c r="A359" s="2" t="s">
        <v>885</v>
      </c>
      <c r="B359" s="2" t="s">
        <v>1770</v>
      </c>
      <c r="C359" s="12">
        <v>44752</v>
      </c>
      <c r="D359" s="2" t="s">
        <v>1786</v>
      </c>
      <c r="E359" s="2" t="s">
        <v>1783</v>
      </c>
      <c r="F359" s="2">
        <v>60</v>
      </c>
      <c r="G359" s="2" t="s">
        <v>24</v>
      </c>
      <c r="H359" s="13">
        <v>14</v>
      </c>
      <c r="I359" s="14">
        <v>0.16077213359827813</v>
      </c>
    </row>
    <row r="360" spans="1:9" ht="14.25" customHeight="1" x14ac:dyDescent="0.3">
      <c r="A360" s="2" t="s">
        <v>887</v>
      </c>
      <c r="B360" s="2" t="s">
        <v>1772</v>
      </c>
      <c r="C360" s="12">
        <v>44759</v>
      </c>
      <c r="D360" s="2" t="s">
        <v>1787</v>
      </c>
      <c r="E360" s="2" t="s">
        <v>1781</v>
      </c>
      <c r="F360" s="2">
        <v>95</v>
      </c>
      <c r="G360" s="2" t="s">
        <v>25</v>
      </c>
      <c r="H360" s="13">
        <v>9</v>
      </c>
      <c r="I360" s="14">
        <v>0.24693836978869843</v>
      </c>
    </row>
    <row r="361" spans="1:9" ht="14.25" customHeight="1" x14ac:dyDescent="0.3">
      <c r="A361" s="2" t="s">
        <v>889</v>
      </c>
      <c r="B361" s="2" t="s">
        <v>1773</v>
      </c>
      <c r="C361" s="12">
        <v>44763</v>
      </c>
      <c r="D361" s="2" t="s">
        <v>1780</v>
      </c>
      <c r="E361" s="2" t="s">
        <v>1783</v>
      </c>
      <c r="F361" s="2">
        <v>72</v>
      </c>
      <c r="G361" s="2" t="s">
        <v>23</v>
      </c>
      <c r="H361" s="13">
        <v>8</v>
      </c>
      <c r="I361" s="14">
        <v>0.22148207946738752</v>
      </c>
    </row>
    <row r="362" spans="1:9" ht="14.25" customHeight="1" x14ac:dyDescent="0.3">
      <c r="A362" s="2" t="s">
        <v>891</v>
      </c>
      <c r="B362" s="2" t="s">
        <v>1764</v>
      </c>
      <c r="C362" s="12">
        <v>44763</v>
      </c>
      <c r="D362" s="2" t="s">
        <v>1782</v>
      </c>
      <c r="E362" s="2" t="s">
        <v>1781</v>
      </c>
      <c r="F362" s="2">
        <v>65</v>
      </c>
      <c r="G362" s="2" t="s">
        <v>24</v>
      </c>
      <c r="H362" s="13">
        <v>11</v>
      </c>
      <c r="I362" s="14">
        <v>0.71458846230959472</v>
      </c>
    </row>
    <row r="363" spans="1:9" ht="14.25" customHeight="1" x14ac:dyDescent="0.3">
      <c r="A363" s="2" t="s">
        <v>893</v>
      </c>
      <c r="B363" s="2" t="s">
        <v>1766</v>
      </c>
      <c r="C363" s="12">
        <v>44750</v>
      </c>
      <c r="D363" s="2" t="s">
        <v>1784</v>
      </c>
      <c r="E363" s="2" t="s">
        <v>1783</v>
      </c>
      <c r="F363" s="2">
        <v>250</v>
      </c>
      <c r="G363" s="2" t="s">
        <v>25</v>
      </c>
      <c r="H363" s="13">
        <v>4</v>
      </c>
      <c r="I363" s="14">
        <v>0.11286694488931481</v>
      </c>
    </row>
    <row r="364" spans="1:9" ht="14.25" customHeight="1" x14ac:dyDescent="0.3">
      <c r="A364" s="2" t="s">
        <v>895</v>
      </c>
      <c r="B364" s="2" t="s">
        <v>1768</v>
      </c>
      <c r="C364" s="12">
        <v>44751</v>
      </c>
      <c r="D364" s="2" t="s">
        <v>1785</v>
      </c>
      <c r="E364" s="2" t="s">
        <v>1781</v>
      </c>
      <c r="F364" s="2">
        <v>130</v>
      </c>
      <c r="G364" s="2" t="s">
        <v>23</v>
      </c>
      <c r="H364" s="13">
        <v>6</v>
      </c>
      <c r="I364" s="14">
        <v>6.5283590828819849E-2</v>
      </c>
    </row>
    <row r="365" spans="1:9" ht="14.25" customHeight="1" x14ac:dyDescent="0.3">
      <c r="A365" s="2" t="s">
        <v>897</v>
      </c>
      <c r="B365" s="2" t="s">
        <v>1770</v>
      </c>
      <c r="C365" s="12">
        <v>44736</v>
      </c>
      <c r="D365" s="2" t="s">
        <v>1780</v>
      </c>
      <c r="E365" s="2" t="s">
        <v>1783</v>
      </c>
      <c r="F365" s="2">
        <v>72</v>
      </c>
      <c r="G365" s="2" t="s">
        <v>24</v>
      </c>
      <c r="H365" s="13">
        <v>11</v>
      </c>
      <c r="I365" s="14">
        <v>0.46681751998353072</v>
      </c>
    </row>
    <row r="366" spans="1:9" ht="14.25" customHeight="1" x14ac:dyDescent="0.3">
      <c r="A366" s="2" t="s">
        <v>899</v>
      </c>
      <c r="B366" s="2" t="s">
        <v>1764</v>
      </c>
      <c r="C366" s="12">
        <v>44737</v>
      </c>
      <c r="D366" s="2" t="s">
        <v>1782</v>
      </c>
      <c r="E366" s="2" t="s">
        <v>1781</v>
      </c>
      <c r="F366" s="2">
        <v>65</v>
      </c>
      <c r="G366" s="2" t="s">
        <v>25</v>
      </c>
      <c r="H366" s="13">
        <v>9</v>
      </c>
      <c r="I366" s="14">
        <v>0.92202770154223668</v>
      </c>
    </row>
    <row r="367" spans="1:9" ht="14.25" customHeight="1" x14ac:dyDescent="0.3">
      <c r="A367" s="2" t="s">
        <v>901</v>
      </c>
      <c r="B367" s="2" t="s">
        <v>1766</v>
      </c>
      <c r="C367" s="12">
        <v>44744</v>
      </c>
      <c r="D367" s="2" t="s">
        <v>1784</v>
      </c>
      <c r="E367" s="2" t="s">
        <v>1783</v>
      </c>
      <c r="F367" s="2">
        <v>250</v>
      </c>
      <c r="G367" s="2" t="s">
        <v>23</v>
      </c>
      <c r="H367" s="13">
        <v>2</v>
      </c>
      <c r="I367" s="14">
        <v>0.18840485753727232</v>
      </c>
    </row>
    <row r="368" spans="1:9" ht="14.25" customHeight="1" x14ac:dyDescent="0.3">
      <c r="A368" s="2" t="s">
        <v>903</v>
      </c>
      <c r="B368" s="2" t="s">
        <v>1768</v>
      </c>
      <c r="C368" s="12">
        <v>44735</v>
      </c>
      <c r="D368" s="2" t="s">
        <v>1785</v>
      </c>
      <c r="E368" s="2" t="s">
        <v>1783</v>
      </c>
      <c r="F368" s="2">
        <v>130</v>
      </c>
      <c r="G368" s="2" t="s">
        <v>24</v>
      </c>
      <c r="H368" s="13">
        <v>2</v>
      </c>
      <c r="I368" s="14">
        <v>0.27847072137209206</v>
      </c>
    </row>
    <row r="369" spans="1:9" ht="14.25" customHeight="1" x14ac:dyDescent="0.3">
      <c r="A369" s="2" t="s">
        <v>905</v>
      </c>
      <c r="B369" s="2" t="s">
        <v>1764</v>
      </c>
      <c r="C369" s="12">
        <v>44751</v>
      </c>
      <c r="D369" s="2" t="s">
        <v>1780</v>
      </c>
      <c r="E369" s="2" t="s">
        <v>1783</v>
      </c>
      <c r="F369" s="2">
        <v>72</v>
      </c>
      <c r="G369" s="2" t="s">
        <v>25</v>
      </c>
      <c r="H369" s="13">
        <v>10</v>
      </c>
      <c r="I369" s="14">
        <v>0.78884251376405168</v>
      </c>
    </row>
    <row r="370" spans="1:9" ht="14.25" customHeight="1" x14ac:dyDescent="0.3">
      <c r="A370" s="2" t="s">
        <v>907</v>
      </c>
      <c r="B370" s="2" t="s">
        <v>1766</v>
      </c>
      <c r="C370" s="12">
        <v>44726</v>
      </c>
      <c r="D370" s="2" t="s">
        <v>1782</v>
      </c>
      <c r="E370" s="2" t="s">
        <v>1783</v>
      </c>
      <c r="F370" s="2">
        <v>65</v>
      </c>
      <c r="G370" s="2" t="s">
        <v>25</v>
      </c>
      <c r="H370" s="13">
        <v>5</v>
      </c>
      <c r="I370" s="14">
        <v>0.18299168548896383</v>
      </c>
    </row>
    <row r="371" spans="1:9" ht="14.25" customHeight="1" x14ac:dyDescent="0.3">
      <c r="A371" s="2" t="s">
        <v>909</v>
      </c>
      <c r="B371" s="2" t="s">
        <v>1768</v>
      </c>
      <c r="C371" s="12">
        <v>44749</v>
      </c>
      <c r="D371" s="2" t="s">
        <v>1784</v>
      </c>
      <c r="E371" s="2" t="s">
        <v>1783</v>
      </c>
      <c r="F371" s="2">
        <v>250</v>
      </c>
      <c r="G371" s="2" t="s">
        <v>23</v>
      </c>
      <c r="H371" s="13">
        <v>3</v>
      </c>
      <c r="I371" s="14">
        <v>0.20591715888096995</v>
      </c>
    </row>
    <row r="372" spans="1:9" ht="14.25" customHeight="1" x14ac:dyDescent="0.3">
      <c r="A372" s="2" t="s">
        <v>911</v>
      </c>
      <c r="B372" s="2" t="s">
        <v>1770</v>
      </c>
      <c r="C372" s="12">
        <v>44734</v>
      </c>
      <c r="D372" s="2" t="s">
        <v>1785</v>
      </c>
      <c r="E372" s="2" t="s">
        <v>1781</v>
      </c>
      <c r="F372" s="2">
        <v>130</v>
      </c>
      <c r="G372" s="2" t="s">
        <v>24</v>
      </c>
      <c r="H372" s="13">
        <v>2</v>
      </c>
      <c r="I372" s="14">
        <v>2.128339836887938E-2</v>
      </c>
    </row>
    <row r="373" spans="1:9" ht="14.25" customHeight="1" x14ac:dyDescent="0.3">
      <c r="A373" s="2" t="s">
        <v>913</v>
      </c>
      <c r="B373" s="2" t="s">
        <v>1764</v>
      </c>
      <c r="C373" s="12">
        <v>44726</v>
      </c>
      <c r="D373" s="2" t="s">
        <v>1780</v>
      </c>
      <c r="E373" s="2" t="s">
        <v>1783</v>
      </c>
      <c r="F373" s="2">
        <v>72</v>
      </c>
      <c r="G373" s="2" t="s">
        <v>25</v>
      </c>
      <c r="H373" s="13">
        <v>4</v>
      </c>
      <c r="I373" s="14">
        <v>2.2806889019524657E-2</v>
      </c>
    </row>
    <row r="374" spans="1:9" ht="14.25" customHeight="1" x14ac:dyDescent="0.3">
      <c r="A374" s="2" t="s">
        <v>915</v>
      </c>
      <c r="B374" s="2" t="s">
        <v>1766</v>
      </c>
      <c r="C374" s="12">
        <v>44743</v>
      </c>
      <c r="D374" s="2" t="s">
        <v>1782</v>
      </c>
      <c r="E374" s="2" t="s">
        <v>1781</v>
      </c>
      <c r="F374" s="2">
        <v>65</v>
      </c>
      <c r="G374" s="2" t="s">
        <v>23</v>
      </c>
      <c r="H374" s="13">
        <v>6</v>
      </c>
      <c r="I374" s="14">
        <v>0.66448214030499053</v>
      </c>
    </row>
    <row r="375" spans="1:9" ht="14.25" customHeight="1" x14ac:dyDescent="0.3">
      <c r="A375" s="2" t="s">
        <v>917</v>
      </c>
      <c r="B375" s="2" t="s">
        <v>1768</v>
      </c>
      <c r="C375" s="12">
        <v>44742</v>
      </c>
      <c r="D375" s="2" t="s">
        <v>1784</v>
      </c>
      <c r="E375" s="2" t="s">
        <v>1783</v>
      </c>
      <c r="F375" s="2">
        <v>250</v>
      </c>
      <c r="G375" s="2" t="s">
        <v>24</v>
      </c>
      <c r="H375" s="13">
        <v>3</v>
      </c>
      <c r="I375" s="14">
        <v>0.29151955249280481</v>
      </c>
    </row>
    <row r="376" spans="1:9" ht="14.25" customHeight="1" x14ac:dyDescent="0.3">
      <c r="A376" s="2" t="s">
        <v>919</v>
      </c>
      <c r="B376" s="2" t="s">
        <v>1770</v>
      </c>
      <c r="C376" s="12">
        <v>44747</v>
      </c>
      <c r="D376" s="2" t="s">
        <v>1785</v>
      </c>
      <c r="E376" s="2" t="s">
        <v>1781</v>
      </c>
      <c r="F376" s="2">
        <v>130</v>
      </c>
      <c r="G376" s="2" t="s">
        <v>25</v>
      </c>
      <c r="H376" s="13">
        <v>5</v>
      </c>
      <c r="I376" s="14">
        <v>0.55684098110336311</v>
      </c>
    </row>
    <row r="377" spans="1:9" ht="14.25" customHeight="1" x14ac:dyDescent="0.3">
      <c r="A377" s="2" t="s">
        <v>921</v>
      </c>
      <c r="B377" s="2" t="s">
        <v>1772</v>
      </c>
      <c r="C377" s="12">
        <v>44764</v>
      </c>
      <c r="D377" s="2" t="s">
        <v>1786</v>
      </c>
      <c r="E377" s="2" t="s">
        <v>1783</v>
      </c>
      <c r="F377" s="2">
        <v>60</v>
      </c>
      <c r="G377" s="2" t="s">
        <v>23</v>
      </c>
      <c r="H377" s="13">
        <v>14</v>
      </c>
      <c r="I377" s="14">
        <v>0.57240542144015649</v>
      </c>
    </row>
    <row r="378" spans="1:9" ht="14.25" customHeight="1" x14ac:dyDescent="0.3">
      <c r="A378" s="2" t="s">
        <v>923</v>
      </c>
      <c r="B378" s="2" t="s">
        <v>1764</v>
      </c>
      <c r="C378" s="12">
        <v>44735</v>
      </c>
      <c r="D378" s="2" t="s">
        <v>1780</v>
      </c>
      <c r="E378" s="2" t="s">
        <v>1781</v>
      </c>
      <c r="F378" s="2">
        <v>72</v>
      </c>
      <c r="G378" s="2" t="s">
        <v>24</v>
      </c>
      <c r="H378" s="13">
        <v>3</v>
      </c>
      <c r="I378" s="14">
        <v>8.6221643115211744E-2</v>
      </c>
    </row>
    <row r="379" spans="1:9" ht="14.25" customHeight="1" x14ac:dyDescent="0.3">
      <c r="A379" s="2" t="s">
        <v>925</v>
      </c>
      <c r="B379" s="2" t="s">
        <v>1766</v>
      </c>
      <c r="C379" s="12">
        <v>44737</v>
      </c>
      <c r="D379" s="2" t="s">
        <v>1782</v>
      </c>
      <c r="E379" s="2" t="s">
        <v>1783</v>
      </c>
      <c r="F379" s="2">
        <v>65</v>
      </c>
      <c r="G379" s="2" t="s">
        <v>25</v>
      </c>
      <c r="H379" s="13">
        <v>10</v>
      </c>
      <c r="I379" s="14">
        <v>0.95609718609661631</v>
      </c>
    </row>
    <row r="380" spans="1:9" ht="14.25" customHeight="1" x14ac:dyDescent="0.3">
      <c r="A380" s="2" t="s">
        <v>927</v>
      </c>
      <c r="B380" s="2" t="s">
        <v>1768</v>
      </c>
      <c r="C380" s="12">
        <v>44749</v>
      </c>
      <c r="D380" s="2" t="s">
        <v>1784</v>
      </c>
      <c r="E380" s="2" t="s">
        <v>1781</v>
      </c>
      <c r="F380" s="2">
        <v>250</v>
      </c>
      <c r="G380" s="2" t="s">
        <v>23</v>
      </c>
      <c r="H380" s="13">
        <v>2</v>
      </c>
      <c r="I380" s="14">
        <v>0.2455223768222089</v>
      </c>
    </row>
    <row r="381" spans="1:9" ht="14.25" customHeight="1" x14ac:dyDescent="0.3">
      <c r="A381" s="2" t="s">
        <v>929</v>
      </c>
      <c r="B381" s="2" t="s">
        <v>1770</v>
      </c>
      <c r="C381" s="12">
        <v>44729</v>
      </c>
      <c r="D381" s="2" t="s">
        <v>1785</v>
      </c>
      <c r="E381" s="2" t="s">
        <v>1783</v>
      </c>
      <c r="F381" s="2">
        <v>130</v>
      </c>
      <c r="G381" s="2" t="s">
        <v>24</v>
      </c>
      <c r="H381" s="13">
        <v>7</v>
      </c>
      <c r="I381" s="14">
        <v>0.56637632681080741</v>
      </c>
    </row>
    <row r="382" spans="1:9" ht="14.25" customHeight="1" x14ac:dyDescent="0.3">
      <c r="A382" s="2" t="s">
        <v>931</v>
      </c>
      <c r="B382" s="2" t="s">
        <v>1764</v>
      </c>
      <c r="C382" s="12">
        <v>44738</v>
      </c>
      <c r="D382" s="2" t="s">
        <v>1780</v>
      </c>
      <c r="E382" s="2" t="s">
        <v>1781</v>
      </c>
      <c r="F382" s="2">
        <v>72</v>
      </c>
      <c r="G382" s="2" t="s">
        <v>25</v>
      </c>
      <c r="H382" s="13">
        <v>11</v>
      </c>
      <c r="I382" s="14">
        <v>4.5179835219914199E-2</v>
      </c>
    </row>
    <row r="383" spans="1:9" ht="14.25" customHeight="1" x14ac:dyDescent="0.3">
      <c r="A383" s="2" t="s">
        <v>933</v>
      </c>
      <c r="B383" s="2" t="s">
        <v>1766</v>
      </c>
      <c r="C383" s="12">
        <v>44740</v>
      </c>
      <c r="D383" s="2" t="s">
        <v>1782</v>
      </c>
      <c r="E383" s="2" t="s">
        <v>1783</v>
      </c>
      <c r="F383" s="2">
        <v>65</v>
      </c>
      <c r="G383" s="2" t="s">
        <v>23</v>
      </c>
      <c r="H383" s="13">
        <v>13</v>
      </c>
      <c r="I383" s="14">
        <v>0.97345529924354934</v>
      </c>
    </row>
    <row r="384" spans="1:9" ht="14.25" customHeight="1" x14ac:dyDescent="0.3">
      <c r="A384" s="2" t="s">
        <v>935</v>
      </c>
      <c r="B384" s="2" t="s">
        <v>1768</v>
      </c>
      <c r="C384" s="12">
        <v>44755</v>
      </c>
      <c r="D384" s="2" t="s">
        <v>1784</v>
      </c>
      <c r="E384" s="2" t="s">
        <v>1781</v>
      </c>
      <c r="F384" s="2">
        <v>250</v>
      </c>
      <c r="G384" s="2" t="s">
        <v>24</v>
      </c>
      <c r="H384" s="13">
        <v>3</v>
      </c>
      <c r="I384" s="14">
        <v>0.56733394419124217</v>
      </c>
    </row>
    <row r="385" spans="1:9" ht="14.25" customHeight="1" x14ac:dyDescent="0.3">
      <c r="A385" s="2" t="s">
        <v>937</v>
      </c>
      <c r="B385" s="2" t="s">
        <v>1770</v>
      </c>
      <c r="C385" s="12">
        <v>44755</v>
      </c>
      <c r="D385" s="2" t="s">
        <v>1785</v>
      </c>
      <c r="E385" s="2" t="s">
        <v>1783</v>
      </c>
      <c r="F385" s="2">
        <v>130</v>
      </c>
      <c r="G385" s="2" t="s">
        <v>25</v>
      </c>
      <c r="H385" s="13">
        <v>6</v>
      </c>
      <c r="I385" s="14">
        <v>0.37928431149731212</v>
      </c>
    </row>
    <row r="386" spans="1:9" ht="14.25" customHeight="1" x14ac:dyDescent="0.3">
      <c r="A386" s="2" t="s">
        <v>939</v>
      </c>
      <c r="B386" s="2" t="s">
        <v>1772</v>
      </c>
      <c r="C386" s="12">
        <v>44764</v>
      </c>
      <c r="D386" s="2" t="s">
        <v>1786</v>
      </c>
      <c r="E386" s="2" t="s">
        <v>1781</v>
      </c>
      <c r="F386" s="2">
        <v>60</v>
      </c>
      <c r="G386" s="2" t="s">
        <v>23</v>
      </c>
      <c r="H386" s="13">
        <v>15</v>
      </c>
      <c r="I386" s="14">
        <v>0.62865911330533553</v>
      </c>
    </row>
    <row r="387" spans="1:9" ht="14.25" customHeight="1" x14ac:dyDescent="0.3">
      <c r="A387" s="2" t="s">
        <v>941</v>
      </c>
      <c r="B387" s="2" t="s">
        <v>1773</v>
      </c>
      <c r="C387" s="12">
        <v>44735</v>
      </c>
      <c r="D387" s="2" t="s">
        <v>1787</v>
      </c>
      <c r="E387" s="2" t="s">
        <v>1783</v>
      </c>
      <c r="F387" s="2">
        <v>95</v>
      </c>
      <c r="G387" s="2" t="s">
        <v>24</v>
      </c>
      <c r="H387" s="13">
        <v>6</v>
      </c>
      <c r="I387" s="14">
        <v>0.37937934610324464</v>
      </c>
    </row>
    <row r="388" spans="1:9" ht="14.25" customHeight="1" x14ac:dyDescent="0.3">
      <c r="A388" s="2" t="s">
        <v>943</v>
      </c>
      <c r="B388" s="2" t="s">
        <v>1764</v>
      </c>
      <c r="C388" s="12">
        <v>44734</v>
      </c>
      <c r="D388" s="2" t="s">
        <v>1780</v>
      </c>
      <c r="E388" s="2" t="s">
        <v>1781</v>
      </c>
      <c r="F388" s="2">
        <v>72</v>
      </c>
      <c r="G388" s="2" t="s">
        <v>25</v>
      </c>
      <c r="H388" s="13">
        <v>11</v>
      </c>
      <c r="I388" s="14">
        <v>0.35891515866951118</v>
      </c>
    </row>
    <row r="389" spans="1:9" ht="14.25" customHeight="1" x14ac:dyDescent="0.3">
      <c r="A389" s="2" t="s">
        <v>945</v>
      </c>
      <c r="B389" s="2" t="s">
        <v>1766</v>
      </c>
      <c r="C389" s="12">
        <v>44728</v>
      </c>
      <c r="D389" s="2" t="s">
        <v>1782</v>
      </c>
      <c r="E389" s="2" t="s">
        <v>1783</v>
      </c>
      <c r="F389" s="2">
        <v>65</v>
      </c>
      <c r="G389" s="2" t="s">
        <v>23</v>
      </c>
      <c r="H389" s="13">
        <v>13</v>
      </c>
      <c r="I389" s="14">
        <v>0.90122352916020354</v>
      </c>
    </row>
    <row r="390" spans="1:9" ht="14.25" customHeight="1" x14ac:dyDescent="0.3">
      <c r="A390" s="2" t="s">
        <v>947</v>
      </c>
      <c r="B390" s="2" t="s">
        <v>1768</v>
      </c>
      <c r="C390" s="12">
        <v>44739</v>
      </c>
      <c r="D390" s="2" t="s">
        <v>1784</v>
      </c>
      <c r="E390" s="2" t="s">
        <v>1783</v>
      </c>
      <c r="F390" s="2">
        <v>250</v>
      </c>
      <c r="G390" s="2" t="s">
        <v>24</v>
      </c>
      <c r="H390" s="13">
        <v>3</v>
      </c>
      <c r="I390" s="14">
        <v>0.37786597877728811</v>
      </c>
    </row>
    <row r="391" spans="1:9" ht="14.25" customHeight="1" x14ac:dyDescent="0.3">
      <c r="A391" s="2" t="s">
        <v>949</v>
      </c>
      <c r="B391" s="2" t="s">
        <v>1770</v>
      </c>
      <c r="C391" s="12">
        <v>44765</v>
      </c>
      <c r="D391" s="2" t="s">
        <v>1785</v>
      </c>
      <c r="E391" s="2" t="s">
        <v>1783</v>
      </c>
      <c r="F391" s="2">
        <v>130</v>
      </c>
      <c r="G391" s="2" t="s">
        <v>25</v>
      </c>
      <c r="H391" s="13">
        <v>3</v>
      </c>
      <c r="I391" s="14">
        <v>0.38913445453338702</v>
      </c>
    </row>
    <row r="392" spans="1:9" ht="14.25" customHeight="1" x14ac:dyDescent="0.3">
      <c r="A392" s="2" t="s">
        <v>951</v>
      </c>
      <c r="B392" s="2" t="s">
        <v>1764</v>
      </c>
      <c r="C392" s="12">
        <v>44740</v>
      </c>
      <c r="D392" s="2" t="s">
        <v>1780</v>
      </c>
      <c r="E392" s="2" t="s">
        <v>1783</v>
      </c>
      <c r="F392" s="2">
        <v>72</v>
      </c>
      <c r="G392" s="2" t="s">
        <v>23</v>
      </c>
      <c r="H392" s="13">
        <v>12</v>
      </c>
      <c r="I392" s="14">
        <v>0.60714667724340543</v>
      </c>
    </row>
    <row r="393" spans="1:9" ht="14.25" customHeight="1" x14ac:dyDescent="0.3">
      <c r="A393" s="2" t="s">
        <v>953</v>
      </c>
      <c r="B393" s="2" t="s">
        <v>1766</v>
      </c>
      <c r="C393" s="12">
        <v>44734</v>
      </c>
      <c r="D393" s="2" t="s">
        <v>1782</v>
      </c>
      <c r="E393" s="2" t="s">
        <v>1783</v>
      </c>
      <c r="F393" s="2">
        <v>65</v>
      </c>
      <c r="G393" s="2" t="s">
        <v>24</v>
      </c>
      <c r="H393" s="13">
        <v>8</v>
      </c>
      <c r="I393" s="14">
        <v>0.17261163513710231</v>
      </c>
    </row>
    <row r="394" spans="1:9" ht="14.25" customHeight="1" x14ac:dyDescent="0.3">
      <c r="A394" s="2" t="s">
        <v>955</v>
      </c>
      <c r="B394" s="2" t="s">
        <v>1768</v>
      </c>
      <c r="C394" s="12">
        <v>44727</v>
      </c>
      <c r="D394" s="2" t="s">
        <v>1784</v>
      </c>
      <c r="E394" s="2" t="s">
        <v>1781</v>
      </c>
      <c r="F394" s="2">
        <v>250</v>
      </c>
      <c r="G394" s="2" t="s">
        <v>25</v>
      </c>
      <c r="H394" s="13">
        <v>1</v>
      </c>
      <c r="I394" s="14">
        <v>3.4451566476951467E-2</v>
      </c>
    </row>
    <row r="395" spans="1:9" ht="14.25" customHeight="1" x14ac:dyDescent="0.3">
      <c r="A395" s="2" t="s">
        <v>957</v>
      </c>
      <c r="B395" s="2" t="s">
        <v>1770</v>
      </c>
      <c r="C395" s="12">
        <v>44737</v>
      </c>
      <c r="D395" s="2" t="s">
        <v>1785</v>
      </c>
      <c r="E395" s="2" t="s">
        <v>1783</v>
      </c>
      <c r="F395" s="2">
        <v>130</v>
      </c>
      <c r="G395" s="2" t="s">
        <v>23</v>
      </c>
      <c r="H395" s="13">
        <v>4</v>
      </c>
      <c r="I395" s="14">
        <v>0.36600821552214791</v>
      </c>
    </row>
    <row r="396" spans="1:9" ht="14.25" customHeight="1" x14ac:dyDescent="0.3">
      <c r="A396" s="2" t="s">
        <v>959</v>
      </c>
      <c r="B396" s="2" t="s">
        <v>1772</v>
      </c>
      <c r="C396" s="12">
        <v>44747</v>
      </c>
      <c r="D396" s="2" t="s">
        <v>1786</v>
      </c>
      <c r="E396" s="2" t="s">
        <v>1781</v>
      </c>
      <c r="F396" s="2">
        <v>60</v>
      </c>
      <c r="G396" s="2" t="s">
        <v>24</v>
      </c>
      <c r="H396" s="13">
        <v>4</v>
      </c>
      <c r="I396" s="14">
        <v>0.36876304797324455</v>
      </c>
    </row>
    <row r="397" spans="1:9" ht="14.25" customHeight="1" x14ac:dyDescent="0.3">
      <c r="A397" s="2" t="s">
        <v>961</v>
      </c>
      <c r="B397" s="2" t="s">
        <v>1764</v>
      </c>
      <c r="C397" s="12">
        <v>44754</v>
      </c>
      <c r="D397" s="2" t="s">
        <v>1780</v>
      </c>
      <c r="E397" s="2" t="s">
        <v>1783</v>
      </c>
      <c r="F397" s="2">
        <v>72</v>
      </c>
      <c r="G397" s="2" t="s">
        <v>25</v>
      </c>
      <c r="H397" s="13">
        <v>12</v>
      </c>
      <c r="I397" s="14">
        <v>0.78491525862060318</v>
      </c>
    </row>
    <row r="398" spans="1:9" ht="14.25" customHeight="1" x14ac:dyDescent="0.3">
      <c r="A398" s="2" t="s">
        <v>963</v>
      </c>
      <c r="B398" s="2" t="s">
        <v>1766</v>
      </c>
      <c r="C398" s="12">
        <v>44760</v>
      </c>
      <c r="D398" s="2" t="s">
        <v>1782</v>
      </c>
      <c r="E398" s="2" t="s">
        <v>1781</v>
      </c>
      <c r="F398" s="2">
        <v>65</v>
      </c>
      <c r="G398" s="2" t="s">
        <v>23</v>
      </c>
      <c r="H398" s="13">
        <v>4</v>
      </c>
      <c r="I398" s="14">
        <v>0.89433154555842931</v>
      </c>
    </row>
    <row r="399" spans="1:9" ht="14.25" customHeight="1" x14ac:dyDescent="0.3">
      <c r="A399" s="2" t="s">
        <v>965</v>
      </c>
      <c r="B399" s="2" t="s">
        <v>1768</v>
      </c>
      <c r="C399" s="12">
        <v>44759</v>
      </c>
      <c r="D399" s="2" t="s">
        <v>1784</v>
      </c>
      <c r="E399" s="2" t="s">
        <v>1783</v>
      </c>
      <c r="F399" s="2">
        <v>250</v>
      </c>
      <c r="G399" s="2" t="s">
        <v>24</v>
      </c>
      <c r="H399" s="13">
        <v>1</v>
      </c>
      <c r="I399" s="14">
        <v>0.54494310667938251</v>
      </c>
    </row>
    <row r="400" spans="1:9" ht="14.25" customHeight="1" x14ac:dyDescent="0.3">
      <c r="A400" s="2" t="s">
        <v>967</v>
      </c>
      <c r="B400" s="2" t="s">
        <v>1770</v>
      </c>
      <c r="C400" s="12">
        <v>44735</v>
      </c>
      <c r="D400" s="2" t="s">
        <v>1785</v>
      </c>
      <c r="E400" s="2" t="s">
        <v>1781</v>
      </c>
      <c r="F400" s="2">
        <v>130</v>
      </c>
      <c r="G400" s="2" t="s">
        <v>25</v>
      </c>
      <c r="H400" s="13">
        <v>7</v>
      </c>
      <c r="I400" s="14">
        <v>0.84443209424513666</v>
      </c>
    </row>
    <row r="401" spans="1:9" ht="14.25" customHeight="1" x14ac:dyDescent="0.3">
      <c r="A401" s="2" t="s">
        <v>969</v>
      </c>
      <c r="B401" s="2" t="s">
        <v>1764</v>
      </c>
      <c r="C401" s="12">
        <v>44734</v>
      </c>
      <c r="D401" s="2" t="s">
        <v>1780</v>
      </c>
      <c r="E401" s="2" t="s">
        <v>1783</v>
      </c>
      <c r="F401" s="2">
        <v>72</v>
      </c>
      <c r="G401" s="2" t="s">
        <v>23</v>
      </c>
      <c r="H401" s="13">
        <v>7</v>
      </c>
      <c r="I401" s="14">
        <v>0.11084077878058052</v>
      </c>
    </row>
    <row r="402" spans="1:9" ht="14.25" customHeight="1" x14ac:dyDescent="0.3">
      <c r="A402" s="2" t="s">
        <v>971</v>
      </c>
      <c r="B402" s="2" t="s">
        <v>1766</v>
      </c>
      <c r="C402" s="12">
        <v>44753</v>
      </c>
      <c r="D402" s="2" t="s">
        <v>1782</v>
      </c>
      <c r="E402" s="2" t="s">
        <v>1781</v>
      </c>
      <c r="F402" s="2">
        <v>65</v>
      </c>
      <c r="G402" s="2" t="s">
        <v>24</v>
      </c>
      <c r="H402" s="13">
        <v>9</v>
      </c>
      <c r="I402" s="14">
        <v>0.26630312920291821</v>
      </c>
    </row>
    <row r="403" spans="1:9" ht="14.25" customHeight="1" x14ac:dyDescent="0.3">
      <c r="A403" s="2" t="s">
        <v>973</v>
      </c>
      <c r="B403" s="2" t="s">
        <v>1768</v>
      </c>
      <c r="C403" s="12">
        <v>44739</v>
      </c>
      <c r="D403" s="2" t="s">
        <v>1784</v>
      </c>
      <c r="E403" s="2" t="s">
        <v>1783</v>
      </c>
      <c r="F403" s="2">
        <v>250</v>
      </c>
      <c r="G403" s="2" t="s">
        <v>25</v>
      </c>
      <c r="H403" s="13">
        <v>3</v>
      </c>
      <c r="I403" s="14">
        <v>0.13279161787420113</v>
      </c>
    </row>
    <row r="404" spans="1:9" ht="14.25" customHeight="1" x14ac:dyDescent="0.3">
      <c r="A404" s="2" t="s">
        <v>975</v>
      </c>
      <c r="B404" s="2" t="s">
        <v>1770</v>
      </c>
      <c r="C404" s="12">
        <v>44740</v>
      </c>
      <c r="D404" s="2" t="s">
        <v>1785</v>
      </c>
      <c r="E404" s="2" t="s">
        <v>1781</v>
      </c>
      <c r="F404" s="2">
        <v>130</v>
      </c>
      <c r="G404" s="2" t="s">
        <v>23</v>
      </c>
      <c r="H404" s="13">
        <v>4</v>
      </c>
      <c r="I404" s="14">
        <v>0.20794478004129135</v>
      </c>
    </row>
    <row r="405" spans="1:9" ht="14.25" customHeight="1" x14ac:dyDescent="0.3">
      <c r="A405" s="2" t="s">
        <v>977</v>
      </c>
      <c r="B405" s="2" t="s">
        <v>1772</v>
      </c>
      <c r="C405" s="12">
        <v>44748</v>
      </c>
      <c r="D405" s="2" t="s">
        <v>1786</v>
      </c>
      <c r="E405" s="2" t="s">
        <v>1783</v>
      </c>
      <c r="F405" s="2">
        <v>60</v>
      </c>
      <c r="G405" s="2" t="s">
        <v>24</v>
      </c>
      <c r="H405" s="13">
        <v>12</v>
      </c>
      <c r="I405" s="14">
        <v>0.76031378549826045</v>
      </c>
    </row>
    <row r="406" spans="1:9" ht="14.25" customHeight="1" x14ac:dyDescent="0.3">
      <c r="A406" s="2" t="s">
        <v>979</v>
      </c>
      <c r="B406" s="2" t="s">
        <v>1773</v>
      </c>
      <c r="C406" s="12">
        <v>44731</v>
      </c>
      <c r="D406" s="2" t="s">
        <v>1787</v>
      </c>
      <c r="E406" s="2" t="s">
        <v>1781</v>
      </c>
      <c r="F406" s="2">
        <v>95</v>
      </c>
      <c r="G406" s="2" t="s">
        <v>25</v>
      </c>
      <c r="H406" s="13">
        <v>8</v>
      </c>
      <c r="I406" s="14">
        <v>0.23804641255169789</v>
      </c>
    </row>
    <row r="407" spans="1:9" ht="14.25" customHeight="1" x14ac:dyDescent="0.3">
      <c r="A407" s="2" t="s">
        <v>981</v>
      </c>
      <c r="B407" s="2" t="s">
        <v>1764</v>
      </c>
      <c r="C407" s="12">
        <v>44763</v>
      </c>
      <c r="D407" s="2" t="s">
        <v>1780</v>
      </c>
      <c r="E407" s="2" t="s">
        <v>1783</v>
      </c>
      <c r="F407" s="2">
        <v>72</v>
      </c>
      <c r="G407" s="2" t="s">
        <v>23</v>
      </c>
      <c r="H407" s="13">
        <v>5</v>
      </c>
      <c r="I407" s="14">
        <v>0.12523689369936652</v>
      </c>
    </row>
    <row r="408" spans="1:9" ht="14.25" customHeight="1" x14ac:dyDescent="0.3">
      <c r="A408" s="2" t="s">
        <v>983</v>
      </c>
      <c r="B408" s="2" t="s">
        <v>1766</v>
      </c>
      <c r="C408" s="12">
        <v>44733</v>
      </c>
      <c r="D408" s="2" t="s">
        <v>1782</v>
      </c>
      <c r="E408" s="2" t="s">
        <v>1781</v>
      </c>
      <c r="F408" s="2">
        <v>65</v>
      </c>
      <c r="G408" s="2" t="s">
        <v>24</v>
      </c>
      <c r="H408" s="13">
        <v>4</v>
      </c>
      <c r="I408" s="14">
        <v>6.7101746358327108E-2</v>
      </c>
    </row>
    <row r="409" spans="1:9" ht="14.25" customHeight="1" x14ac:dyDescent="0.3">
      <c r="A409" s="2" t="s">
        <v>985</v>
      </c>
      <c r="B409" s="2" t="s">
        <v>1768</v>
      </c>
      <c r="C409" s="12">
        <v>44746</v>
      </c>
      <c r="D409" s="2" t="s">
        <v>1784</v>
      </c>
      <c r="E409" s="2" t="s">
        <v>1783</v>
      </c>
      <c r="F409" s="2">
        <v>250</v>
      </c>
      <c r="G409" s="2" t="s">
        <v>25</v>
      </c>
      <c r="H409" s="13">
        <v>2</v>
      </c>
      <c r="I409" s="14">
        <v>0.98970617123906524</v>
      </c>
    </row>
    <row r="410" spans="1:9" ht="14.25" customHeight="1" x14ac:dyDescent="0.3">
      <c r="A410" s="2" t="s">
        <v>987</v>
      </c>
      <c r="B410" s="2" t="s">
        <v>1770</v>
      </c>
      <c r="C410" s="12">
        <v>44755</v>
      </c>
      <c r="D410" s="2" t="s">
        <v>1785</v>
      </c>
      <c r="E410" s="2" t="s">
        <v>1781</v>
      </c>
      <c r="F410" s="2">
        <v>130</v>
      </c>
      <c r="G410" s="2" t="s">
        <v>23</v>
      </c>
      <c r="H410" s="13">
        <v>2</v>
      </c>
      <c r="I410" s="14">
        <v>0.26202679185175082</v>
      </c>
    </row>
    <row r="411" spans="1:9" ht="14.25" customHeight="1" x14ac:dyDescent="0.3">
      <c r="A411" s="2" t="s">
        <v>989</v>
      </c>
      <c r="B411" s="2" t="s">
        <v>1764</v>
      </c>
      <c r="C411" s="12">
        <v>44755</v>
      </c>
      <c r="D411" s="2" t="s">
        <v>1780</v>
      </c>
      <c r="E411" s="2" t="s">
        <v>1783</v>
      </c>
      <c r="F411" s="2">
        <v>72</v>
      </c>
      <c r="G411" s="2" t="s">
        <v>24</v>
      </c>
      <c r="H411" s="13">
        <v>10</v>
      </c>
      <c r="I411" s="14">
        <v>0.87263143953916489</v>
      </c>
    </row>
    <row r="412" spans="1:9" ht="14.25" customHeight="1" x14ac:dyDescent="0.3">
      <c r="A412" s="2" t="s">
        <v>991</v>
      </c>
      <c r="B412" s="2" t="s">
        <v>1766</v>
      </c>
      <c r="C412" s="12">
        <v>44727</v>
      </c>
      <c r="D412" s="2" t="s">
        <v>1782</v>
      </c>
      <c r="E412" s="2" t="s">
        <v>1783</v>
      </c>
      <c r="F412" s="2">
        <v>65</v>
      </c>
      <c r="G412" s="2" t="s">
        <v>25</v>
      </c>
      <c r="H412" s="13">
        <v>6</v>
      </c>
      <c r="I412" s="14">
        <v>0.76778137062272289</v>
      </c>
    </row>
    <row r="413" spans="1:9" ht="14.25" customHeight="1" x14ac:dyDescent="0.3">
      <c r="A413" s="2" t="s">
        <v>993</v>
      </c>
      <c r="B413" s="2" t="s">
        <v>1768</v>
      </c>
      <c r="C413" s="12">
        <v>44746</v>
      </c>
      <c r="D413" s="2" t="s">
        <v>1784</v>
      </c>
      <c r="E413" s="2" t="s">
        <v>1783</v>
      </c>
      <c r="F413" s="2">
        <v>250</v>
      </c>
      <c r="G413" s="2" t="s">
        <v>23</v>
      </c>
      <c r="H413" s="13">
        <v>1</v>
      </c>
      <c r="I413" s="14">
        <v>0.15750010631121669</v>
      </c>
    </row>
    <row r="414" spans="1:9" ht="14.25" customHeight="1" x14ac:dyDescent="0.3">
      <c r="A414" s="2" t="s">
        <v>995</v>
      </c>
      <c r="B414" s="2" t="s">
        <v>1770</v>
      </c>
      <c r="C414" s="12">
        <v>44740</v>
      </c>
      <c r="D414" s="2" t="s">
        <v>1780</v>
      </c>
      <c r="E414" s="2" t="s">
        <v>1783</v>
      </c>
      <c r="F414" s="2">
        <v>72</v>
      </c>
      <c r="G414" s="2" t="s">
        <v>24</v>
      </c>
      <c r="H414" s="13">
        <v>9</v>
      </c>
      <c r="I414" s="14">
        <v>0.53570171465492589</v>
      </c>
    </row>
    <row r="415" spans="1:9" ht="14.25" customHeight="1" x14ac:dyDescent="0.3">
      <c r="A415" s="2" t="s">
        <v>997</v>
      </c>
      <c r="B415" s="2" t="s">
        <v>1764</v>
      </c>
      <c r="C415" s="12">
        <v>44743</v>
      </c>
      <c r="D415" s="2" t="s">
        <v>1782</v>
      </c>
      <c r="E415" s="2" t="s">
        <v>1783</v>
      </c>
      <c r="F415" s="2">
        <v>65</v>
      </c>
      <c r="G415" s="2" t="s">
        <v>25</v>
      </c>
      <c r="H415" s="13">
        <v>7</v>
      </c>
      <c r="I415" s="14">
        <v>0.88217490075954386</v>
      </c>
    </row>
    <row r="416" spans="1:9" ht="14.25" customHeight="1" x14ac:dyDescent="0.3">
      <c r="A416" s="2" t="s">
        <v>999</v>
      </c>
      <c r="B416" s="2" t="s">
        <v>1766</v>
      </c>
      <c r="C416" s="12">
        <v>44737</v>
      </c>
      <c r="D416" s="2" t="s">
        <v>1784</v>
      </c>
      <c r="E416" s="2" t="s">
        <v>1781</v>
      </c>
      <c r="F416" s="2">
        <v>250</v>
      </c>
      <c r="G416" s="2" t="s">
        <v>25</v>
      </c>
      <c r="H416" s="13">
        <v>3</v>
      </c>
      <c r="I416" s="14">
        <v>7.4850081465574259E-2</v>
      </c>
    </row>
    <row r="417" spans="1:9" ht="14.25" customHeight="1" x14ac:dyDescent="0.3">
      <c r="A417" s="2" t="s">
        <v>1001</v>
      </c>
      <c r="B417" s="2" t="s">
        <v>1768</v>
      </c>
      <c r="C417" s="12">
        <v>44757</v>
      </c>
      <c r="D417" s="2" t="s">
        <v>1785</v>
      </c>
      <c r="E417" s="2" t="s">
        <v>1783</v>
      </c>
      <c r="F417" s="2">
        <v>130</v>
      </c>
      <c r="G417" s="2" t="s">
        <v>23</v>
      </c>
      <c r="H417" s="13">
        <v>4</v>
      </c>
      <c r="I417" s="14">
        <v>0.4623515242530305</v>
      </c>
    </row>
    <row r="418" spans="1:9" ht="14.25" customHeight="1" x14ac:dyDescent="0.3">
      <c r="A418" s="2" t="s">
        <v>1003</v>
      </c>
      <c r="B418" s="2" t="s">
        <v>1770</v>
      </c>
      <c r="C418" s="12">
        <v>44745</v>
      </c>
      <c r="D418" s="2" t="s">
        <v>1780</v>
      </c>
      <c r="E418" s="2" t="s">
        <v>1781</v>
      </c>
      <c r="F418" s="2">
        <v>72</v>
      </c>
      <c r="G418" s="2" t="s">
        <v>24</v>
      </c>
      <c r="H418" s="13">
        <v>10</v>
      </c>
      <c r="I418" s="14">
        <v>0.34462700763177134</v>
      </c>
    </row>
    <row r="419" spans="1:9" ht="14.25" customHeight="1" x14ac:dyDescent="0.3">
      <c r="A419" s="2" t="s">
        <v>1005</v>
      </c>
      <c r="B419" s="2" t="s">
        <v>1764</v>
      </c>
      <c r="C419" s="12">
        <v>44760</v>
      </c>
      <c r="D419" s="2" t="s">
        <v>1782</v>
      </c>
      <c r="E419" s="2" t="s">
        <v>1783</v>
      </c>
      <c r="F419" s="2">
        <v>65</v>
      </c>
      <c r="G419" s="2" t="s">
        <v>25</v>
      </c>
      <c r="H419" s="13">
        <v>7</v>
      </c>
      <c r="I419" s="14">
        <v>0.69911624131260175</v>
      </c>
    </row>
    <row r="420" spans="1:9" ht="14.25" customHeight="1" x14ac:dyDescent="0.3">
      <c r="A420" s="2" t="s">
        <v>1007</v>
      </c>
      <c r="B420" s="2" t="s">
        <v>1766</v>
      </c>
      <c r="C420" s="12">
        <v>44750</v>
      </c>
      <c r="D420" s="2" t="s">
        <v>1784</v>
      </c>
      <c r="E420" s="2" t="s">
        <v>1781</v>
      </c>
      <c r="F420" s="2">
        <v>250</v>
      </c>
      <c r="G420" s="2" t="s">
        <v>23</v>
      </c>
      <c r="H420" s="13">
        <v>1</v>
      </c>
      <c r="I420" s="14">
        <v>1.890946986705988E-2</v>
      </c>
    </row>
    <row r="421" spans="1:9" ht="14.25" customHeight="1" x14ac:dyDescent="0.3">
      <c r="A421" s="2" t="s">
        <v>1009</v>
      </c>
      <c r="B421" s="2" t="s">
        <v>1768</v>
      </c>
      <c r="C421" s="12">
        <v>44742</v>
      </c>
      <c r="D421" s="2" t="s">
        <v>1785</v>
      </c>
      <c r="E421" s="2" t="s">
        <v>1783</v>
      </c>
      <c r="F421" s="2">
        <v>130</v>
      </c>
      <c r="G421" s="2" t="s">
        <v>24</v>
      </c>
      <c r="H421" s="13">
        <v>5</v>
      </c>
      <c r="I421" s="14">
        <v>0.73245470088007136</v>
      </c>
    </row>
    <row r="422" spans="1:9" ht="14.25" customHeight="1" x14ac:dyDescent="0.3">
      <c r="A422" s="2" t="s">
        <v>1011</v>
      </c>
      <c r="B422" s="2" t="s">
        <v>1770</v>
      </c>
      <c r="C422" s="12">
        <v>44754</v>
      </c>
      <c r="D422" s="2" t="s">
        <v>1786</v>
      </c>
      <c r="E422" s="2" t="s">
        <v>1781</v>
      </c>
      <c r="F422" s="2">
        <v>60</v>
      </c>
      <c r="G422" s="2" t="s">
        <v>25</v>
      </c>
      <c r="H422" s="13">
        <v>5</v>
      </c>
      <c r="I422" s="14">
        <v>0.72297451744539321</v>
      </c>
    </row>
    <row r="423" spans="1:9" ht="14.25" customHeight="1" x14ac:dyDescent="0.3">
      <c r="A423" s="2" t="s">
        <v>1013</v>
      </c>
      <c r="B423" s="2" t="s">
        <v>1772</v>
      </c>
      <c r="C423" s="12">
        <v>44746</v>
      </c>
      <c r="D423" s="2" t="s">
        <v>1780</v>
      </c>
      <c r="E423" s="2" t="s">
        <v>1783</v>
      </c>
      <c r="F423" s="2">
        <v>72</v>
      </c>
      <c r="G423" s="2" t="s">
        <v>23</v>
      </c>
      <c r="H423" s="13">
        <v>9</v>
      </c>
      <c r="I423" s="14">
        <v>0.97417776505363807</v>
      </c>
    </row>
    <row r="424" spans="1:9" ht="14.25" customHeight="1" x14ac:dyDescent="0.3">
      <c r="A424" s="2" t="s">
        <v>1015</v>
      </c>
      <c r="B424" s="2" t="s">
        <v>1764</v>
      </c>
      <c r="C424" s="12">
        <v>44752</v>
      </c>
      <c r="D424" s="2" t="s">
        <v>1782</v>
      </c>
      <c r="E424" s="2" t="s">
        <v>1781</v>
      </c>
      <c r="F424" s="2">
        <v>65</v>
      </c>
      <c r="G424" s="2" t="s">
        <v>24</v>
      </c>
      <c r="H424" s="13">
        <v>7</v>
      </c>
      <c r="I424" s="14">
        <v>0.92441295707634297</v>
      </c>
    </row>
    <row r="425" spans="1:9" ht="14.25" customHeight="1" x14ac:dyDescent="0.3">
      <c r="A425" s="2" t="s">
        <v>1017</v>
      </c>
      <c r="B425" s="2" t="s">
        <v>1766</v>
      </c>
      <c r="C425" s="12">
        <v>44725</v>
      </c>
      <c r="D425" s="2" t="s">
        <v>1784</v>
      </c>
      <c r="E425" s="2" t="s">
        <v>1783</v>
      </c>
      <c r="F425" s="2">
        <v>250</v>
      </c>
      <c r="G425" s="2" t="s">
        <v>25</v>
      </c>
      <c r="H425" s="13">
        <v>3</v>
      </c>
      <c r="I425" s="14">
        <v>0.34841204291363526</v>
      </c>
    </row>
    <row r="426" spans="1:9" ht="14.25" customHeight="1" x14ac:dyDescent="0.3">
      <c r="A426" s="2" t="s">
        <v>1019</v>
      </c>
      <c r="B426" s="2" t="s">
        <v>1768</v>
      </c>
      <c r="C426" s="12">
        <v>44734</v>
      </c>
      <c r="D426" s="2" t="s">
        <v>1785</v>
      </c>
      <c r="E426" s="2" t="s">
        <v>1781</v>
      </c>
      <c r="F426" s="2">
        <v>130</v>
      </c>
      <c r="G426" s="2" t="s">
        <v>23</v>
      </c>
      <c r="H426" s="13">
        <v>7</v>
      </c>
      <c r="I426" s="14">
        <v>0.36862795502486845</v>
      </c>
    </row>
    <row r="427" spans="1:9" ht="14.25" customHeight="1" x14ac:dyDescent="0.3">
      <c r="A427" s="2" t="s">
        <v>1021</v>
      </c>
      <c r="B427" s="2" t="s">
        <v>1770</v>
      </c>
      <c r="C427" s="12">
        <v>44761</v>
      </c>
      <c r="D427" s="2" t="s">
        <v>1780</v>
      </c>
      <c r="E427" s="2" t="s">
        <v>1783</v>
      </c>
      <c r="F427" s="2">
        <v>72</v>
      </c>
      <c r="G427" s="2" t="s">
        <v>24</v>
      </c>
      <c r="H427" s="13">
        <v>12</v>
      </c>
      <c r="I427" s="14">
        <v>0.38279600115505574</v>
      </c>
    </row>
    <row r="428" spans="1:9" ht="14.25" customHeight="1" x14ac:dyDescent="0.3">
      <c r="A428" s="2" t="s">
        <v>1023</v>
      </c>
      <c r="B428" s="2" t="s">
        <v>1764</v>
      </c>
      <c r="C428" s="12">
        <v>44735</v>
      </c>
      <c r="D428" s="2" t="s">
        <v>1782</v>
      </c>
      <c r="E428" s="2" t="s">
        <v>1781</v>
      </c>
      <c r="F428" s="2">
        <v>65</v>
      </c>
      <c r="G428" s="2" t="s">
        <v>25</v>
      </c>
      <c r="H428" s="13">
        <v>7</v>
      </c>
      <c r="I428" s="14">
        <v>0.77278161923763322</v>
      </c>
    </row>
    <row r="429" spans="1:9" ht="14.25" customHeight="1" x14ac:dyDescent="0.3">
      <c r="A429" s="2" t="s">
        <v>1025</v>
      </c>
      <c r="B429" s="2" t="s">
        <v>1766</v>
      </c>
      <c r="C429" s="12">
        <v>44753</v>
      </c>
      <c r="D429" s="2" t="s">
        <v>1784</v>
      </c>
      <c r="E429" s="2" t="s">
        <v>1783</v>
      </c>
      <c r="F429" s="2">
        <v>250</v>
      </c>
      <c r="G429" s="2" t="s">
        <v>23</v>
      </c>
      <c r="H429" s="13">
        <v>3</v>
      </c>
      <c r="I429" s="14">
        <v>0.98194581947705439</v>
      </c>
    </row>
    <row r="430" spans="1:9" ht="14.25" customHeight="1" x14ac:dyDescent="0.3">
      <c r="A430" s="2" t="s">
        <v>1027</v>
      </c>
      <c r="B430" s="2" t="s">
        <v>1768</v>
      </c>
      <c r="C430" s="12">
        <v>44732</v>
      </c>
      <c r="D430" s="2" t="s">
        <v>1785</v>
      </c>
      <c r="E430" s="2" t="s">
        <v>1781</v>
      </c>
      <c r="F430" s="2">
        <v>130</v>
      </c>
      <c r="G430" s="2" t="s">
        <v>24</v>
      </c>
      <c r="H430" s="13">
        <v>6</v>
      </c>
      <c r="I430" s="14">
        <v>0.24372632968767749</v>
      </c>
    </row>
    <row r="431" spans="1:9" ht="14.25" customHeight="1" x14ac:dyDescent="0.3">
      <c r="A431" s="2" t="s">
        <v>1029</v>
      </c>
      <c r="B431" s="2" t="s">
        <v>1770</v>
      </c>
      <c r="C431" s="12">
        <v>44748</v>
      </c>
      <c r="D431" s="2" t="s">
        <v>1786</v>
      </c>
      <c r="E431" s="2" t="s">
        <v>1783</v>
      </c>
      <c r="F431" s="2">
        <v>60</v>
      </c>
      <c r="G431" s="2" t="s">
        <v>25</v>
      </c>
      <c r="H431" s="13">
        <v>14</v>
      </c>
      <c r="I431" s="14">
        <v>0.50977491571581557</v>
      </c>
    </row>
    <row r="432" spans="1:9" ht="14.25" customHeight="1" x14ac:dyDescent="0.3">
      <c r="A432" s="2" t="s">
        <v>1031</v>
      </c>
      <c r="B432" s="2" t="s">
        <v>1772</v>
      </c>
      <c r="C432" s="12">
        <v>44731</v>
      </c>
      <c r="D432" s="2" t="s">
        <v>1787</v>
      </c>
      <c r="E432" s="2" t="s">
        <v>1781</v>
      </c>
      <c r="F432" s="2">
        <v>95</v>
      </c>
      <c r="G432" s="2" t="s">
        <v>23</v>
      </c>
      <c r="H432" s="13">
        <v>7</v>
      </c>
      <c r="I432" s="14">
        <v>0.99123744515485723</v>
      </c>
    </row>
    <row r="433" spans="1:9" ht="14.25" customHeight="1" x14ac:dyDescent="0.3">
      <c r="A433" s="2" t="s">
        <v>1033</v>
      </c>
      <c r="B433" s="2" t="s">
        <v>1773</v>
      </c>
      <c r="C433" s="12">
        <v>44725</v>
      </c>
      <c r="D433" s="2" t="s">
        <v>1780</v>
      </c>
      <c r="E433" s="2" t="s">
        <v>1783</v>
      </c>
      <c r="F433" s="2">
        <v>72</v>
      </c>
      <c r="G433" s="2" t="s">
        <v>24</v>
      </c>
      <c r="H433" s="13">
        <v>5</v>
      </c>
      <c r="I433" s="14">
        <v>0.58001027642401182</v>
      </c>
    </row>
    <row r="434" spans="1:9" ht="14.25" customHeight="1" x14ac:dyDescent="0.3">
      <c r="A434" s="2" t="s">
        <v>1035</v>
      </c>
      <c r="B434" s="2" t="s">
        <v>1764</v>
      </c>
      <c r="C434" s="12">
        <v>44753</v>
      </c>
      <c r="D434" s="2" t="s">
        <v>1782</v>
      </c>
      <c r="E434" s="2" t="s">
        <v>1783</v>
      </c>
      <c r="F434" s="2">
        <v>65</v>
      </c>
      <c r="G434" s="2" t="s">
        <v>25</v>
      </c>
      <c r="H434" s="13">
        <v>8</v>
      </c>
      <c r="I434" s="14">
        <v>0.20099809520802481</v>
      </c>
    </row>
    <row r="435" spans="1:9" ht="14.25" customHeight="1" x14ac:dyDescent="0.3">
      <c r="A435" s="2" t="s">
        <v>1037</v>
      </c>
      <c r="B435" s="2" t="s">
        <v>1766</v>
      </c>
      <c r="C435" s="12">
        <v>44738</v>
      </c>
      <c r="D435" s="2" t="s">
        <v>1784</v>
      </c>
      <c r="E435" s="2" t="s">
        <v>1783</v>
      </c>
      <c r="F435" s="2">
        <v>250</v>
      </c>
      <c r="G435" s="2" t="s">
        <v>23</v>
      </c>
      <c r="H435" s="13">
        <v>3</v>
      </c>
      <c r="I435" s="14">
        <v>8.7589082057090373E-2</v>
      </c>
    </row>
    <row r="436" spans="1:9" ht="14.25" customHeight="1" x14ac:dyDescent="0.3">
      <c r="A436" s="2" t="s">
        <v>1039</v>
      </c>
      <c r="B436" s="2" t="s">
        <v>1768</v>
      </c>
      <c r="C436" s="12">
        <v>44762</v>
      </c>
      <c r="D436" s="2" t="s">
        <v>1785</v>
      </c>
      <c r="E436" s="2" t="s">
        <v>1783</v>
      </c>
      <c r="F436" s="2">
        <v>130</v>
      </c>
      <c r="G436" s="2" t="s">
        <v>24</v>
      </c>
      <c r="H436" s="13">
        <v>4</v>
      </c>
      <c r="I436" s="14">
        <v>0.92203517798439572</v>
      </c>
    </row>
    <row r="437" spans="1:9" ht="14.25" customHeight="1" x14ac:dyDescent="0.3">
      <c r="A437" s="2" t="s">
        <v>1041</v>
      </c>
      <c r="B437" s="2" t="s">
        <v>1770</v>
      </c>
      <c r="C437" s="12">
        <v>44756</v>
      </c>
      <c r="D437" s="2" t="s">
        <v>1780</v>
      </c>
      <c r="E437" s="2" t="s">
        <v>1783</v>
      </c>
      <c r="F437" s="2">
        <v>72</v>
      </c>
      <c r="G437" s="2" t="s">
        <v>25</v>
      </c>
      <c r="H437" s="13">
        <v>10</v>
      </c>
      <c r="I437" s="14">
        <v>0.40646951216415605</v>
      </c>
    </row>
    <row r="438" spans="1:9" ht="14.25" customHeight="1" x14ac:dyDescent="0.3">
      <c r="A438" s="2" t="s">
        <v>1043</v>
      </c>
      <c r="B438" s="2" t="s">
        <v>1764</v>
      </c>
      <c r="C438" s="12">
        <v>44744</v>
      </c>
      <c r="D438" s="2" t="s">
        <v>1782</v>
      </c>
      <c r="E438" s="2" t="s">
        <v>1781</v>
      </c>
      <c r="F438" s="2">
        <v>65</v>
      </c>
      <c r="G438" s="2" t="s">
        <v>23</v>
      </c>
      <c r="H438" s="13">
        <v>4</v>
      </c>
      <c r="I438" s="14">
        <v>0.45522048494031297</v>
      </c>
    </row>
    <row r="439" spans="1:9" ht="14.25" customHeight="1" x14ac:dyDescent="0.3">
      <c r="A439" s="2" t="s">
        <v>1045</v>
      </c>
      <c r="B439" s="2" t="s">
        <v>1766</v>
      </c>
      <c r="C439" s="12">
        <v>44753</v>
      </c>
      <c r="D439" s="2" t="s">
        <v>1784</v>
      </c>
      <c r="E439" s="2" t="s">
        <v>1783</v>
      </c>
      <c r="F439" s="2">
        <v>250</v>
      </c>
      <c r="G439" s="2" t="s">
        <v>24</v>
      </c>
      <c r="H439" s="13">
        <v>3</v>
      </c>
      <c r="I439" s="14">
        <v>0.45514828780898176</v>
      </c>
    </row>
    <row r="440" spans="1:9" ht="14.25" customHeight="1" x14ac:dyDescent="0.3">
      <c r="A440" s="2" t="s">
        <v>1047</v>
      </c>
      <c r="B440" s="2" t="s">
        <v>1768</v>
      </c>
      <c r="C440" s="12">
        <v>44762</v>
      </c>
      <c r="D440" s="2" t="s">
        <v>1785</v>
      </c>
      <c r="E440" s="2" t="s">
        <v>1781</v>
      </c>
      <c r="F440" s="2">
        <v>130</v>
      </c>
      <c r="G440" s="2" t="s">
        <v>25</v>
      </c>
      <c r="H440" s="13">
        <v>2</v>
      </c>
      <c r="I440" s="14">
        <v>0.30126486834826394</v>
      </c>
    </row>
    <row r="441" spans="1:9" ht="14.25" customHeight="1" x14ac:dyDescent="0.3">
      <c r="A441" s="2" t="s">
        <v>1049</v>
      </c>
      <c r="B441" s="2" t="s">
        <v>1770</v>
      </c>
      <c r="C441" s="12">
        <v>44740</v>
      </c>
      <c r="D441" s="2" t="s">
        <v>1786</v>
      </c>
      <c r="E441" s="2" t="s">
        <v>1783</v>
      </c>
      <c r="F441" s="2">
        <v>60</v>
      </c>
      <c r="G441" s="2" t="s">
        <v>23</v>
      </c>
      <c r="H441" s="13">
        <v>4</v>
      </c>
      <c r="I441" s="14">
        <v>0.22886312078587356</v>
      </c>
    </row>
    <row r="442" spans="1:9" ht="14.25" customHeight="1" x14ac:dyDescent="0.3">
      <c r="A442" s="2" t="s">
        <v>1051</v>
      </c>
      <c r="B442" s="2" t="s">
        <v>1772</v>
      </c>
      <c r="C442" s="12">
        <v>44729</v>
      </c>
      <c r="D442" s="2" t="s">
        <v>1780</v>
      </c>
      <c r="E442" s="2" t="s">
        <v>1781</v>
      </c>
      <c r="F442" s="2">
        <v>72</v>
      </c>
      <c r="G442" s="2" t="s">
        <v>24</v>
      </c>
      <c r="H442" s="13">
        <v>4</v>
      </c>
      <c r="I442" s="14">
        <v>0.4885587902090005</v>
      </c>
    </row>
    <row r="443" spans="1:9" ht="14.25" customHeight="1" x14ac:dyDescent="0.3">
      <c r="A443" s="2" t="s">
        <v>1053</v>
      </c>
      <c r="B443" s="2" t="s">
        <v>1764</v>
      </c>
      <c r="C443" s="12">
        <v>44727</v>
      </c>
      <c r="D443" s="2" t="s">
        <v>1782</v>
      </c>
      <c r="E443" s="2" t="s">
        <v>1783</v>
      </c>
      <c r="F443" s="2">
        <v>65</v>
      </c>
      <c r="G443" s="2" t="s">
        <v>25</v>
      </c>
      <c r="H443" s="13">
        <v>7</v>
      </c>
      <c r="I443" s="14">
        <v>0.88301012782394861</v>
      </c>
    </row>
    <row r="444" spans="1:9" ht="14.25" customHeight="1" x14ac:dyDescent="0.3">
      <c r="A444" s="2" t="s">
        <v>1055</v>
      </c>
      <c r="B444" s="2" t="s">
        <v>1766</v>
      </c>
      <c r="C444" s="12">
        <v>44734</v>
      </c>
      <c r="D444" s="2" t="s">
        <v>1784</v>
      </c>
      <c r="E444" s="2" t="s">
        <v>1781</v>
      </c>
      <c r="F444" s="2">
        <v>250</v>
      </c>
      <c r="G444" s="2" t="s">
        <v>23</v>
      </c>
      <c r="H444" s="13">
        <v>2</v>
      </c>
      <c r="I444" s="14">
        <v>0.30705024398286174</v>
      </c>
    </row>
    <row r="445" spans="1:9" ht="14.25" customHeight="1" x14ac:dyDescent="0.3">
      <c r="A445" s="2" t="s">
        <v>1057</v>
      </c>
      <c r="B445" s="2" t="s">
        <v>1768</v>
      </c>
      <c r="C445" s="12">
        <v>44744</v>
      </c>
      <c r="D445" s="2" t="s">
        <v>1785</v>
      </c>
      <c r="E445" s="2" t="s">
        <v>1783</v>
      </c>
      <c r="F445" s="2">
        <v>130</v>
      </c>
      <c r="G445" s="2" t="s">
        <v>24</v>
      </c>
      <c r="H445" s="13">
        <v>6</v>
      </c>
      <c r="I445" s="14">
        <v>0.85704939563753491</v>
      </c>
    </row>
    <row r="446" spans="1:9" ht="14.25" customHeight="1" x14ac:dyDescent="0.3">
      <c r="A446" s="2" t="s">
        <v>1059</v>
      </c>
      <c r="B446" s="2" t="s">
        <v>1770</v>
      </c>
      <c r="C446" s="12">
        <v>44737</v>
      </c>
      <c r="D446" s="2" t="s">
        <v>1780</v>
      </c>
      <c r="E446" s="2" t="s">
        <v>1781</v>
      </c>
      <c r="F446" s="2">
        <v>72</v>
      </c>
      <c r="G446" s="2" t="s">
        <v>25</v>
      </c>
      <c r="H446" s="13">
        <v>9</v>
      </c>
      <c r="I446" s="14">
        <v>0.29159802445516347</v>
      </c>
    </row>
    <row r="447" spans="1:9" ht="14.25" customHeight="1" x14ac:dyDescent="0.3">
      <c r="A447" s="2" t="s">
        <v>1061</v>
      </c>
      <c r="B447" s="2" t="s">
        <v>1764</v>
      </c>
      <c r="C447" s="12">
        <v>44752</v>
      </c>
      <c r="D447" s="2" t="s">
        <v>1782</v>
      </c>
      <c r="E447" s="2" t="s">
        <v>1783</v>
      </c>
      <c r="F447" s="2">
        <v>65</v>
      </c>
      <c r="G447" s="2" t="s">
        <v>23</v>
      </c>
      <c r="H447" s="13">
        <v>9</v>
      </c>
      <c r="I447" s="14">
        <v>0.2589445683285162</v>
      </c>
    </row>
    <row r="448" spans="1:9" ht="14.25" customHeight="1" x14ac:dyDescent="0.3">
      <c r="A448" s="2" t="s">
        <v>1063</v>
      </c>
      <c r="B448" s="2" t="s">
        <v>1766</v>
      </c>
      <c r="C448" s="12">
        <v>44736</v>
      </c>
      <c r="D448" s="2" t="s">
        <v>1784</v>
      </c>
      <c r="E448" s="2" t="s">
        <v>1781</v>
      </c>
      <c r="F448" s="2">
        <v>250</v>
      </c>
      <c r="G448" s="2" t="s">
        <v>24</v>
      </c>
      <c r="H448" s="13">
        <v>2</v>
      </c>
      <c r="I448" s="14">
        <v>0.2954209948681138</v>
      </c>
    </row>
    <row r="449" spans="1:9" ht="14.25" customHeight="1" x14ac:dyDescent="0.3">
      <c r="A449" s="2" t="s">
        <v>1065</v>
      </c>
      <c r="B449" s="2" t="s">
        <v>1768</v>
      </c>
      <c r="C449" s="12">
        <v>44752</v>
      </c>
      <c r="D449" s="2" t="s">
        <v>1785</v>
      </c>
      <c r="E449" s="2" t="s">
        <v>1783</v>
      </c>
      <c r="F449" s="2">
        <v>130</v>
      </c>
      <c r="G449" s="2" t="s">
        <v>25</v>
      </c>
      <c r="H449" s="13">
        <v>2</v>
      </c>
      <c r="I449" s="14">
        <v>7.4202009604403041E-2</v>
      </c>
    </row>
    <row r="450" spans="1:9" ht="14.25" customHeight="1" x14ac:dyDescent="0.3">
      <c r="A450" s="2" t="s">
        <v>1067</v>
      </c>
      <c r="B450" s="2" t="s">
        <v>1770</v>
      </c>
      <c r="C450" s="12">
        <v>44759</v>
      </c>
      <c r="D450" s="2" t="s">
        <v>1786</v>
      </c>
      <c r="E450" s="2" t="s">
        <v>1781</v>
      </c>
      <c r="F450" s="2">
        <v>60</v>
      </c>
      <c r="G450" s="2" t="s">
        <v>23</v>
      </c>
      <c r="H450" s="13">
        <v>11</v>
      </c>
      <c r="I450" s="14">
        <v>3.9067003401354383E-2</v>
      </c>
    </row>
    <row r="451" spans="1:9" ht="14.25" customHeight="1" x14ac:dyDescent="0.3">
      <c r="A451" s="2" t="s">
        <v>1069</v>
      </c>
      <c r="B451" s="2" t="s">
        <v>1772</v>
      </c>
      <c r="C451" s="12">
        <v>44763</v>
      </c>
      <c r="D451" s="2" t="s">
        <v>1787</v>
      </c>
      <c r="E451" s="2" t="s">
        <v>1783</v>
      </c>
      <c r="F451" s="2">
        <v>95</v>
      </c>
      <c r="G451" s="2" t="s">
        <v>24</v>
      </c>
      <c r="H451" s="13">
        <v>4</v>
      </c>
      <c r="I451" s="14">
        <v>0.76468504660372305</v>
      </c>
    </row>
    <row r="452" spans="1:9" ht="14.25" customHeight="1" x14ac:dyDescent="0.3">
      <c r="A452" s="2" t="s">
        <v>1071</v>
      </c>
      <c r="B452" s="2" t="s">
        <v>1773</v>
      </c>
      <c r="C452" s="12">
        <v>44763</v>
      </c>
      <c r="D452" s="2" t="s">
        <v>1780</v>
      </c>
      <c r="E452" s="2" t="s">
        <v>1781</v>
      </c>
      <c r="F452" s="2">
        <v>72</v>
      </c>
      <c r="G452" s="2" t="s">
        <v>25</v>
      </c>
      <c r="H452" s="13">
        <v>11</v>
      </c>
      <c r="I452" s="14">
        <v>0.74867480539232067</v>
      </c>
    </row>
    <row r="453" spans="1:9" ht="14.25" customHeight="1" x14ac:dyDescent="0.3">
      <c r="A453" s="2" t="s">
        <v>1073</v>
      </c>
      <c r="B453" s="2" t="s">
        <v>1764</v>
      </c>
      <c r="C453" s="12">
        <v>44750</v>
      </c>
      <c r="D453" s="2" t="s">
        <v>1782</v>
      </c>
      <c r="E453" s="2" t="s">
        <v>1783</v>
      </c>
      <c r="F453" s="2">
        <v>65</v>
      </c>
      <c r="G453" s="2" t="s">
        <v>23</v>
      </c>
      <c r="H453" s="13">
        <v>6</v>
      </c>
      <c r="I453" s="14">
        <v>0.69300939202757139</v>
      </c>
    </row>
    <row r="454" spans="1:9" ht="14.25" customHeight="1" x14ac:dyDescent="0.3">
      <c r="A454" s="2" t="s">
        <v>1075</v>
      </c>
      <c r="B454" s="2" t="s">
        <v>1766</v>
      </c>
      <c r="C454" s="12">
        <v>44751</v>
      </c>
      <c r="D454" s="2" t="s">
        <v>1784</v>
      </c>
      <c r="E454" s="2" t="s">
        <v>1781</v>
      </c>
      <c r="F454" s="2">
        <v>250</v>
      </c>
      <c r="G454" s="2" t="s">
        <v>24</v>
      </c>
      <c r="H454" s="13">
        <v>1</v>
      </c>
      <c r="I454" s="14">
        <v>0.52937391222103747</v>
      </c>
    </row>
    <row r="455" spans="1:9" ht="14.25" customHeight="1" x14ac:dyDescent="0.3">
      <c r="A455" s="2" t="s">
        <v>1077</v>
      </c>
      <c r="B455" s="2" t="s">
        <v>1768</v>
      </c>
      <c r="C455" s="12">
        <v>44736</v>
      </c>
      <c r="D455" s="2" t="s">
        <v>1785</v>
      </c>
      <c r="E455" s="2" t="s">
        <v>1783</v>
      </c>
      <c r="F455" s="2">
        <v>130</v>
      </c>
      <c r="G455" s="2" t="s">
        <v>25</v>
      </c>
      <c r="H455" s="13">
        <v>3</v>
      </c>
      <c r="I455" s="14">
        <v>0.32413514859934134</v>
      </c>
    </row>
    <row r="456" spans="1:9" ht="14.25" customHeight="1" x14ac:dyDescent="0.3">
      <c r="A456" s="2" t="s">
        <v>1079</v>
      </c>
      <c r="B456" s="2" t="s">
        <v>1770</v>
      </c>
      <c r="C456" s="12">
        <v>44737</v>
      </c>
      <c r="D456" s="2" t="s">
        <v>1780</v>
      </c>
      <c r="E456" s="2" t="s">
        <v>1783</v>
      </c>
      <c r="F456" s="2">
        <v>72</v>
      </c>
      <c r="G456" s="2" t="s">
        <v>23</v>
      </c>
      <c r="H456" s="13">
        <v>4</v>
      </c>
      <c r="I456" s="14">
        <v>0.35907775149399723</v>
      </c>
    </row>
    <row r="457" spans="1:9" ht="14.25" customHeight="1" x14ac:dyDescent="0.3">
      <c r="A457" s="2" t="s">
        <v>1081</v>
      </c>
      <c r="B457" s="2" t="s">
        <v>1764</v>
      </c>
      <c r="C457" s="12">
        <v>44744</v>
      </c>
      <c r="D457" s="2" t="s">
        <v>1782</v>
      </c>
      <c r="E457" s="2" t="s">
        <v>1783</v>
      </c>
      <c r="F457" s="2">
        <v>65</v>
      </c>
      <c r="G457" s="2" t="s">
        <v>24</v>
      </c>
      <c r="H457" s="13">
        <v>6</v>
      </c>
      <c r="I457" s="14">
        <v>0.65908590258865696</v>
      </c>
    </row>
    <row r="458" spans="1:9" ht="14.25" customHeight="1" x14ac:dyDescent="0.3">
      <c r="A458" s="2" t="s">
        <v>1083</v>
      </c>
      <c r="B458" s="2" t="s">
        <v>1766</v>
      </c>
      <c r="C458" s="12">
        <v>44735</v>
      </c>
      <c r="D458" s="2" t="s">
        <v>1784</v>
      </c>
      <c r="E458" s="2" t="s">
        <v>1783</v>
      </c>
      <c r="F458" s="2">
        <v>250</v>
      </c>
      <c r="G458" s="2" t="s">
        <v>25</v>
      </c>
      <c r="H458" s="13">
        <v>2</v>
      </c>
      <c r="I458" s="14">
        <v>0.51385178684784039</v>
      </c>
    </row>
    <row r="459" spans="1:9" ht="14.25" customHeight="1" x14ac:dyDescent="0.3">
      <c r="A459" s="2" t="s">
        <v>1085</v>
      </c>
      <c r="B459" s="2" t="s">
        <v>1768</v>
      </c>
      <c r="C459" s="12">
        <v>44751</v>
      </c>
      <c r="D459" s="2" t="s">
        <v>1785</v>
      </c>
      <c r="E459" s="2" t="s">
        <v>1783</v>
      </c>
      <c r="F459" s="2">
        <v>130</v>
      </c>
      <c r="G459" s="2" t="s">
        <v>23</v>
      </c>
      <c r="H459" s="13">
        <v>4</v>
      </c>
      <c r="I459" s="14">
        <v>0.76665009072072687</v>
      </c>
    </row>
    <row r="460" spans="1:9" ht="14.25" customHeight="1" x14ac:dyDescent="0.3">
      <c r="A460" s="2" t="s">
        <v>1087</v>
      </c>
      <c r="B460" s="2" t="s">
        <v>1770</v>
      </c>
      <c r="C460" s="12">
        <v>44726</v>
      </c>
      <c r="D460" s="2" t="s">
        <v>1780</v>
      </c>
      <c r="E460" s="2" t="s">
        <v>1781</v>
      </c>
      <c r="F460" s="2">
        <v>72</v>
      </c>
      <c r="G460" s="2" t="s">
        <v>24</v>
      </c>
      <c r="H460" s="13">
        <v>5</v>
      </c>
      <c r="I460" s="14">
        <v>0.73529214203054083</v>
      </c>
    </row>
    <row r="461" spans="1:9" ht="14.25" customHeight="1" x14ac:dyDescent="0.3">
      <c r="A461" s="2" t="s">
        <v>1089</v>
      </c>
      <c r="B461" s="2" t="s">
        <v>1764</v>
      </c>
      <c r="C461" s="12">
        <v>44749</v>
      </c>
      <c r="D461" s="2" t="s">
        <v>1782</v>
      </c>
      <c r="E461" s="2" t="s">
        <v>1783</v>
      </c>
      <c r="F461" s="2">
        <v>65</v>
      </c>
      <c r="G461" s="2" t="s">
        <v>25</v>
      </c>
      <c r="H461" s="13">
        <v>9</v>
      </c>
      <c r="I461" s="14">
        <v>0.44567996518569519</v>
      </c>
    </row>
    <row r="462" spans="1:9" ht="14.25" customHeight="1" x14ac:dyDescent="0.3">
      <c r="A462" s="2" t="s">
        <v>1091</v>
      </c>
      <c r="B462" s="2" t="s">
        <v>1766</v>
      </c>
      <c r="C462" s="12">
        <v>44734</v>
      </c>
      <c r="D462" s="2" t="s">
        <v>1784</v>
      </c>
      <c r="E462" s="2" t="s">
        <v>1781</v>
      </c>
      <c r="F462" s="2">
        <v>250</v>
      </c>
      <c r="G462" s="2" t="s">
        <v>25</v>
      </c>
      <c r="H462" s="13">
        <v>2</v>
      </c>
      <c r="I462" s="14">
        <v>0.80491760131950119</v>
      </c>
    </row>
    <row r="463" spans="1:9" ht="14.25" customHeight="1" x14ac:dyDescent="0.3">
      <c r="A463" s="2" t="s">
        <v>1093</v>
      </c>
      <c r="B463" s="2" t="s">
        <v>1768</v>
      </c>
      <c r="C463" s="12">
        <v>44726</v>
      </c>
      <c r="D463" s="2" t="s">
        <v>1785</v>
      </c>
      <c r="E463" s="2" t="s">
        <v>1783</v>
      </c>
      <c r="F463" s="2">
        <v>130</v>
      </c>
      <c r="G463" s="2" t="s">
        <v>23</v>
      </c>
      <c r="H463" s="13">
        <v>4</v>
      </c>
      <c r="I463" s="14">
        <v>0.63252724233750568</v>
      </c>
    </row>
    <row r="464" spans="1:9" ht="14.25" customHeight="1" x14ac:dyDescent="0.3">
      <c r="A464" s="2" t="s">
        <v>1095</v>
      </c>
      <c r="B464" s="2" t="s">
        <v>1770</v>
      </c>
      <c r="C464" s="12">
        <v>44743</v>
      </c>
      <c r="D464" s="2" t="s">
        <v>1780</v>
      </c>
      <c r="E464" s="2" t="s">
        <v>1781</v>
      </c>
      <c r="F464" s="2">
        <v>72</v>
      </c>
      <c r="G464" s="2" t="s">
        <v>24</v>
      </c>
      <c r="H464" s="13">
        <v>12</v>
      </c>
      <c r="I464" s="14">
        <v>0.54172415841062738</v>
      </c>
    </row>
    <row r="465" spans="1:9" ht="14.25" customHeight="1" x14ac:dyDescent="0.3">
      <c r="A465" s="2" t="s">
        <v>1097</v>
      </c>
      <c r="B465" s="2" t="s">
        <v>1764</v>
      </c>
      <c r="C465" s="12">
        <v>44742</v>
      </c>
      <c r="D465" s="2" t="s">
        <v>1782</v>
      </c>
      <c r="E465" s="2" t="s">
        <v>1783</v>
      </c>
      <c r="F465" s="2">
        <v>65</v>
      </c>
      <c r="G465" s="2" t="s">
        <v>25</v>
      </c>
      <c r="H465" s="13">
        <v>11</v>
      </c>
      <c r="I465" s="14">
        <v>0.51449622999670686</v>
      </c>
    </row>
    <row r="466" spans="1:9" ht="14.25" customHeight="1" x14ac:dyDescent="0.3">
      <c r="A466" s="2" t="s">
        <v>1099</v>
      </c>
      <c r="B466" s="2" t="s">
        <v>1766</v>
      </c>
      <c r="C466" s="12">
        <v>44747</v>
      </c>
      <c r="D466" s="2" t="s">
        <v>1784</v>
      </c>
      <c r="E466" s="2" t="s">
        <v>1781</v>
      </c>
      <c r="F466" s="2">
        <v>250</v>
      </c>
      <c r="G466" s="2" t="s">
        <v>23</v>
      </c>
      <c r="H466" s="13">
        <v>2</v>
      </c>
      <c r="I466" s="14">
        <v>0.23752502847518697</v>
      </c>
    </row>
    <row r="467" spans="1:9" ht="14.25" customHeight="1" x14ac:dyDescent="0.3">
      <c r="A467" s="2" t="s">
        <v>1101</v>
      </c>
      <c r="B467" s="2" t="s">
        <v>1768</v>
      </c>
      <c r="C467" s="12">
        <v>44764</v>
      </c>
      <c r="D467" s="2" t="s">
        <v>1785</v>
      </c>
      <c r="E467" s="2" t="s">
        <v>1783</v>
      </c>
      <c r="F467" s="2">
        <v>130</v>
      </c>
      <c r="G467" s="2" t="s">
        <v>24</v>
      </c>
      <c r="H467" s="13">
        <v>4</v>
      </c>
      <c r="I467" s="14">
        <v>0.99120610081358274</v>
      </c>
    </row>
    <row r="468" spans="1:9" ht="14.25" customHeight="1" x14ac:dyDescent="0.3">
      <c r="A468" s="2" t="s">
        <v>1103</v>
      </c>
      <c r="B468" s="2" t="s">
        <v>1770</v>
      </c>
      <c r="C468" s="12">
        <v>44735</v>
      </c>
      <c r="D468" s="2" t="s">
        <v>1786</v>
      </c>
      <c r="E468" s="2" t="s">
        <v>1781</v>
      </c>
      <c r="F468" s="2">
        <v>60</v>
      </c>
      <c r="G468" s="2" t="s">
        <v>25</v>
      </c>
      <c r="H468" s="13">
        <v>9</v>
      </c>
      <c r="I468" s="14">
        <v>0.59705890981846566</v>
      </c>
    </row>
    <row r="469" spans="1:9" ht="14.25" customHeight="1" x14ac:dyDescent="0.3">
      <c r="A469" s="2" t="s">
        <v>1105</v>
      </c>
      <c r="B469" s="2" t="s">
        <v>1772</v>
      </c>
      <c r="C469" s="12">
        <v>44737</v>
      </c>
      <c r="D469" s="2" t="s">
        <v>1780</v>
      </c>
      <c r="E469" s="2" t="s">
        <v>1783</v>
      </c>
      <c r="F469" s="2">
        <v>72</v>
      </c>
      <c r="G469" s="2" t="s">
        <v>23</v>
      </c>
      <c r="H469" s="13">
        <v>3</v>
      </c>
      <c r="I469" s="14">
        <v>0.47137791834027587</v>
      </c>
    </row>
    <row r="470" spans="1:9" ht="14.25" customHeight="1" x14ac:dyDescent="0.3">
      <c r="A470" s="2" t="s">
        <v>1107</v>
      </c>
      <c r="B470" s="2" t="s">
        <v>1764</v>
      </c>
      <c r="C470" s="12">
        <v>44749</v>
      </c>
      <c r="D470" s="2" t="s">
        <v>1782</v>
      </c>
      <c r="E470" s="2" t="s">
        <v>1781</v>
      </c>
      <c r="F470" s="2">
        <v>65</v>
      </c>
      <c r="G470" s="2" t="s">
        <v>24</v>
      </c>
      <c r="H470" s="13">
        <v>14</v>
      </c>
      <c r="I470" s="14">
        <v>0.41181740780767351</v>
      </c>
    </row>
    <row r="471" spans="1:9" ht="14.25" customHeight="1" x14ac:dyDescent="0.3">
      <c r="A471" s="2" t="s">
        <v>1109</v>
      </c>
      <c r="B471" s="2" t="s">
        <v>1766</v>
      </c>
      <c r="C471" s="12">
        <v>44729</v>
      </c>
      <c r="D471" s="2" t="s">
        <v>1784</v>
      </c>
      <c r="E471" s="2" t="s">
        <v>1783</v>
      </c>
      <c r="F471" s="2">
        <v>250</v>
      </c>
      <c r="G471" s="2" t="s">
        <v>25</v>
      </c>
      <c r="H471" s="13">
        <v>3</v>
      </c>
      <c r="I471" s="14">
        <v>7.2014892327985192E-2</v>
      </c>
    </row>
    <row r="472" spans="1:9" ht="14.25" customHeight="1" x14ac:dyDescent="0.3">
      <c r="A472" s="2" t="s">
        <v>1111</v>
      </c>
      <c r="B472" s="2" t="s">
        <v>1768</v>
      </c>
      <c r="C472" s="12">
        <v>44738</v>
      </c>
      <c r="D472" s="2" t="s">
        <v>1785</v>
      </c>
      <c r="E472" s="2" t="s">
        <v>1781</v>
      </c>
      <c r="F472" s="2">
        <v>130</v>
      </c>
      <c r="G472" s="2" t="s">
        <v>23</v>
      </c>
      <c r="H472" s="13">
        <v>7</v>
      </c>
      <c r="I472" s="14">
        <v>0.28425228592980878</v>
      </c>
    </row>
    <row r="473" spans="1:9" ht="14.25" customHeight="1" x14ac:dyDescent="0.3">
      <c r="A473" s="2" t="s">
        <v>1113</v>
      </c>
      <c r="B473" s="2" t="s">
        <v>1770</v>
      </c>
      <c r="C473" s="12">
        <v>44740</v>
      </c>
      <c r="D473" s="2" t="s">
        <v>1780</v>
      </c>
      <c r="E473" s="2" t="s">
        <v>1783</v>
      </c>
      <c r="F473" s="2">
        <v>72</v>
      </c>
      <c r="G473" s="2" t="s">
        <v>24</v>
      </c>
      <c r="H473" s="13">
        <v>3</v>
      </c>
      <c r="I473" s="14">
        <v>0.51473636278960266</v>
      </c>
    </row>
    <row r="474" spans="1:9" ht="14.25" customHeight="1" x14ac:dyDescent="0.3">
      <c r="A474" s="2" t="s">
        <v>1115</v>
      </c>
      <c r="B474" s="2" t="s">
        <v>1764</v>
      </c>
      <c r="C474" s="12">
        <v>44755</v>
      </c>
      <c r="D474" s="2" t="s">
        <v>1782</v>
      </c>
      <c r="E474" s="2" t="s">
        <v>1781</v>
      </c>
      <c r="F474" s="2">
        <v>65</v>
      </c>
      <c r="G474" s="2" t="s">
        <v>25</v>
      </c>
      <c r="H474" s="13">
        <v>7</v>
      </c>
      <c r="I474" s="14">
        <v>0.84360853679959769</v>
      </c>
    </row>
    <row r="475" spans="1:9" ht="14.25" customHeight="1" x14ac:dyDescent="0.3">
      <c r="A475" s="2" t="s">
        <v>1117</v>
      </c>
      <c r="B475" s="2" t="s">
        <v>1766</v>
      </c>
      <c r="C475" s="12">
        <v>44755</v>
      </c>
      <c r="D475" s="2" t="s">
        <v>1784</v>
      </c>
      <c r="E475" s="2" t="s">
        <v>1783</v>
      </c>
      <c r="F475" s="2">
        <v>250</v>
      </c>
      <c r="G475" s="2" t="s">
        <v>23</v>
      </c>
      <c r="H475" s="13">
        <v>3</v>
      </c>
      <c r="I475" s="14">
        <v>0.79410595242208182</v>
      </c>
    </row>
    <row r="476" spans="1:9" ht="14.25" customHeight="1" x14ac:dyDescent="0.3">
      <c r="A476" s="2" t="s">
        <v>1119</v>
      </c>
      <c r="B476" s="2" t="s">
        <v>1768</v>
      </c>
      <c r="C476" s="12">
        <v>44764</v>
      </c>
      <c r="D476" s="2" t="s">
        <v>1785</v>
      </c>
      <c r="E476" s="2" t="s">
        <v>1781</v>
      </c>
      <c r="F476" s="2">
        <v>130</v>
      </c>
      <c r="G476" s="2" t="s">
        <v>24</v>
      </c>
      <c r="H476" s="13">
        <v>4</v>
      </c>
      <c r="I476" s="14">
        <v>0.43743103077150813</v>
      </c>
    </row>
    <row r="477" spans="1:9" ht="14.25" customHeight="1" x14ac:dyDescent="0.3">
      <c r="A477" s="2" t="s">
        <v>1121</v>
      </c>
      <c r="B477" s="2" t="s">
        <v>1770</v>
      </c>
      <c r="C477" s="12">
        <v>44735</v>
      </c>
      <c r="D477" s="2" t="s">
        <v>1786</v>
      </c>
      <c r="E477" s="2" t="s">
        <v>1783</v>
      </c>
      <c r="F477" s="2">
        <v>60</v>
      </c>
      <c r="G477" s="2" t="s">
        <v>25</v>
      </c>
      <c r="H477" s="13">
        <v>7</v>
      </c>
      <c r="I477" s="14">
        <v>0.62414285851347806</v>
      </c>
    </row>
    <row r="478" spans="1:9" ht="14.25" customHeight="1" x14ac:dyDescent="0.3">
      <c r="A478" s="2" t="s">
        <v>1123</v>
      </c>
      <c r="B478" s="2" t="s">
        <v>1772</v>
      </c>
      <c r="C478" s="12">
        <v>44734</v>
      </c>
      <c r="D478" s="2" t="s">
        <v>1787</v>
      </c>
      <c r="E478" s="2" t="s">
        <v>1783</v>
      </c>
      <c r="F478" s="2">
        <v>95</v>
      </c>
      <c r="G478" s="2" t="s">
        <v>23</v>
      </c>
      <c r="H478" s="13">
        <v>4</v>
      </c>
      <c r="I478" s="14">
        <v>0.8866455913476804</v>
      </c>
    </row>
    <row r="479" spans="1:9" ht="14.25" customHeight="1" x14ac:dyDescent="0.3">
      <c r="A479" s="2" t="s">
        <v>1125</v>
      </c>
      <c r="B479" s="2" t="s">
        <v>1773</v>
      </c>
      <c r="C479" s="12">
        <v>44728</v>
      </c>
      <c r="D479" s="2" t="s">
        <v>1780</v>
      </c>
      <c r="E479" s="2" t="s">
        <v>1783</v>
      </c>
      <c r="F479" s="2">
        <v>72</v>
      </c>
      <c r="G479" s="2" t="s">
        <v>24</v>
      </c>
      <c r="H479" s="13">
        <v>6</v>
      </c>
      <c r="I479" s="14">
        <v>0.18359273290431566</v>
      </c>
    </row>
    <row r="480" spans="1:9" ht="14.25" customHeight="1" x14ac:dyDescent="0.3">
      <c r="A480" s="2" t="s">
        <v>1127</v>
      </c>
      <c r="B480" s="2" t="s">
        <v>1764</v>
      </c>
      <c r="C480" s="12">
        <v>44739</v>
      </c>
      <c r="D480" s="2" t="s">
        <v>1782</v>
      </c>
      <c r="E480" s="2" t="s">
        <v>1783</v>
      </c>
      <c r="F480" s="2">
        <v>65</v>
      </c>
      <c r="G480" s="2" t="s">
        <v>25</v>
      </c>
      <c r="H480" s="13">
        <v>5</v>
      </c>
      <c r="I480" s="14">
        <v>0.15906506531321729</v>
      </c>
    </row>
    <row r="481" spans="1:9" ht="14.25" customHeight="1" x14ac:dyDescent="0.3">
      <c r="A481" s="2" t="s">
        <v>1129</v>
      </c>
      <c r="B481" s="2" t="s">
        <v>1766</v>
      </c>
      <c r="C481" s="12">
        <v>44765</v>
      </c>
      <c r="D481" s="2" t="s">
        <v>1784</v>
      </c>
      <c r="E481" s="2" t="s">
        <v>1783</v>
      </c>
      <c r="F481" s="2">
        <v>250</v>
      </c>
      <c r="G481" s="2" t="s">
        <v>23</v>
      </c>
      <c r="H481" s="13">
        <v>2</v>
      </c>
      <c r="I481" s="14">
        <v>0.29466747014106187</v>
      </c>
    </row>
    <row r="482" spans="1:9" ht="14.25" customHeight="1" x14ac:dyDescent="0.3">
      <c r="A482" s="2" t="s">
        <v>1131</v>
      </c>
      <c r="B482" s="2" t="s">
        <v>1768</v>
      </c>
      <c r="C482" s="12">
        <v>44740</v>
      </c>
      <c r="D482" s="2" t="s">
        <v>1785</v>
      </c>
      <c r="E482" s="2" t="s">
        <v>1781</v>
      </c>
      <c r="F482" s="2">
        <v>130</v>
      </c>
      <c r="G482" s="2" t="s">
        <v>24</v>
      </c>
      <c r="H482" s="13">
        <v>2</v>
      </c>
      <c r="I482" s="14">
        <v>0.35414118605930123</v>
      </c>
    </row>
    <row r="483" spans="1:9" ht="14.25" customHeight="1" x14ac:dyDescent="0.3">
      <c r="A483" s="2" t="s">
        <v>1133</v>
      </c>
      <c r="B483" s="2" t="s">
        <v>1770</v>
      </c>
      <c r="C483" s="12">
        <v>44734</v>
      </c>
      <c r="D483" s="2" t="s">
        <v>1780</v>
      </c>
      <c r="E483" s="2" t="s">
        <v>1783</v>
      </c>
      <c r="F483" s="2">
        <v>72</v>
      </c>
      <c r="G483" s="2" t="s">
        <v>25</v>
      </c>
      <c r="H483" s="13">
        <v>4</v>
      </c>
      <c r="I483" s="14">
        <v>0.40463831594750665</v>
      </c>
    </row>
    <row r="484" spans="1:9" ht="14.25" customHeight="1" x14ac:dyDescent="0.3">
      <c r="A484" s="2" t="s">
        <v>1135</v>
      </c>
      <c r="B484" s="2" t="s">
        <v>1764</v>
      </c>
      <c r="C484" s="12">
        <v>44727</v>
      </c>
      <c r="D484" s="2" t="s">
        <v>1782</v>
      </c>
      <c r="E484" s="2" t="s">
        <v>1781</v>
      </c>
      <c r="F484" s="2">
        <v>65</v>
      </c>
      <c r="G484" s="2" t="s">
        <v>23</v>
      </c>
      <c r="H484" s="13">
        <v>10</v>
      </c>
      <c r="I484" s="14">
        <v>0.56828189926736972</v>
      </c>
    </row>
    <row r="485" spans="1:9" ht="14.25" customHeight="1" x14ac:dyDescent="0.3">
      <c r="A485" s="2" t="s">
        <v>1137</v>
      </c>
      <c r="B485" s="2" t="s">
        <v>1766</v>
      </c>
      <c r="C485" s="12">
        <v>44737</v>
      </c>
      <c r="D485" s="2" t="s">
        <v>1784</v>
      </c>
      <c r="E485" s="2" t="s">
        <v>1783</v>
      </c>
      <c r="F485" s="2">
        <v>250</v>
      </c>
      <c r="G485" s="2" t="s">
        <v>24</v>
      </c>
      <c r="H485" s="13">
        <v>1</v>
      </c>
      <c r="I485" s="14">
        <v>0.68415839920111321</v>
      </c>
    </row>
    <row r="486" spans="1:9" ht="14.25" customHeight="1" x14ac:dyDescent="0.3">
      <c r="A486" s="2" t="s">
        <v>1139</v>
      </c>
      <c r="B486" s="2" t="s">
        <v>1768</v>
      </c>
      <c r="C486" s="12">
        <v>44747</v>
      </c>
      <c r="D486" s="2" t="s">
        <v>1785</v>
      </c>
      <c r="E486" s="2" t="s">
        <v>1781</v>
      </c>
      <c r="F486" s="2">
        <v>130</v>
      </c>
      <c r="G486" s="2" t="s">
        <v>25</v>
      </c>
      <c r="H486" s="13">
        <v>6</v>
      </c>
      <c r="I486" s="14">
        <v>0.47900916747418532</v>
      </c>
    </row>
    <row r="487" spans="1:9" ht="14.25" customHeight="1" x14ac:dyDescent="0.3">
      <c r="A487" s="2" t="s">
        <v>1141</v>
      </c>
      <c r="B487" s="2" t="s">
        <v>1770</v>
      </c>
      <c r="C487" s="12">
        <v>44754</v>
      </c>
      <c r="D487" s="2" t="s">
        <v>1786</v>
      </c>
      <c r="E487" s="2" t="s">
        <v>1783</v>
      </c>
      <c r="F487" s="2">
        <v>60</v>
      </c>
      <c r="G487" s="2" t="s">
        <v>23</v>
      </c>
      <c r="H487" s="13">
        <v>4</v>
      </c>
      <c r="I487" s="14">
        <v>0.89045722746488731</v>
      </c>
    </row>
    <row r="488" spans="1:9" ht="14.25" customHeight="1" x14ac:dyDescent="0.3">
      <c r="A488" s="2" t="s">
        <v>1143</v>
      </c>
      <c r="B488" s="2" t="s">
        <v>1772</v>
      </c>
      <c r="C488" s="12">
        <v>44760</v>
      </c>
      <c r="D488" s="2" t="s">
        <v>1780</v>
      </c>
      <c r="E488" s="2" t="s">
        <v>1781</v>
      </c>
      <c r="F488" s="2">
        <v>72</v>
      </c>
      <c r="G488" s="2" t="s">
        <v>24</v>
      </c>
      <c r="H488" s="13">
        <v>7</v>
      </c>
      <c r="I488" s="14">
        <v>0.50949971880500122</v>
      </c>
    </row>
    <row r="489" spans="1:9" ht="14.25" customHeight="1" x14ac:dyDescent="0.3">
      <c r="A489" s="2" t="s">
        <v>1145</v>
      </c>
      <c r="B489" s="2" t="s">
        <v>1764</v>
      </c>
      <c r="C489" s="12">
        <v>44759</v>
      </c>
      <c r="D489" s="2" t="s">
        <v>1782</v>
      </c>
      <c r="E489" s="2" t="s">
        <v>1783</v>
      </c>
      <c r="F489" s="2">
        <v>65</v>
      </c>
      <c r="G489" s="2" t="s">
        <v>25</v>
      </c>
      <c r="H489" s="13">
        <v>12</v>
      </c>
      <c r="I489" s="14">
        <v>0.78361211804502018</v>
      </c>
    </row>
    <row r="490" spans="1:9" ht="14.25" customHeight="1" x14ac:dyDescent="0.3">
      <c r="A490" s="2" t="s">
        <v>1147</v>
      </c>
      <c r="B490" s="2" t="s">
        <v>1766</v>
      </c>
      <c r="C490" s="12">
        <v>44735</v>
      </c>
      <c r="D490" s="2" t="s">
        <v>1784</v>
      </c>
      <c r="E490" s="2" t="s">
        <v>1781</v>
      </c>
      <c r="F490" s="2">
        <v>250</v>
      </c>
      <c r="G490" s="2" t="s">
        <v>23</v>
      </c>
      <c r="H490" s="13">
        <v>1</v>
      </c>
      <c r="I490" s="14">
        <v>6.596920154790531E-2</v>
      </c>
    </row>
    <row r="491" spans="1:9" ht="14.25" customHeight="1" x14ac:dyDescent="0.3">
      <c r="A491" s="2" t="s">
        <v>1149</v>
      </c>
      <c r="B491" s="2" t="s">
        <v>1768</v>
      </c>
      <c r="C491" s="12">
        <v>44734</v>
      </c>
      <c r="D491" s="2" t="s">
        <v>1785</v>
      </c>
      <c r="E491" s="2" t="s">
        <v>1783</v>
      </c>
      <c r="F491" s="2">
        <v>130</v>
      </c>
      <c r="G491" s="2" t="s">
        <v>24</v>
      </c>
      <c r="H491" s="13">
        <v>6</v>
      </c>
      <c r="I491" s="14">
        <v>0.17858014910494857</v>
      </c>
    </row>
    <row r="492" spans="1:9" ht="14.25" customHeight="1" x14ac:dyDescent="0.3">
      <c r="A492" s="2" t="s">
        <v>1151</v>
      </c>
      <c r="B492" s="2" t="s">
        <v>1770</v>
      </c>
      <c r="C492" s="12">
        <v>44753</v>
      </c>
      <c r="D492" s="2" t="s">
        <v>1780</v>
      </c>
      <c r="E492" s="2" t="s">
        <v>1781</v>
      </c>
      <c r="F492" s="2">
        <v>72</v>
      </c>
      <c r="G492" s="2" t="s">
        <v>25</v>
      </c>
      <c r="H492" s="13">
        <v>4</v>
      </c>
      <c r="I492" s="14">
        <v>0.43587855952805254</v>
      </c>
    </row>
    <row r="493" spans="1:9" ht="14.25" customHeight="1" x14ac:dyDescent="0.3">
      <c r="A493" s="2" t="s">
        <v>1153</v>
      </c>
      <c r="B493" s="2" t="s">
        <v>1764</v>
      </c>
      <c r="C493" s="12">
        <v>44739</v>
      </c>
      <c r="D493" s="2" t="s">
        <v>1782</v>
      </c>
      <c r="E493" s="2" t="s">
        <v>1783</v>
      </c>
      <c r="F493" s="2">
        <v>65</v>
      </c>
      <c r="G493" s="2" t="s">
        <v>23</v>
      </c>
      <c r="H493" s="13">
        <v>10</v>
      </c>
      <c r="I493" s="14">
        <v>0.74040338644493453</v>
      </c>
    </row>
    <row r="494" spans="1:9" ht="14.25" customHeight="1" x14ac:dyDescent="0.3">
      <c r="A494" s="2" t="s">
        <v>1155</v>
      </c>
      <c r="B494" s="2" t="s">
        <v>1766</v>
      </c>
      <c r="C494" s="12">
        <v>44740</v>
      </c>
      <c r="D494" s="2" t="s">
        <v>1784</v>
      </c>
      <c r="E494" s="2" t="s">
        <v>1781</v>
      </c>
      <c r="F494" s="2">
        <v>250</v>
      </c>
      <c r="G494" s="2" t="s">
        <v>24</v>
      </c>
      <c r="H494" s="13">
        <v>4</v>
      </c>
      <c r="I494" s="14">
        <v>0.54109571345744756</v>
      </c>
    </row>
    <row r="495" spans="1:9" ht="14.25" customHeight="1" x14ac:dyDescent="0.3">
      <c r="A495" s="2" t="s">
        <v>1157</v>
      </c>
      <c r="B495" s="2" t="s">
        <v>1768</v>
      </c>
      <c r="C495" s="12">
        <v>44748</v>
      </c>
      <c r="D495" s="2" t="s">
        <v>1785</v>
      </c>
      <c r="E495" s="2" t="s">
        <v>1783</v>
      </c>
      <c r="F495" s="2">
        <v>130</v>
      </c>
      <c r="G495" s="2" t="s">
        <v>25</v>
      </c>
      <c r="H495" s="13">
        <v>3</v>
      </c>
      <c r="I495" s="14">
        <v>0.71271172701355112</v>
      </c>
    </row>
    <row r="496" spans="1:9" ht="14.25" customHeight="1" x14ac:dyDescent="0.3">
      <c r="A496" s="2" t="s">
        <v>1159</v>
      </c>
      <c r="B496" s="2" t="s">
        <v>1770</v>
      </c>
      <c r="C496" s="12">
        <v>44731</v>
      </c>
      <c r="D496" s="2" t="s">
        <v>1786</v>
      </c>
      <c r="E496" s="2" t="s">
        <v>1781</v>
      </c>
      <c r="F496" s="2">
        <v>60</v>
      </c>
      <c r="G496" s="2" t="s">
        <v>23</v>
      </c>
      <c r="H496" s="13">
        <v>13</v>
      </c>
      <c r="I496" s="14">
        <v>0.66248409996473057</v>
      </c>
    </row>
    <row r="497" spans="1:9" ht="14.25" customHeight="1" x14ac:dyDescent="0.3">
      <c r="A497" s="2" t="s">
        <v>1161</v>
      </c>
      <c r="B497" s="2" t="s">
        <v>1772</v>
      </c>
      <c r="C497" s="12">
        <v>44763</v>
      </c>
      <c r="D497" s="2" t="s">
        <v>1787</v>
      </c>
      <c r="E497" s="2" t="s">
        <v>1783</v>
      </c>
      <c r="F497" s="2">
        <v>95</v>
      </c>
      <c r="G497" s="2" t="s">
        <v>24</v>
      </c>
      <c r="H497" s="13">
        <v>4</v>
      </c>
      <c r="I497" s="14">
        <v>0.51300641040982664</v>
      </c>
    </row>
    <row r="498" spans="1:9" ht="14.25" customHeight="1" x14ac:dyDescent="0.3">
      <c r="A498" s="2" t="s">
        <v>1163</v>
      </c>
      <c r="B498" s="2" t="s">
        <v>1773</v>
      </c>
      <c r="C498" s="12">
        <v>44733</v>
      </c>
      <c r="D498" s="2" t="s">
        <v>1780</v>
      </c>
      <c r="E498" s="2" t="s">
        <v>1781</v>
      </c>
      <c r="F498" s="2">
        <v>72</v>
      </c>
      <c r="G498" s="2" t="s">
        <v>25</v>
      </c>
      <c r="H498" s="13">
        <v>3</v>
      </c>
      <c r="I498" s="14">
        <v>0.84951124937796896</v>
      </c>
    </row>
    <row r="499" spans="1:9" ht="14.25" customHeight="1" x14ac:dyDescent="0.3">
      <c r="A499" s="2" t="s">
        <v>1165</v>
      </c>
      <c r="B499" s="2" t="s">
        <v>1764</v>
      </c>
      <c r="C499" s="12">
        <v>44746</v>
      </c>
      <c r="D499" s="2" t="s">
        <v>1782</v>
      </c>
      <c r="E499" s="2" t="s">
        <v>1783</v>
      </c>
      <c r="F499" s="2">
        <v>65</v>
      </c>
      <c r="G499" s="2" t="s">
        <v>23</v>
      </c>
      <c r="H499" s="13">
        <v>12</v>
      </c>
      <c r="I499" s="14">
        <v>0.57786595909251792</v>
      </c>
    </row>
    <row r="500" spans="1:9" ht="14.25" customHeight="1" x14ac:dyDescent="0.3">
      <c r="A500" s="2" t="s">
        <v>1167</v>
      </c>
      <c r="B500" s="2" t="s">
        <v>1766</v>
      </c>
      <c r="C500" s="12">
        <v>44755</v>
      </c>
      <c r="D500" s="2" t="s">
        <v>1784</v>
      </c>
      <c r="E500" s="2" t="s">
        <v>1783</v>
      </c>
      <c r="F500" s="2">
        <v>250</v>
      </c>
      <c r="G500" s="2" t="s">
        <v>24</v>
      </c>
      <c r="H500" s="13">
        <v>4</v>
      </c>
      <c r="I500" s="14">
        <v>1.9027976654024337E-2</v>
      </c>
    </row>
    <row r="501" spans="1:9" ht="14.25" customHeight="1" x14ac:dyDescent="0.3">
      <c r="A501" s="2" t="s">
        <v>1169</v>
      </c>
      <c r="B501" s="2" t="s">
        <v>1764</v>
      </c>
      <c r="C501" s="12">
        <v>44787</v>
      </c>
      <c r="D501" s="2" t="s">
        <v>1780</v>
      </c>
      <c r="E501" s="2" t="s">
        <v>1781</v>
      </c>
      <c r="F501" s="2">
        <v>72</v>
      </c>
      <c r="G501" s="2" t="s">
        <v>25</v>
      </c>
      <c r="H501" s="13">
        <v>9</v>
      </c>
      <c r="I501" s="14">
        <f t="shared" ref="I501:I564" ca="1" si="0">RAND()</f>
        <v>0.57267310812547745</v>
      </c>
    </row>
    <row r="502" spans="1:9" ht="14.25" customHeight="1" x14ac:dyDescent="0.3">
      <c r="A502" s="2" t="s">
        <v>1171</v>
      </c>
      <c r="B502" s="2" t="s">
        <v>1766</v>
      </c>
      <c r="C502" s="12">
        <v>44799</v>
      </c>
      <c r="D502" s="2" t="s">
        <v>1782</v>
      </c>
      <c r="E502" s="2" t="s">
        <v>1783</v>
      </c>
      <c r="F502" s="2">
        <v>65</v>
      </c>
      <c r="G502" s="2" t="s">
        <v>23</v>
      </c>
      <c r="H502" s="13">
        <v>11</v>
      </c>
      <c r="I502" s="14">
        <f t="shared" ca="1" si="0"/>
        <v>0.14337522571325723</v>
      </c>
    </row>
    <row r="503" spans="1:9" ht="14.25" customHeight="1" x14ac:dyDescent="0.3">
      <c r="A503" s="2" t="s">
        <v>1173</v>
      </c>
      <c r="B503" s="2" t="s">
        <v>1768</v>
      </c>
      <c r="C503" s="12">
        <v>44802</v>
      </c>
      <c r="D503" s="2" t="s">
        <v>1784</v>
      </c>
      <c r="E503" s="2" t="s">
        <v>1781</v>
      </c>
      <c r="F503" s="2">
        <v>250</v>
      </c>
      <c r="G503" s="2" t="s">
        <v>24</v>
      </c>
      <c r="H503" s="13">
        <v>2</v>
      </c>
      <c r="I503" s="14">
        <f t="shared" ca="1" si="0"/>
        <v>0.75464396766409358</v>
      </c>
    </row>
    <row r="504" spans="1:9" ht="14.25" customHeight="1" x14ac:dyDescent="0.3">
      <c r="A504" s="2" t="s">
        <v>1175</v>
      </c>
      <c r="B504" s="2" t="s">
        <v>1770</v>
      </c>
      <c r="C504" s="12">
        <v>44774</v>
      </c>
      <c r="D504" s="2" t="s">
        <v>1785</v>
      </c>
      <c r="E504" s="2" t="s">
        <v>1783</v>
      </c>
      <c r="F504" s="2">
        <v>130</v>
      </c>
      <c r="G504" s="2" t="s">
        <v>25</v>
      </c>
      <c r="H504" s="13">
        <v>5</v>
      </c>
      <c r="I504" s="14">
        <f t="shared" ca="1" si="0"/>
        <v>0.87953034133805308</v>
      </c>
    </row>
    <row r="505" spans="1:9" ht="14.25" customHeight="1" x14ac:dyDescent="0.3">
      <c r="A505" s="2" t="s">
        <v>1177</v>
      </c>
      <c r="B505" s="2" t="s">
        <v>1764</v>
      </c>
      <c r="C505" s="12">
        <v>44800</v>
      </c>
      <c r="D505" s="2" t="s">
        <v>1780</v>
      </c>
      <c r="E505" s="2" t="s">
        <v>1781</v>
      </c>
      <c r="F505" s="2">
        <v>72</v>
      </c>
      <c r="G505" s="2" t="s">
        <v>23</v>
      </c>
      <c r="H505" s="13">
        <v>8</v>
      </c>
      <c r="I505" s="14">
        <f t="shared" ca="1" si="0"/>
        <v>0.4885350687590736</v>
      </c>
    </row>
    <row r="506" spans="1:9" ht="14.25" customHeight="1" x14ac:dyDescent="0.3">
      <c r="A506" s="2" t="s">
        <v>1179</v>
      </c>
      <c r="B506" s="2" t="s">
        <v>1766</v>
      </c>
      <c r="C506" s="12">
        <v>44797</v>
      </c>
      <c r="D506" s="2" t="s">
        <v>1782</v>
      </c>
      <c r="E506" s="2" t="s">
        <v>1783</v>
      </c>
      <c r="F506" s="2">
        <v>65</v>
      </c>
      <c r="G506" s="2" t="s">
        <v>24</v>
      </c>
      <c r="H506" s="13">
        <v>5</v>
      </c>
      <c r="I506" s="14">
        <f t="shared" ca="1" si="0"/>
        <v>0.58088813978987786</v>
      </c>
    </row>
    <row r="507" spans="1:9" ht="14.25" customHeight="1" x14ac:dyDescent="0.3">
      <c r="A507" s="2" t="s">
        <v>1181</v>
      </c>
      <c r="B507" s="2" t="s">
        <v>1768</v>
      </c>
      <c r="C507" s="12">
        <v>44766</v>
      </c>
      <c r="D507" s="2" t="s">
        <v>1784</v>
      </c>
      <c r="E507" s="2" t="s">
        <v>1781</v>
      </c>
      <c r="F507" s="2">
        <v>250</v>
      </c>
      <c r="G507" s="2" t="s">
        <v>25</v>
      </c>
      <c r="H507" s="13">
        <v>2</v>
      </c>
      <c r="I507" s="14">
        <f t="shared" ca="1" si="0"/>
        <v>0.54091168725121963</v>
      </c>
    </row>
    <row r="508" spans="1:9" ht="14.25" customHeight="1" x14ac:dyDescent="0.3">
      <c r="A508" s="2" t="s">
        <v>1183</v>
      </c>
      <c r="B508" s="2" t="s">
        <v>1770</v>
      </c>
      <c r="C508" s="12">
        <v>44782</v>
      </c>
      <c r="D508" s="2" t="s">
        <v>1785</v>
      </c>
      <c r="E508" s="2" t="s">
        <v>1783</v>
      </c>
      <c r="F508" s="2">
        <v>130</v>
      </c>
      <c r="G508" s="2" t="s">
        <v>23</v>
      </c>
      <c r="H508" s="13">
        <v>4</v>
      </c>
      <c r="I508" s="14">
        <f t="shared" ca="1" si="0"/>
        <v>0.85303725910687478</v>
      </c>
    </row>
    <row r="509" spans="1:9" ht="14.25" customHeight="1" x14ac:dyDescent="0.3">
      <c r="A509" s="2" t="s">
        <v>1185</v>
      </c>
      <c r="B509" s="2" t="s">
        <v>1772</v>
      </c>
      <c r="C509" s="12">
        <v>44790</v>
      </c>
      <c r="D509" s="2" t="s">
        <v>1786</v>
      </c>
      <c r="E509" s="2" t="s">
        <v>1781</v>
      </c>
      <c r="F509" s="2">
        <v>60</v>
      </c>
      <c r="G509" s="2" t="s">
        <v>24</v>
      </c>
      <c r="H509" s="13">
        <v>12</v>
      </c>
      <c r="I509" s="14">
        <f t="shared" ca="1" si="0"/>
        <v>0.27361944787677628</v>
      </c>
    </row>
    <row r="510" spans="1:9" ht="14.25" customHeight="1" x14ac:dyDescent="0.3">
      <c r="A510" s="2" t="s">
        <v>1187</v>
      </c>
      <c r="B510" s="2" t="s">
        <v>1764</v>
      </c>
      <c r="C510" s="12">
        <v>44770</v>
      </c>
      <c r="D510" s="2" t="s">
        <v>1780</v>
      </c>
      <c r="E510" s="2" t="s">
        <v>1783</v>
      </c>
      <c r="F510" s="2">
        <v>72</v>
      </c>
      <c r="G510" s="2" t="s">
        <v>25</v>
      </c>
      <c r="H510" s="13">
        <v>12</v>
      </c>
      <c r="I510" s="14">
        <f t="shared" ca="1" si="0"/>
        <v>0.62110971261941839</v>
      </c>
    </row>
    <row r="511" spans="1:9" ht="14.25" customHeight="1" x14ac:dyDescent="0.3">
      <c r="A511" s="2" t="s">
        <v>1189</v>
      </c>
      <c r="B511" s="2" t="s">
        <v>1766</v>
      </c>
      <c r="C511" s="12">
        <v>44759</v>
      </c>
      <c r="D511" s="2" t="s">
        <v>1782</v>
      </c>
      <c r="E511" s="2" t="s">
        <v>1781</v>
      </c>
      <c r="F511" s="2">
        <v>65</v>
      </c>
      <c r="G511" s="2" t="s">
        <v>23</v>
      </c>
      <c r="H511" s="13">
        <v>9</v>
      </c>
      <c r="I511" s="14">
        <f t="shared" ca="1" si="0"/>
        <v>0.59724305695738911</v>
      </c>
    </row>
    <row r="512" spans="1:9" ht="14.25" customHeight="1" x14ac:dyDescent="0.3">
      <c r="A512" s="2" t="s">
        <v>1191</v>
      </c>
      <c r="B512" s="2" t="s">
        <v>1768</v>
      </c>
      <c r="C512" s="12">
        <v>44776</v>
      </c>
      <c r="D512" s="2" t="s">
        <v>1784</v>
      </c>
      <c r="E512" s="2" t="s">
        <v>1783</v>
      </c>
      <c r="F512" s="2">
        <v>250</v>
      </c>
      <c r="G512" s="2" t="s">
        <v>24</v>
      </c>
      <c r="H512" s="13">
        <v>3</v>
      </c>
      <c r="I512" s="14">
        <f t="shared" ca="1" si="0"/>
        <v>0.96092859984824441</v>
      </c>
    </row>
    <row r="513" spans="1:9" ht="14.25" customHeight="1" x14ac:dyDescent="0.3">
      <c r="A513" s="2" t="s">
        <v>1193</v>
      </c>
      <c r="B513" s="2" t="s">
        <v>1770</v>
      </c>
      <c r="C513" s="12">
        <v>44757</v>
      </c>
      <c r="D513" s="2" t="s">
        <v>1785</v>
      </c>
      <c r="E513" s="2" t="s">
        <v>1781</v>
      </c>
      <c r="F513" s="2">
        <v>130</v>
      </c>
      <c r="G513" s="2" t="s">
        <v>25</v>
      </c>
      <c r="H513" s="13">
        <v>6</v>
      </c>
      <c r="I513" s="14">
        <f t="shared" ca="1" si="0"/>
        <v>0.92605881920122934</v>
      </c>
    </row>
    <row r="514" spans="1:9" ht="14.25" customHeight="1" x14ac:dyDescent="0.3">
      <c r="A514" s="2" t="s">
        <v>1195</v>
      </c>
      <c r="B514" s="2" t="s">
        <v>1764</v>
      </c>
      <c r="C514" s="12">
        <v>44771</v>
      </c>
      <c r="D514" s="2" t="s">
        <v>1780</v>
      </c>
      <c r="E514" s="2" t="s">
        <v>1783</v>
      </c>
      <c r="F514" s="2">
        <v>72</v>
      </c>
      <c r="G514" s="2" t="s">
        <v>23</v>
      </c>
      <c r="H514" s="13">
        <v>8</v>
      </c>
      <c r="I514" s="14">
        <f t="shared" ca="1" si="0"/>
        <v>0.13349095527954713</v>
      </c>
    </row>
    <row r="515" spans="1:9" ht="14.25" customHeight="1" x14ac:dyDescent="0.3">
      <c r="A515" s="2" t="s">
        <v>1197</v>
      </c>
      <c r="B515" s="2" t="s">
        <v>1766</v>
      </c>
      <c r="C515" s="12">
        <v>44788</v>
      </c>
      <c r="D515" s="2" t="s">
        <v>1782</v>
      </c>
      <c r="E515" s="2" t="s">
        <v>1781</v>
      </c>
      <c r="F515" s="2">
        <v>65</v>
      </c>
      <c r="G515" s="2" t="s">
        <v>24</v>
      </c>
      <c r="H515" s="13">
        <v>4</v>
      </c>
      <c r="I515" s="14">
        <f t="shared" ca="1" si="0"/>
        <v>0.81210269055880169</v>
      </c>
    </row>
    <row r="516" spans="1:9" ht="14.25" customHeight="1" x14ac:dyDescent="0.3">
      <c r="A516" s="2" t="s">
        <v>1199</v>
      </c>
      <c r="B516" s="2" t="s">
        <v>1768</v>
      </c>
      <c r="C516" s="12">
        <v>44762</v>
      </c>
      <c r="D516" s="2" t="s">
        <v>1784</v>
      </c>
      <c r="E516" s="2" t="s">
        <v>1783</v>
      </c>
      <c r="F516" s="2">
        <v>250</v>
      </c>
      <c r="G516" s="2" t="s">
        <v>25</v>
      </c>
      <c r="H516" s="13">
        <v>2</v>
      </c>
      <c r="I516" s="14">
        <f t="shared" ca="1" si="0"/>
        <v>0.90523358544331023</v>
      </c>
    </row>
    <row r="517" spans="1:9" ht="14.25" customHeight="1" x14ac:dyDescent="0.3">
      <c r="A517" s="2" t="s">
        <v>1201</v>
      </c>
      <c r="B517" s="2" t="s">
        <v>1770</v>
      </c>
      <c r="C517" s="12">
        <v>44789</v>
      </c>
      <c r="D517" s="2" t="s">
        <v>1785</v>
      </c>
      <c r="E517" s="2" t="s">
        <v>1781</v>
      </c>
      <c r="F517" s="2">
        <v>130</v>
      </c>
      <c r="G517" s="2" t="s">
        <v>23</v>
      </c>
      <c r="H517" s="13">
        <v>6</v>
      </c>
      <c r="I517" s="14">
        <f t="shared" ca="1" si="0"/>
        <v>0.44696237914781101</v>
      </c>
    </row>
    <row r="518" spans="1:9" ht="14.25" customHeight="1" x14ac:dyDescent="0.3">
      <c r="A518" s="2" t="s">
        <v>1203</v>
      </c>
      <c r="B518" s="2" t="s">
        <v>1772</v>
      </c>
      <c r="C518" s="12">
        <v>44761</v>
      </c>
      <c r="D518" s="2" t="s">
        <v>1786</v>
      </c>
      <c r="E518" s="2" t="s">
        <v>1781</v>
      </c>
      <c r="F518" s="2">
        <v>60</v>
      </c>
      <c r="G518" s="2" t="s">
        <v>24</v>
      </c>
      <c r="H518" s="13">
        <v>15</v>
      </c>
      <c r="I518" s="14">
        <f t="shared" ca="1" si="0"/>
        <v>0.86586076132029877</v>
      </c>
    </row>
    <row r="519" spans="1:9" ht="14.25" customHeight="1" x14ac:dyDescent="0.3">
      <c r="A519" s="2" t="s">
        <v>1205</v>
      </c>
      <c r="B519" s="2" t="s">
        <v>1773</v>
      </c>
      <c r="C519" s="12">
        <v>44790</v>
      </c>
      <c r="D519" s="2" t="s">
        <v>1787</v>
      </c>
      <c r="E519" s="2" t="s">
        <v>1783</v>
      </c>
      <c r="F519" s="2">
        <v>95</v>
      </c>
      <c r="G519" s="2" t="s">
        <v>25</v>
      </c>
      <c r="H519" s="13">
        <v>8</v>
      </c>
      <c r="I519" s="14">
        <f t="shared" ca="1" si="0"/>
        <v>0.78093240525487173</v>
      </c>
    </row>
    <row r="520" spans="1:9" ht="14.25" customHeight="1" x14ac:dyDescent="0.3">
      <c r="A520" s="2" t="s">
        <v>1207</v>
      </c>
      <c r="B520" s="2" t="s">
        <v>1764</v>
      </c>
      <c r="C520" s="12">
        <v>44782</v>
      </c>
      <c r="D520" s="2" t="s">
        <v>1780</v>
      </c>
      <c r="E520" s="2" t="s">
        <v>1783</v>
      </c>
      <c r="F520" s="2">
        <v>72</v>
      </c>
      <c r="G520" s="2" t="s">
        <v>23</v>
      </c>
      <c r="H520" s="13">
        <v>4</v>
      </c>
      <c r="I520" s="14">
        <f t="shared" ca="1" si="0"/>
        <v>0.45671180001483092</v>
      </c>
    </row>
    <row r="521" spans="1:9" ht="14.25" customHeight="1" x14ac:dyDescent="0.3">
      <c r="A521" s="2" t="s">
        <v>1209</v>
      </c>
      <c r="B521" s="2" t="s">
        <v>1766</v>
      </c>
      <c r="C521" s="12">
        <v>44802</v>
      </c>
      <c r="D521" s="2" t="s">
        <v>1782</v>
      </c>
      <c r="E521" s="2" t="s">
        <v>1783</v>
      </c>
      <c r="F521" s="2">
        <v>65</v>
      </c>
      <c r="G521" s="2" t="s">
        <v>24</v>
      </c>
      <c r="H521" s="13">
        <v>3</v>
      </c>
      <c r="I521" s="14">
        <f t="shared" ca="1" si="0"/>
        <v>0.56825384386350286</v>
      </c>
    </row>
    <row r="522" spans="1:9" ht="14.25" customHeight="1" x14ac:dyDescent="0.3">
      <c r="A522" s="2" t="s">
        <v>1211</v>
      </c>
      <c r="B522" s="2" t="s">
        <v>1768</v>
      </c>
      <c r="C522" s="12">
        <v>44791</v>
      </c>
      <c r="D522" s="2" t="s">
        <v>1784</v>
      </c>
      <c r="E522" s="2" t="s">
        <v>1781</v>
      </c>
      <c r="F522" s="2">
        <v>250</v>
      </c>
      <c r="G522" s="2" t="s">
        <v>25</v>
      </c>
      <c r="H522" s="13">
        <v>1</v>
      </c>
      <c r="I522" s="14">
        <f t="shared" ca="1" si="0"/>
        <v>0.22646163330990343</v>
      </c>
    </row>
    <row r="523" spans="1:9" ht="14.25" customHeight="1" x14ac:dyDescent="0.3">
      <c r="A523" s="2" t="s">
        <v>1213</v>
      </c>
      <c r="B523" s="2" t="s">
        <v>1770</v>
      </c>
      <c r="C523" s="12">
        <v>44795</v>
      </c>
      <c r="D523" s="2" t="s">
        <v>1785</v>
      </c>
      <c r="E523" s="2" t="s">
        <v>1781</v>
      </c>
      <c r="F523" s="2">
        <v>130</v>
      </c>
      <c r="G523" s="2" t="s">
        <v>23</v>
      </c>
      <c r="H523" s="13">
        <v>3</v>
      </c>
      <c r="I523" s="14">
        <f t="shared" ca="1" si="0"/>
        <v>0.96835999427359187</v>
      </c>
    </row>
    <row r="524" spans="1:9" ht="14.25" customHeight="1" x14ac:dyDescent="0.3">
      <c r="A524" s="2" t="s">
        <v>1215</v>
      </c>
      <c r="B524" s="2" t="s">
        <v>1764</v>
      </c>
      <c r="C524" s="12">
        <v>44759</v>
      </c>
      <c r="D524" s="2" t="s">
        <v>1780</v>
      </c>
      <c r="E524" s="2" t="s">
        <v>1781</v>
      </c>
      <c r="F524" s="2">
        <v>72</v>
      </c>
      <c r="G524" s="2" t="s">
        <v>24</v>
      </c>
      <c r="H524" s="13">
        <v>6</v>
      </c>
      <c r="I524" s="14">
        <f t="shared" ca="1" si="0"/>
        <v>0.79278814715655799</v>
      </c>
    </row>
    <row r="525" spans="1:9" ht="14.25" customHeight="1" x14ac:dyDescent="0.3">
      <c r="A525" s="2" t="s">
        <v>1217</v>
      </c>
      <c r="B525" s="2" t="s">
        <v>1766</v>
      </c>
      <c r="C525" s="12">
        <v>44756</v>
      </c>
      <c r="D525" s="2" t="s">
        <v>1782</v>
      </c>
      <c r="E525" s="2" t="s">
        <v>1781</v>
      </c>
      <c r="F525" s="2">
        <v>65</v>
      </c>
      <c r="G525" s="2" t="s">
        <v>25</v>
      </c>
      <c r="H525" s="13">
        <v>12</v>
      </c>
      <c r="I525" s="14">
        <f t="shared" ca="1" si="0"/>
        <v>0.88015311330287171</v>
      </c>
    </row>
    <row r="526" spans="1:9" ht="14.25" customHeight="1" x14ac:dyDescent="0.3">
      <c r="A526" s="2" t="s">
        <v>1219</v>
      </c>
      <c r="B526" s="2" t="s">
        <v>1768</v>
      </c>
      <c r="C526" s="12">
        <v>44786</v>
      </c>
      <c r="D526" s="2" t="s">
        <v>1784</v>
      </c>
      <c r="E526" s="2" t="s">
        <v>1781</v>
      </c>
      <c r="F526" s="2">
        <v>250</v>
      </c>
      <c r="G526" s="2" t="s">
        <v>23</v>
      </c>
      <c r="H526" s="13">
        <v>3</v>
      </c>
      <c r="I526" s="14">
        <f t="shared" ca="1" si="0"/>
        <v>0.58282760157693392</v>
      </c>
    </row>
    <row r="527" spans="1:9" ht="14.25" customHeight="1" x14ac:dyDescent="0.3">
      <c r="A527" s="2" t="s">
        <v>1221</v>
      </c>
      <c r="B527" s="2" t="s">
        <v>1770</v>
      </c>
      <c r="C527" s="12">
        <v>44757</v>
      </c>
      <c r="D527" s="2" t="s">
        <v>1785</v>
      </c>
      <c r="E527" s="2" t="s">
        <v>1781</v>
      </c>
      <c r="F527" s="2">
        <v>130</v>
      </c>
      <c r="G527" s="2" t="s">
        <v>24</v>
      </c>
      <c r="H527" s="13">
        <v>5</v>
      </c>
      <c r="I527" s="14">
        <f t="shared" ca="1" si="0"/>
        <v>0.48191365089105254</v>
      </c>
    </row>
    <row r="528" spans="1:9" ht="14.25" customHeight="1" x14ac:dyDescent="0.3">
      <c r="A528" s="2" t="s">
        <v>1223</v>
      </c>
      <c r="B528" s="2" t="s">
        <v>1772</v>
      </c>
      <c r="C528" s="12">
        <v>44787</v>
      </c>
      <c r="D528" s="2" t="s">
        <v>1786</v>
      </c>
      <c r="E528" s="2" t="s">
        <v>1781</v>
      </c>
      <c r="F528" s="2">
        <v>60</v>
      </c>
      <c r="G528" s="2" t="s">
        <v>25</v>
      </c>
      <c r="H528" s="13">
        <v>7</v>
      </c>
      <c r="I528" s="14">
        <f t="shared" ca="1" si="0"/>
        <v>0.53854068240135744</v>
      </c>
    </row>
    <row r="529" spans="1:9" ht="14.25" customHeight="1" x14ac:dyDescent="0.3">
      <c r="A529" s="2" t="s">
        <v>1225</v>
      </c>
      <c r="B529" s="2" t="s">
        <v>1764</v>
      </c>
      <c r="C529" s="12">
        <v>44763</v>
      </c>
      <c r="D529" s="2" t="s">
        <v>1780</v>
      </c>
      <c r="E529" s="2" t="s">
        <v>1781</v>
      </c>
      <c r="F529" s="2">
        <v>72</v>
      </c>
      <c r="G529" s="2" t="s">
        <v>23</v>
      </c>
      <c r="H529" s="13">
        <v>7</v>
      </c>
      <c r="I529" s="14">
        <f t="shared" ca="1" si="0"/>
        <v>0.31766103642797561</v>
      </c>
    </row>
    <row r="530" spans="1:9" ht="14.25" customHeight="1" x14ac:dyDescent="0.3">
      <c r="A530" s="2" t="s">
        <v>1227</v>
      </c>
      <c r="B530" s="2" t="s">
        <v>1766</v>
      </c>
      <c r="C530" s="12">
        <v>44799</v>
      </c>
      <c r="D530" s="2" t="s">
        <v>1782</v>
      </c>
      <c r="E530" s="2" t="s">
        <v>1781</v>
      </c>
      <c r="F530" s="2">
        <v>65</v>
      </c>
      <c r="G530" s="2" t="s">
        <v>24</v>
      </c>
      <c r="H530" s="13">
        <v>12</v>
      </c>
      <c r="I530" s="14">
        <f t="shared" ca="1" si="0"/>
        <v>0.60266584024767678</v>
      </c>
    </row>
    <row r="531" spans="1:9" ht="14.25" customHeight="1" x14ac:dyDescent="0.3">
      <c r="A531" s="2" t="s">
        <v>1229</v>
      </c>
      <c r="B531" s="2" t="s">
        <v>1768</v>
      </c>
      <c r="C531" s="12">
        <v>44798</v>
      </c>
      <c r="D531" s="2" t="s">
        <v>1784</v>
      </c>
      <c r="E531" s="2" t="s">
        <v>1783</v>
      </c>
      <c r="F531" s="2">
        <v>250</v>
      </c>
      <c r="G531" s="2" t="s">
        <v>25</v>
      </c>
      <c r="H531" s="13">
        <v>1</v>
      </c>
      <c r="I531" s="14">
        <f t="shared" ca="1" si="0"/>
        <v>0.3430098760918846</v>
      </c>
    </row>
    <row r="532" spans="1:9" ht="14.25" customHeight="1" x14ac:dyDescent="0.3">
      <c r="A532" s="2" t="s">
        <v>1231</v>
      </c>
      <c r="B532" s="2" t="s">
        <v>1770</v>
      </c>
      <c r="C532" s="12">
        <v>44807</v>
      </c>
      <c r="D532" s="2" t="s">
        <v>1785</v>
      </c>
      <c r="E532" s="2" t="s">
        <v>1781</v>
      </c>
      <c r="F532" s="2">
        <v>130</v>
      </c>
      <c r="G532" s="2" t="s">
        <v>23</v>
      </c>
      <c r="H532" s="13">
        <v>2</v>
      </c>
      <c r="I532" s="14">
        <f t="shared" ca="1" si="0"/>
        <v>0.8612727725128948</v>
      </c>
    </row>
    <row r="533" spans="1:9" ht="14.25" customHeight="1" x14ac:dyDescent="0.3">
      <c r="A533" s="2" t="s">
        <v>1233</v>
      </c>
      <c r="B533" s="2" t="s">
        <v>1764</v>
      </c>
      <c r="C533" s="12">
        <v>44769</v>
      </c>
      <c r="D533" s="2" t="s">
        <v>1780</v>
      </c>
      <c r="E533" s="2" t="s">
        <v>1781</v>
      </c>
      <c r="F533" s="2">
        <v>72</v>
      </c>
      <c r="G533" s="2" t="s">
        <v>24</v>
      </c>
      <c r="H533" s="13">
        <v>7</v>
      </c>
      <c r="I533" s="14">
        <f t="shared" ca="1" si="0"/>
        <v>0.54309313436124274</v>
      </c>
    </row>
    <row r="534" spans="1:9" ht="14.25" customHeight="1" x14ac:dyDescent="0.3">
      <c r="A534" s="2" t="s">
        <v>1235</v>
      </c>
      <c r="B534" s="2" t="s">
        <v>1766</v>
      </c>
      <c r="C534" s="12">
        <v>44779</v>
      </c>
      <c r="D534" s="2" t="s">
        <v>1782</v>
      </c>
      <c r="E534" s="2" t="s">
        <v>1781</v>
      </c>
      <c r="F534" s="2">
        <v>65</v>
      </c>
      <c r="G534" s="2" t="s">
        <v>25</v>
      </c>
      <c r="H534" s="13">
        <v>3</v>
      </c>
      <c r="I534" s="14">
        <f t="shared" ca="1" si="0"/>
        <v>4.7395188413678069E-2</v>
      </c>
    </row>
    <row r="535" spans="1:9" ht="14.25" customHeight="1" x14ac:dyDescent="0.3">
      <c r="A535" s="2" t="s">
        <v>1237</v>
      </c>
      <c r="B535" s="2" t="s">
        <v>1768</v>
      </c>
      <c r="C535" s="12">
        <v>44769</v>
      </c>
      <c r="D535" s="2" t="s">
        <v>1784</v>
      </c>
      <c r="E535" s="2" t="s">
        <v>1781</v>
      </c>
      <c r="F535" s="2">
        <v>250</v>
      </c>
      <c r="G535" s="2" t="s">
        <v>23</v>
      </c>
      <c r="H535" s="13">
        <v>2</v>
      </c>
      <c r="I535" s="14">
        <f t="shared" ca="1" si="0"/>
        <v>0.69717187900648259</v>
      </c>
    </row>
    <row r="536" spans="1:9" ht="14.25" customHeight="1" x14ac:dyDescent="0.3">
      <c r="A536" s="2" t="s">
        <v>1239</v>
      </c>
      <c r="B536" s="2" t="s">
        <v>1770</v>
      </c>
      <c r="C536" s="12">
        <v>44756</v>
      </c>
      <c r="D536" s="2" t="s">
        <v>1785</v>
      </c>
      <c r="E536" s="2" t="s">
        <v>1781</v>
      </c>
      <c r="F536" s="2">
        <v>130</v>
      </c>
      <c r="G536" s="2" t="s">
        <v>24</v>
      </c>
      <c r="H536" s="13">
        <v>3</v>
      </c>
      <c r="I536" s="14">
        <f t="shared" ca="1" si="0"/>
        <v>0.94553261671030198</v>
      </c>
    </row>
    <row r="537" spans="1:9" ht="14.25" customHeight="1" x14ac:dyDescent="0.3">
      <c r="A537" s="2" t="s">
        <v>1241</v>
      </c>
      <c r="B537" s="2" t="s">
        <v>1772</v>
      </c>
      <c r="C537" s="12">
        <v>44799</v>
      </c>
      <c r="D537" s="2" t="s">
        <v>1786</v>
      </c>
      <c r="E537" s="2" t="s">
        <v>1783</v>
      </c>
      <c r="F537" s="2">
        <v>60</v>
      </c>
      <c r="G537" s="2" t="s">
        <v>25</v>
      </c>
      <c r="H537" s="13">
        <v>12</v>
      </c>
      <c r="I537" s="14">
        <f t="shared" ca="1" si="0"/>
        <v>0.93318492373167139</v>
      </c>
    </row>
    <row r="538" spans="1:9" ht="14.25" customHeight="1" x14ac:dyDescent="0.3">
      <c r="A538" s="2" t="s">
        <v>1243</v>
      </c>
      <c r="B538" s="2" t="s">
        <v>1773</v>
      </c>
      <c r="C538" s="12">
        <v>44807</v>
      </c>
      <c r="D538" s="2" t="s">
        <v>1787</v>
      </c>
      <c r="E538" s="2" t="s">
        <v>1781</v>
      </c>
      <c r="F538" s="2">
        <v>95</v>
      </c>
      <c r="G538" s="2" t="s">
        <v>23</v>
      </c>
      <c r="H538" s="13">
        <v>3</v>
      </c>
      <c r="I538" s="14">
        <f t="shared" ca="1" si="0"/>
        <v>0.28735517125427457</v>
      </c>
    </row>
    <row r="539" spans="1:9" ht="14.25" customHeight="1" x14ac:dyDescent="0.3">
      <c r="A539" s="2" t="s">
        <v>1245</v>
      </c>
      <c r="B539" s="2" t="s">
        <v>1764</v>
      </c>
      <c r="C539" s="12">
        <v>44769</v>
      </c>
      <c r="D539" s="2" t="s">
        <v>1780</v>
      </c>
      <c r="E539" s="2" t="s">
        <v>1781</v>
      </c>
      <c r="F539" s="2">
        <v>72</v>
      </c>
      <c r="G539" s="2" t="s">
        <v>24</v>
      </c>
      <c r="H539" s="13">
        <v>6</v>
      </c>
      <c r="I539" s="14">
        <f t="shared" ca="1" si="0"/>
        <v>0.78060930767363212</v>
      </c>
    </row>
    <row r="540" spans="1:9" ht="14.25" customHeight="1" x14ac:dyDescent="0.3">
      <c r="A540" s="2" t="s">
        <v>1247</v>
      </c>
      <c r="B540" s="2" t="s">
        <v>1766</v>
      </c>
      <c r="C540" s="12">
        <v>44805</v>
      </c>
      <c r="D540" s="2" t="s">
        <v>1782</v>
      </c>
      <c r="E540" s="2" t="s">
        <v>1781</v>
      </c>
      <c r="F540" s="2">
        <v>65</v>
      </c>
      <c r="G540" s="2" t="s">
        <v>25</v>
      </c>
      <c r="H540" s="13">
        <v>5</v>
      </c>
      <c r="I540" s="14">
        <f t="shared" ca="1" si="0"/>
        <v>4.0258141851987506E-2</v>
      </c>
    </row>
    <row r="541" spans="1:9" ht="14.25" customHeight="1" x14ac:dyDescent="0.3">
      <c r="A541" s="2" t="s">
        <v>1249</v>
      </c>
      <c r="B541" s="2" t="s">
        <v>1768</v>
      </c>
      <c r="C541" s="12">
        <v>44796</v>
      </c>
      <c r="D541" s="2" t="s">
        <v>1784</v>
      </c>
      <c r="E541" s="2" t="s">
        <v>1783</v>
      </c>
      <c r="F541" s="2">
        <v>250</v>
      </c>
      <c r="G541" s="2" t="s">
        <v>23</v>
      </c>
      <c r="H541" s="13">
        <v>3</v>
      </c>
      <c r="I541" s="14">
        <f t="shared" ca="1" si="0"/>
        <v>0.79478958035435521</v>
      </c>
    </row>
    <row r="542" spans="1:9" ht="14.25" customHeight="1" x14ac:dyDescent="0.3">
      <c r="A542" s="2" t="s">
        <v>1251</v>
      </c>
      <c r="B542" s="2" t="s">
        <v>1770</v>
      </c>
      <c r="C542" s="12">
        <v>44798</v>
      </c>
      <c r="D542" s="2" t="s">
        <v>1785</v>
      </c>
      <c r="E542" s="2" t="s">
        <v>1783</v>
      </c>
      <c r="F542" s="2">
        <v>130</v>
      </c>
      <c r="G542" s="2" t="s">
        <v>24</v>
      </c>
      <c r="H542" s="13">
        <v>5</v>
      </c>
      <c r="I542" s="14">
        <f t="shared" ca="1" si="0"/>
        <v>0.32837711625489152</v>
      </c>
    </row>
    <row r="543" spans="1:9" ht="14.25" customHeight="1" x14ac:dyDescent="0.3">
      <c r="A543" s="2" t="s">
        <v>1253</v>
      </c>
      <c r="B543" s="2" t="s">
        <v>1764</v>
      </c>
      <c r="C543" s="12">
        <v>44756</v>
      </c>
      <c r="D543" s="2" t="s">
        <v>1780</v>
      </c>
      <c r="E543" s="2" t="s">
        <v>1783</v>
      </c>
      <c r="F543" s="2">
        <v>72</v>
      </c>
      <c r="G543" s="2" t="s">
        <v>25</v>
      </c>
      <c r="H543" s="13">
        <v>6</v>
      </c>
      <c r="I543" s="14">
        <f t="shared" ca="1" si="0"/>
        <v>0.84040373279142178</v>
      </c>
    </row>
    <row r="544" spans="1:9" ht="14.25" customHeight="1" x14ac:dyDescent="0.3">
      <c r="A544" s="2" t="s">
        <v>1255</v>
      </c>
      <c r="B544" s="2" t="s">
        <v>1766</v>
      </c>
      <c r="C544" s="12">
        <v>44800</v>
      </c>
      <c r="D544" s="2" t="s">
        <v>1782</v>
      </c>
      <c r="E544" s="2" t="s">
        <v>1783</v>
      </c>
      <c r="F544" s="2">
        <v>65</v>
      </c>
      <c r="G544" s="2" t="s">
        <v>23</v>
      </c>
      <c r="H544" s="13">
        <v>11</v>
      </c>
      <c r="I544" s="14">
        <f t="shared" ca="1" si="0"/>
        <v>7.9085518032703805E-2</v>
      </c>
    </row>
    <row r="545" spans="1:9" ht="14.25" customHeight="1" x14ac:dyDescent="0.3">
      <c r="A545" s="2" t="s">
        <v>1257</v>
      </c>
      <c r="B545" s="2" t="s">
        <v>1768</v>
      </c>
      <c r="C545" s="12">
        <v>44758</v>
      </c>
      <c r="D545" s="2" t="s">
        <v>1784</v>
      </c>
      <c r="E545" s="2" t="s">
        <v>1783</v>
      </c>
      <c r="F545" s="2">
        <v>250</v>
      </c>
      <c r="G545" s="2" t="s">
        <v>24</v>
      </c>
      <c r="H545" s="13">
        <v>1</v>
      </c>
      <c r="I545" s="14">
        <f t="shared" ca="1" si="0"/>
        <v>0.7497366123153365</v>
      </c>
    </row>
    <row r="546" spans="1:9" ht="14.25" customHeight="1" x14ac:dyDescent="0.3">
      <c r="A546" s="2" t="s">
        <v>1259</v>
      </c>
      <c r="B546" s="2" t="s">
        <v>1770</v>
      </c>
      <c r="C546" s="12">
        <v>44788</v>
      </c>
      <c r="D546" s="2" t="s">
        <v>1785</v>
      </c>
      <c r="E546" s="2" t="s">
        <v>1783</v>
      </c>
      <c r="F546" s="2">
        <v>130</v>
      </c>
      <c r="G546" s="2" t="s">
        <v>25</v>
      </c>
      <c r="H546" s="13">
        <v>3</v>
      </c>
      <c r="I546" s="14">
        <f t="shared" ca="1" si="0"/>
        <v>0.41447905773466709</v>
      </c>
    </row>
    <row r="547" spans="1:9" ht="14.25" customHeight="1" x14ac:dyDescent="0.3">
      <c r="A547" s="2" t="s">
        <v>1261</v>
      </c>
      <c r="B547" s="2" t="s">
        <v>1764</v>
      </c>
      <c r="C547" s="12">
        <v>44793</v>
      </c>
      <c r="D547" s="2" t="s">
        <v>1780</v>
      </c>
      <c r="E547" s="2" t="s">
        <v>1781</v>
      </c>
      <c r="F547" s="2">
        <v>72</v>
      </c>
      <c r="G547" s="2" t="s">
        <v>25</v>
      </c>
      <c r="H547" s="13">
        <v>10</v>
      </c>
      <c r="I547" s="14">
        <f t="shared" ca="1" si="0"/>
        <v>1.8855012970396823E-3</v>
      </c>
    </row>
    <row r="548" spans="1:9" ht="14.25" customHeight="1" x14ac:dyDescent="0.3">
      <c r="A548" s="2" t="s">
        <v>1263</v>
      </c>
      <c r="B548" s="2" t="s">
        <v>1766</v>
      </c>
      <c r="C548" s="12">
        <v>44784</v>
      </c>
      <c r="D548" s="2" t="s">
        <v>1782</v>
      </c>
      <c r="E548" s="2" t="s">
        <v>1783</v>
      </c>
      <c r="F548" s="2">
        <v>65</v>
      </c>
      <c r="G548" s="2" t="s">
        <v>23</v>
      </c>
      <c r="H548" s="13">
        <v>6</v>
      </c>
      <c r="I548" s="14">
        <f t="shared" ca="1" si="0"/>
        <v>0.90337373708589463</v>
      </c>
    </row>
    <row r="549" spans="1:9" ht="14.25" customHeight="1" x14ac:dyDescent="0.3">
      <c r="A549" s="2" t="s">
        <v>1265</v>
      </c>
      <c r="B549" s="2" t="s">
        <v>1768</v>
      </c>
      <c r="C549" s="12">
        <v>44793</v>
      </c>
      <c r="D549" s="2" t="s">
        <v>1784</v>
      </c>
      <c r="E549" s="2" t="s">
        <v>1781</v>
      </c>
      <c r="F549" s="2">
        <v>250</v>
      </c>
      <c r="G549" s="2" t="s">
        <v>24</v>
      </c>
      <c r="H549" s="13">
        <v>2</v>
      </c>
      <c r="I549" s="14">
        <f t="shared" ca="1" si="0"/>
        <v>0.15673788354495588</v>
      </c>
    </row>
    <row r="550" spans="1:9" ht="14.25" customHeight="1" x14ac:dyDescent="0.3">
      <c r="A550" s="2" t="s">
        <v>1267</v>
      </c>
      <c r="B550" s="2" t="s">
        <v>1770</v>
      </c>
      <c r="C550" s="12">
        <v>44796</v>
      </c>
      <c r="D550" s="2" t="s">
        <v>1785</v>
      </c>
      <c r="E550" s="2" t="s">
        <v>1783</v>
      </c>
      <c r="F550" s="2">
        <v>130</v>
      </c>
      <c r="G550" s="2" t="s">
        <v>25</v>
      </c>
      <c r="H550" s="13">
        <v>5</v>
      </c>
      <c r="I550" s="14">
        <f t="shared" ca="1" si="0"/>
        <v>0.40099720295825148</v>
      </c>
    </row>
    <row r="551" spans="1:9" ht="14.25" customHeight="1" x14ac:dyDescent="0.3">
      <c r="A551" s="2" t="s">
        <v>1269</v>
      </c>
      <c r="B551" s="2" t="s">
        <v>1764</v>
      </c>
      <c r="C551" s="12">
        <v>44758</v>
      </c>
      <c r="D551" s="2" t="s">
        <v>1780</v>
      </c>
      <c r="E551" s="2" t="s">
        <v>1781</v>
      </c>
      <c r="F551" s="2">
        <v>72</v>
      </c>
      <c r="G551" s="2" t="s">
        <v>23</v>
      </c>
      <c r="H551" s="13">
        <v>9</v>
      </c>
      <c r="I551" s="14">
        <f t="shared" ca="1" si="0"/>
        <v>0.85716595796962036</v>
      </c>
    </row>
    <row r="552" spans="1:9" ht="14.25" customHeight="1" x14ac:dyDescent="0.3">
      <c r="A552" s="2" t="s">
        <v>1271</v>
      </c>
      <c r="B552" s="2" t="s">
        <v>1766</v>
      </c>
      <c r="C552" s="12">
        <v>44757</v>
      </c>
      <c r="D552" s="2" t="s">
        <v>1782</v>
      </c>
      <c r="E552" s="2" t="s">
        <v>1783</v>
      </c>
      <c r="F552" s="2">
        <v>65</v>
      </c>
      <c r="G552" s="2" t="s">
        <v>24</v>
      </c>
      <c r="H552" s="13">
        <v>5</v>
      </c>
      <c r="I552" s="14">
        <f t="shared" ca="1" si="0"/>
        <v>0.22944662459846199</v>
      </c>
    </row>
    <row r="553" spans="1:9" ht="14.25" customHeight="1" x14ac:dyDescent="0.3">
      <c r="A553" s="2" t="s">
        <v>1273</v>
      </c>
      <c r="B553" s="2" t="s">
        <v>1768</v>
      </c>
      <c r="C553" s="12">
        <v>44758</v>
      </c>
      <c r="D553" s="2" t="s">
        <v>1784</v>
      </c>
      <c r="E553" s="2" t="s">
        <v>1781</v>
      </c>
      <c r="F553" s="2">
        <v>250</v>
      </c>
      <c r="G553" s="2" t="s">
        <v>25</v>
      </c>
      <c r="H553" s="13">
        <v>1</v>
      </c>
      <c r="I553" s="14">
        <f t="shared" ca="1" si="0"/>
        <v>1.4728099766850078E-2</v>
      </c>
    </row>
    <row r="554" spans="1:9" ht="14.25" customHeight="1" x14ac:dyDescent="0.3">
      <c r="A554" s="2" t="s">
        <v>1275</v>
      </c>
      <c r="B554" s="2" t="s">
        <v>1770</v>
      </c>
      <c r="C554" s="12">
        <v>44800</v>
      </c>
      <c r="D554" s="2" t="s">
        <v>1785</v>
      </c>
      <c r="E554" s="2" t="s">
        <v>1783</v>
      </c>
      <c r="F554" s="2">
        <v>130</v>
      </c>
      <c r="G554" s="2" t="s">
        <v>23</v>
      </c>
      <c r="H554" s="13">
        <v>3</v>
      </c>
      <c r="I554" s="14">
        <f t="shared" ca="1" si="0"/>
        <v>0.924620918615087</v>
      </c>
    </row>
    <row r="555" spans="1:9" ht="14.25" customHeight="1" x14ac:dyDescent="0.3">
      <c r="A555" s="2" t="s">
        <v>1277</v>
      </c>
      <c r="B555" s="2" t="s">
        <v>1772</v>
      </c>
      <c r="C555" s="12">
        <v>44780</v>
      </c>
      <c r="D555" s="2" t="s">
        <v>1786</v>
      </c>
      <c r="E555" s="2" t="s">
        <v>1781</v>
      </c>
      <c r="F555" s="2">
        <v>60</v>
      </c>
      <c r="G555" s="2" t="s">
        <v>24</v>
      </c>
      <c r="H555" s="13">
        <v>7</v>
      </c>
      <c r="I555" s="14">
        <f t="shared" ca="1" si="0"/>
        <v>0.25371514578713505</v>
      </c>
    </row>
    <row r="556" spans="1:9" ht="14.25" customHeight="1" x14ac:dyDescent="0.3">
      <c r="A556" s="2" t="s">
        <v>1279</v>
      </c>
      <c r="B556" s="2" t="s">
        <v>1764</v>
      </c>
      <c r="C556" s="12">
        <v>44807</v>
      </c>
      <c r="D556" s="2" t="s">
        <v>1780</v>
      </c>
      <c r="E556" s="2" t="s">
        <v>1783</v>
      </c>
      <c r="F556" s="2">
        <v>72</v>
      </c>
      <c r="G556" s="2" t="s">
        <v>25</v>
      </c>
      <c r="H556" s="13">
        <v>12</v>
      </c>
      <c r="I556" s="14">
        <f t="shared" ca="1" si="0"/>
        <v>0.2367263379169593</v>
      </c>
    </row>
    <row r="557" spans="1:9" ht="14.25" customHeight="1" x14ac:dyDescent="0.3">
      <c r="A557" s="2" t="s">
        <v>1281</v>
      </c>
      <c r="B557" s="2" t="s">
        <v>1766</v>
      </c>
      <c r="C557" s="12">
        <v>44798</v>
      </c>
      <c r="D557" s="2" t="s">
        <v>1782</v>
      </c>
      <c r="E557" s="2" t="s">
        <v>1781</v>
      </c>
      <c r="F557" s="2">
        <v>65</v>
      </c>
      <c r="G557" s="2" t="s">
        <v>23</v>
      </c>
      <c r="H557" s="13">
        <v>12</v>
      </c>
      <c r="I557" s="14">
        <f t="shared" ca="1" si="0"/>
        <v>0.30781779345209159</v>
      </c>
    </row>
    <row r="558" spans="1:9" ht="14.25" customHeight="1" x14ac:dyDescent="0.3">
      <c r="A558" s="2" t="s">
        <v>1283</v>
      </c>
      <c r="B558" s="2" t="s">
        <v>1768</v>
      </c>
      <c r="C558" s="12">
        <v>44810</v>
      </c>
      <c r="D558" s="2" t="s">
        <v>1784</v>
      </c>
      <c r="E558" s="2" t="s">
        <v>1783</v>
      </c>
      <c r="F558" s="2">
        <v>250</v>
      </c>
      <c r="G558" s="2" t="s">
        <v>24</v>
      </c>
      <c r="H558" s="13">
        <v>3</v>
      </c>
      <c r="I558" s="14">
        <f t="shared" ca="1" si="0"/>
        <v>0.11391392198359762</v>
      </c>
    </row>
    <row r="559" spans="1:9" ht="14.25" customHeight="1" x14ac:dyDescent="0.3">
      <c r="A559" s="2" t="s">
        <v>1285</v>
      </c>
      <c r="B559" s="2" t="s">
        <v>1770</v>
      </c>
      <c r="C559" s="12">
        <v>44764</v>
      </c>
      <c r="D559" s="2" t="s">
        <v>1785</v>
      </c>
      <c r="E559" s="2" t="s">
        <v>1781</v>
      </c>
      <c r="F559" s="2">
        <v>130</v>
      </c>
      <c r="G559" s="2" t="s">
        <v>25</v>
      </c>
      <c r="H559" s="13">
        <v>5</v>
      </c>
      <c r="I559" s="14">
        <f t="shared" ca="1" si="0"/>
        <v>0.87165023425475407</v>
      </c>
    </row>
    <row r="560" spans="1:9" ht="14.25" customHeight="1" x14ac:dyDescent="0.3">
      <c r="A560" s="2" t="s">
        <v>1287</v>
      </c>
      <c r="B560" s="2" t="s">
        <v>1764</v>
      </c>
      <c r="C560" s="12">
        <v>44766</v>
      </c>
      <c r="D560" s="2" t="s">
        <v>1780</v>
      </c>
      <c r="E560" s="2" t="s">
        <v>1783</v>
      </c>
      <c r="F560" s="2">
        <v>72</v>
      </c>
      <c r="G560" s="2" t="s">
        <v>23</v>
      </c>
      <c r="H560" s="13">
        <v>4</v>
      </c>
      <c r="I560" s="14">
        <f t="shared" ca="1" si="0"/>
        <v>0.47990601402866861</v>
      </c>
    </row>
    <row r="561" spans="1:9" ht="14.25" customHeight="1" x14ac:dyDescent="0.3">
      <c r="A561" s="2" t="s">
        <v>1289</v>
      </c>
      <c r="B561" s="2" t="s">
        <v>1766</v>
      </c>
      <c r="C561" s="12">
        <v>44794</v>
      </c>
      <c r="D561" s="2" t="s">
        <v>1782</v>
      </c>
      <c r="E561" s="2" t="s">
        <v>1781</v>
      </c>
      <c r="F561" s="2">
        <v>65</v>
      </c>
      <c r="G561" s="2" t="s">
        <v>24</v>
      </c>
      <c r="H561" s="13">
        <v>9</v>
      </c>
      <c r="I561" s="14">
        <f t="shared" ca="1" si="0"/>
        <v>0.21527391281143227</v>
      </c>
    </row>
    <row r="562" spans="1:9" ht="14.25" customHeight="1" x14ac:dyDescent="0.3">
      <c r="A562" s="2" t="s">
        <v>1291</v>
      </c>
      <c r="B562" s="2" t="s">
        <v>1768</v>
      </c>
      <c r="C562" s="12">
        <v>44800</v>
      </c>
      <c r="D562" s="2" t="s">
        <v>1784</v>
      </c>
      <c r="E562" s="2" t="s">
        <v>1783</v>
      </c>
      <c r="F562" s="2">
        <v>250</v>
      </c>
      <c r="G562" s="2" t="s">
        <v>25</v>
      </c>
      <c r="H562" s="13">
        <v>3</v>
      </c>
      <c r="I562" s="14">
        <f t="shared" ca="1" si="0"/>
        <v>0.84001184686584784</v>
      </c>
    </row>
    <row r="563" spans="1:9" ht="14.25" customHeight="1" x14ac:dyDescent="0.3">
      <c r="A563" s="2" t="s">
        <v>1293</v>
      </c>
      <c r="B563" s="2" t="s">
        <v>1770</v>
      </c>
      <c r="C563" s="12">
        <v>44792</v>
      </c>
      <c r="D563" s="2" t="s">
        <v>1785</v>
      </c>
      <c r="E563" s="2" t="s">
        <v>1781</v>
      </c>
      <c r="F563" s="2">
        <v>130</v>
      </c>
      <c r="G563" s="2" t="s">
        <v>23</v>
      </c>
      <c r="H563" s="13">
        <v>5</v>
      </c>
      <c r="I563" s="14">
        <f t="shared" ca="1" si="0"/>
        <v>0.44857371639682364</v>
      </c>
    </row>
    <row r="564" spans="1:9" ht="14.25" customHeight="1" x14ac:dyDescent="0.3">
      <c r="A564" s="2" t="s">
        <v>1295</v>
      </c>
      <c r="B564" s="2" t="s">
        <v>1772</v>
      </c>
      <c r="C564" s="12">
        <v>44809</v>
      </c>
      <c r="D564" s="2" t="s">
        <v>1786</v>
      </c>
      <c r="E564" s="2" t="s">
        <v>1781</v>
      </c>
      <c r="F564" s="2">
        <v>60</v>
      </c>
      <c r="G564" s="2" t="s">
        <v>24</v>
      </c>
      <c r="H564" s="13">
        <v>4</v>
      </c>
      <c r="I564" s="14">
        <f t="shared" ca="1" si="0"/>
        <v>9.7704808131350185E-2</v>
      </c>
    </row>
    <row r="565" spans="1:9" ht="14.25" customHeight="1" x14ac:dyDescent="0.3">
      <c r="A565" s="2" t="s">
        <v>1297</v>
      </c>
      <c r="B565" s="2" t="s">
        <v>1773</v>
      </c>
      <c r="C565" s="12">
        <v>44789</v>
      </c>
      <c r="D565" s="2" t="s">
        <v>1787</v>
      </c>
      <c r="E565" s="2" t="s">
        <v>1783</v>
      </c>
      <c r="F565" s="2">
        <v>95</v>
      </c>
      <c r="G565" s="2" t="s">
        <v>25</v>
      </c>
      <c r="H565" s="13">
        <v>8</v>
      </c>
      <c r="I565" s="14">
        <f t="shared" ref="I565:I628" ca="1" si="1">RAND()</f>
        <v>0.64746465734245728</v>
      </c>
    </row>
    <row r="566" spans="1:9" ht="14.25" customHeight="1" x14ac:dyDescent="0.3">
      <c r="A566" s="2" t="s">
        <v>1299</v>
      </c>
      <c r="B566" s="2" t="s">
        <v>1764</v>
      </c>
      <c r="C566" s="12">
        <v>44757</v>
      </c>
      <c r="D566" s="2" t="s">
        <v>1780</v>
      </c>
      <c r="E566" s="2" t="s">
        <v>1783</v>
      </c>
      <c r="F566" s="2">
        <v>72</v>
      </c>
      <c r="G566" s="2" t="s">
        <v>23</v>
      </c>
      <c r="H566" s="13">
        <v>9</v>
      </c>
      <c r="I566" s="14">
        <f t="shared" ca="1" si="1"/>
        <v>0.44813440896566026</v>
      </c>
    </row>
    <row r="567" spans="1:9" ht="14.25" customHeight="1" x14ac:dyDescent="0.3">
      <c r="A567" s="2" t="s">
        <v>1301</v>
      </c>
      <c r="B567" s="2" t="s">
        <v>1766</v>
      </c>
      <c r="C567" s="12">
        <v>44790</v>
      </c>
      <c r="D567" s="2" t="s">
        <v>1782</v>
      </c>
      <c r="E567" s="2" t="s">
        <v>1783</v>
      </c>
      <c r="F567" s="2">
        <v>65</v>
      </c>
      <c r="G567" s="2" t="s">
        <v>24</v>
      </c>
      <c r="H567" s="13">
        <v>6</v>
      </c>
      <c r="I567" s="14">
        <f t="shared" ca="1" si="1"/>
        <v>0.6612996771256755</v>
      </c>
    </row>
    <row r="568" spans="1:9" ht="14.25" customHeight="1" x14ac:dyDescent="0.3">
      <c r="A568" s="2" t="s">
        <v>1303</v>
      </c>
      <c r="B568" s="2" t="s">
        <v>1768</v>
      </c>
      <c r="C568" s="12">
        <v>44808</v>
      </c>
      <c r="D568" s="2" t="s">
        <v>1784</v>
      </c>
      <c r="E568" s="2" t="s">
        <v>1781</v>
      </c>
      <c r="F568" s="2">
        <v>250</v>
      </c>
      <c r="G568" s="2" t="s">
        <v>25</v>
      </c>
      <c r="H568" s="13">
        <v>4</v>
      </c>
      <c r="I568" s="14">
        <f t="shared" ca="1" si="1"/>
        <v>0.7718892999368544</v>
      </c>
    </row>
    <row r="569" spans="1:9" ht="14.25" customHeight="1" x14ac:dyDescent="0.3">
      <c r="A569" s="2" t="s">
        <v>1305</v>
      </c>
      <c r="B569" s="2" t="s">
        <v>1770</v>
      </c>
      <c r="C569" s="12">
        <v>44801</v>
      </c>
      <c r="D569" s="2" t="s">
        <v>1785</v>
      </c>
      <c r="E569" s="2" t="s">
        <v>1781</v>
      </c>
      <c r="F569" s="2">
        <v>130</v>
      </c>
      <c r="G569" s="2" t="s">
        <v>23</v>
      </c>
      <c r="H569" s="13">
        <v>4</v>
      </c>
      <c r="I569" s="14">
        <f t="shared" ca="1" si="1"/>
        <v>0.74618187719002382</v>
      </c>
    </row>
    <row r="570" spans="1:9" ht="14.25" customHeight="1" x14ac:dyDescent="0.3">
      <c r="A570" s="2" t="s">
        <v>1307</v>
      </c>
      <c r="B570" s="2" t="s">
        <v>1764</v>
      </c>
      <c r="C570" s="12">
        <v>44769</v>
      </c>
      <c r="D570" s="2" t="s">
        <v>1780</v>
      </c>
      <c r="E570" s="2" t="s">
        <v>1781</v>
      </c>
      <c r="F570" s="2">
        <v>72</v>
      </c>
      <c r="G570" s="2" t="s">
        <v>24</v>
      </c>
      <c r="H570" s="13">
        <v>9</v>
      </c>
      <c r="I570" s="14">
        <f t="shared" ca="1" si="1"/>
        <v>0.56690903070255827</v>
      </c>
    </row>
    <row r="571" spans="1:9" ht="14.25" customHeight="1" x14ac:dyDescent="0.3">
      <c r="A571" s="2" t="s">
        <v>1309</v>
      </c>
      <c r="B571" s="2" t="s">
        <v>1766</v>
      </c>
      <c r="C571" s="12">
        <v>44757</v>
      </c>
      <c r="D571" s="2" t="s">
        <v>1782</v>
      </c>
      <c r="E571" s="2" t="s">
        <v>1781</v>
      </c>
      <c r="F571" s="2">
        <v>65</v>
      </c>
      <c r="G571" s="2" t="s">
        <v>25</v>
      </c>
      <c r="H571" s="13">
        <v>8</v>
      </c>
      <c r="I571" s="14">
        <f t="shared" ca="1" si="1"/>
        <v>0.32908484036687868</v>
      </c>
    </row>
    <row r="572" spans="1:9" ht="14.25" customHeight="1" x14ac:dyDescent="0.3">
      <c r="A572" s="2" t="s">
        <v>1311</v>
      </c>
      <c r="B572" s="2" t="s">
        <v>1768</v>
      </c>
      <c r="C572" s="12">
        <v>44759</v>
      </c>
      <c r="D572" s="2" t="s">
        <v>1784</v>
      </c>
      <c r="E572" s="2" t="s">
        <v>1781</v>
      </c>
      <c r="F572" s="2">
        <v>250</v>
      </c>
      <c r="G572" s="2" t="s">
        <v>23</v>
      </c>
      <c r="H572" s="13">
        <v>1</v>
      </c>
      <c r="I572" s="14">
        <f t="shared" ca="1" si="1"/>
        <v>0.30659147790203001</v>
      </c>
    </row>
    <row r="573" spans="1:9" ht="14.25" customHeight="1" x14ac:dyDescent="0.3">
      <c r="A573" s="2" t="s">
        <v>1313</v>
      </c>
      <c r="B573" s="2" t="s">
        <v>1770</v>
      </c>
      <c r="C573" s="12">
        <v>44805</v>
      </c>
      <c r="D573" s="2" t="s">
        <v>1785</v>
      </c>
      <c r="E573" s="2" t="s">
        <v>1781</v>
      </c>
      <c r="F573" s="2">
        <v>130</v>
      </c>
      <c r="G573" s="2" t="s">
        <v>24</v>
      </c>
      <c r="H573" s="13">
        <v>3</v>
      </c>
      <c r="I573" s="14">
        <f t="shared" ca="1" si="1"/>
        <v>0.29133577103219954</v>
      </c>
    </row>
    <row r="574" spans="1:9" ht="14.25" customHeight="1" x14ac:dyDescent="0.3">
      <c r="A574" s="2" t="s">
        <v>1315</v>
      </c>
      <c r="B574" s="2" t="s">
        <v>1772</v>
      </c>
      <c r="C574" s="12">
        <v>44760</v>
      </c>
      <c r="D574" s="2" t="s">
        <v>1786</v>
      </c>
      <c r="E574" s="2" t="s">
        <v>1781</v>
      </c>
      <c r="F574" s="2">
        <v>60</v>
      </c>
      <c r="G574" s="2" t="s">
        <v>25</v>
      </c>
      <c r="H574" s="13">
        <v>13</v>
      </c>
      <c r="I574" s="14">
        <f t="shared" ca="1" si="1"/>
        <v>0.30821193493320742</v>
      </c>
    </row>
    <row r="575" spans="1:9" ht="14.25" customHeight="1" x14ac:dyDescent="0.3">
      <c r="A575" s="2" t="s">
        <v>1317</v>
      </c>
      <c r="B575" s="2" t="s">
        <v>1764</v>
      </c>
      <c r="C575" s="12">
        <v>44791</v>
      </c>
      <c r="D575" s="2" t="s">
        <v>1780</v>
      </c>
      <c r="E575" s="2" t="s">
        <v>1781</v>
      </c>
      <c r="F575" s="2">
        <v>72</v>
      </c>
      <c r="G575" s="2" t="s">
        <v>23</v>
      </c>
      <c r="H575" s="13">
        <v>4</v>
      </c>
      <c r="I575" s="14">
        <f t="shared" ca="1" si="1"/>
        <v>0.1537399707970436</v>
      </c>
    </row>
    <row r="576" spans="1:9" ht="14.25" customHeight="1" x14ac:dyDescent="0.3">
      <c r="A576" s="2" t="s">
        <v>1319</v>
      </c>
      <c r="B576" s="2" t="s">
        <v>1766</v>
      </c>
      <c r="C576" s="12">
        <v>44768</v>
      </c>
      <c r="D576" s="2" t="s">
        <v>1782</v>
      </c>
      <c r="E576" s="2" t="s">
        <v>1781</v>
      </c>
      <c r="F576" s="2">
        <v>65</v>
      </c>
      <c r="G576" s="2" t="s">
        <v>24</v>
      </c>
      <c r="H576" s="13">
        <v>12</v>
      </c>
      <c r="I576" s="14">
        <f t="shared" ca="1" si="1"/>
        <v>0.34086740863297671</v>
      </c>
    </row>
    <row r="577" spans="1:9" ht="14.25" customHeight="1" x14ac:dyDescent="0.3">
      <c r="A577" s="2" t="s">
        <v>1321</v>
      </c>
      <c r="B577" s="2" t="s">
        <v>1768</v>
      </c>
      <c r="C577" s="12">
        <v>44759</v>
      </c>
      <c r="D577" s="2" t="s">
        <v>1784</v>
      </c>
      <c r="E577" s="2" t="s">
        <v>1783</v>
      </c>
      <c r="F577" s="2">
        <v>250</v>
      </c>
      <c r="G577" s="2" t="s">
        <v>25</v>
      </c>
      <c r="H577" s="13">
        <v>3</v>
      </c>
      <c r="I577" s="14">
        <f t="shared" ca="1" si="1"/>
        <v>0.98730917737215251</v>
      </c>
    </row>
    <row r="578" spans="1:9" ht="14.25" customHeight="1" x14ac:dyDescent="0.3">
      <c r="A578" s="2" t="s">
        <v>1323</v>
      </c>
      <c r="B578" s="2" t="s">
        <v>1770</v>
      </c>
      <c r="C578" s="12">
        <v>44781</v>
      </c>
      <c r="D578" s="2" t="s">
        <v>1785</v>
      </c>
      <c r="E578" s="2" t="s">
        <v>1781</v>
      </c>
      <c r="F578" s="2">
        <v>130</v>
      </c>
      <c r="G578" s="2" t="s">
        <v>23</v>
      </c>
      <c r="H578" s="13">
        <v>6</v>
      </c>
      <c r="I578" s="14">
        <f t="shared" ca="1" si="1"/>
        <v>0.29579636696220413</v>
      </c>
    </row>
    <row r="579" spans="1:9" ht="14.25" customHeight="1" x14ac:dyDescent="0.3">
      <c r="A579" s="2" t="s">
        <v>1325</v>
      </c>
      <c r="B579" s="2" t="s">
        <v>1764</v>
      </c>
      <c r="C579" s="12">
        <v>44785</v>
      </c>
      <c r="D579" s="2" t="s">
        <v>1780</v>
      </c>
      <c r="E579" s="2" t="s">
        <v>1781</v>
      </c>
      <c r="F579" s="2">
        <v>72</v>
      </c>
      <c r="G579" s="2" t="s">
        <v>24</v>
      </c>
      <c r="H579" s="13">
        <v>5</v>
      </c>
      <c r="I579" s="14">
        <f t="shared" ca="1" si="1"/>
        <v>0.3259972572881753</v>
      </c>
    </row>
    <row r="580" spans="1:9" ht="14.25" customHeight="1" x14ac:dyDescent="0.3">
      <c r="A580" s="2" t="s">
        <v>1327</v>
      </c>
      <c r="B580" s="2" t="s">
        <v>1766</v>
      </c>
      <c r="C580" s="12">
        <v>44775</v>
      </c>
      <c r="D580" s="2" t="s">
        <v>1782</v>
      </c>
      <c r="E580" s="2" t="s">
        <v>1781</v>
      </c>
      <c r="F580" s="2">
        <v>65</v>
      </c>
      <c r="G580" s="2" t="s">
        <v>25</v>
      </c>
      <c r="H580" s="13">
        <v>11</v>
      </c>
      <c r="I580" s="14">
        <f t="shared" ca="1" si="1"/>
        <v>0.70372305569492055</v>
      </c>
    </row>
    <row r="581" spans="1:9" ht="14.25" customHeight="1" x14ac:dyDescent="0.3">
      <c r="A581" s="2" t="s">
        <v>1329</v>
      </c>
      <c r="B581" s="2" t="s">
        <v>1768</v>
      </c>
      <c r="C581" s="12">
        <v>44773</v>
      </c>
      <c r="D581" s="2" t="s">
        <v>1784</v>
      </c>
      <c r="E581" s="2" t="s">
        <v>1781</v>
      </c>
      <c r="F581" s="2">
        <v>250</v>
      </c>
      <c r="G581" s="2" t="s">
        <v>23</v>
      </c>
      <c r="H581" s="13">
        <v>2</v>
      </c>
      <c r="I581" s="14">
        <f t="shared" ca="1" si="1"/>
        <v>6.4801284804098636E-2</v>
      </c>
    </row>
    <row r="582" spans="1:9" ht="14.25" customHeight="1" x14ac:dyDescent="0.3">
      <c r="A582" s="2" t="s">
        <v>1331</v>
      </c>
      <c r="B582" s="2" t="s">
        <v>1770</v>
      </c>
      <c r="C582" s="12">
        <v>44796</v>
      </c>
      <c r="D582" s="2" t="s">
        <v>1785</v>
      </c>
      <c r="E582" s="2" t="s">
        <v>1781</v>
      </c>
      <c r="F582" s="2">
        <v>130</v>
      </c>
      <c r="G582" s="2" t="s">
        <v>24</v>
      </c>
      <c r="H582" s="13">
        <v>2</v>
      </c>
      <c r="I582" s="14">
        <f t="shared" ca="1" si="1"/>
        <v>0.64614335192174943</v>
      </c>
    </row>
    <row r="583" spans="1:9" ht="14.25" customHeight="1" x14ac:dyDescent="0.3">
      <c r="A583" s="2" t="s">
        <v>1333</v>
      </c>
      <c r="B583" s="2" t="s">
        <v>1772</v>
      </c>
      <c r="C583" s="12">
        <v>44801</v>
      </c>
      <c r="D583" s="2" t="s">
        <v>1786</v>
      </c>
      <c r="E583" s="2" t="s">
        <v>1783</v>
      </c>
      <c r="F583" s="2">
        <v>60</v>
      </c>
      <c r="G583" s="2" t="s">
        <v>25</v>
      </c>
      <c r="H583" s="13">
        <v>10</v>
      </c>
      <c r="I583" s="14">
        <f t="shared" ca="1" si="1"/>
        <v>0.79237305405577874</v>
      </c>
    </row>
    <row r="584" spans="1:9" ht="14.25" customHeight="1" x14ac:dyDescent="0.3">
      <c r="A584" s="2" t="s">
        <v>1335</v>
      </c>
      <c r="B584" s="2" t="s">
        <v>1773</v>
      </c>
      <c r="C584" s="12">
        <v>44779</v>
      </c>
      <c r="D584" s="2" t="s">
        <v>1787</v>
      </c>
      <c r="E584" s="2" t="s">
        <v>1781</v>
      </c>
      <c r="F584" s="2">
        <v>95</v>
      </c>
      <c r="G584" s="2" t="s">
        <v>23</v>
      </c>
      <c r="H584" s="13">
        <v>6</v>
      </c>
      <c r="I584" s="14">
        <f t="shared" ca="1" si="1"/>
        <v>0.21409709675906385</v>
      </c>
    </row>
    <row r="585" spans="1:9" ht="14.25" customHeight="1" x14ac:dyDescent="0.3">
      <c r="A585" s="2" t="s">
        <v>1337</v>
      </c>
      <c r="B585" s="2" t="s">
        <v>1764</v>
      </c>
      <c r="C585" s="12">
        <v>44772</v>
      </c>
      <c r="D585" s="2" t="s">
        <v>1780</v>
      </c>
      <c r="E585" s="2" t="s">
        <v>1781</v>
      </c>
      <c r="F585" s="2">
        <v>72</v>
      </c>
      <c r="G585" s="2" t="s">
        <v>24</v>
      </c>
      <c r="H585" s="13">
        <v>7</v>
      </c>
      <c r="I585" s="14">
        <f t="shared" ca="1" si="1"/>
        <v>0.13470293545976286</v>
      </c>
    </row>
    <row r="586" spans="1:9" ht="14.25" customHeight="1" x14ac:dyDescent="0.3">
      <c r="A586" s="2" t="s">
        <v>1339</v>
      </c>
      <c r="B586" s="2" t="s">
        <v>1766</v>
      </c>
      <c r="C586" s="12">
        <v>44757</v>
      </c>
      <c r="D586" s="2" t="s">
        <v>1782</v>
      </c>
      <c r="E586" s="2" t="s">
        <v>1781</v>
      </c>
      <c r="F586" s="2">
        <v>65</v>
      </c>
      <c r="G586" s="2" t="s">
        <v>25</v>
      </c>
      <c r="H586" s="13">
        <v>8</v>
      </c>
      <c r="I586" s="14">
        <f t="shared" ca="1" si="1"/>
        <v>2.7236709550854443E-2</v>
      </c>
    </row>
    <row r="587" spans="1:9" ht="14.25" customHeight="1" x14ac:dyDescent="0.3">
      <c r="A587" s="2" t="s">
        <v>1341</v>
      </c>
      <c r="B587" s="2" t="s">
        <v>1768</v>
      </c>
      <c r="C587" s="12">
        <v>44808</v>
      </c>
      <c r="D587" s="2" t="s">
        <v>1784</v>
      </c>
      <c r="E587" s="2" t="s">
        <v>1783</v>
      </c>
      <c r="F587" s="2">
        <v>250</v>
      </c>
      <c r="G587" s="2" t="s">
        <v>23</v>
      </c>
      <c r="H587" s="13">
        <v>4</v>
      </c>
      <c r="I587" s="14">
        <f t="shared" ca="1" si="1"/>
        <v>0.24532209212048606</v>
      </c>
    </row>
    <row r="588" spans="1:9" ht="14.25" customHeight="1" x14ac:dyDescent="0.3">
      <c r="A588" s="2" t="s">
        <v>1343</v>
      </c>
      <c r="B588" s="2" t="s">
        <v>1770</v>
      </c>
      <c r="C588" s="12">
        <v>44782</v>
      </c>
      <c r="D588" s="2" t="s">
        <v>1785</v>
      </c>
      <c r="E588" s="2" t="s">
        <v>1783</v>
      </c>
      <c r="F588" s="2">
        <v>130</v>
      </c>
      <c r="G588" s="2" t="s">
        <v>24</v>
      </c>
      <c r="H588" s="13">
        <v>6</v>
      </c>
      <c r="I588" s="14">
        <f t="shared" ca="1" si="1"/>
        <v>0.29138904827422929</v>
      </c>
    </row>
    <row r="589" spans="1:9" ht="14.25" customHeight="1" x14ac:dyDescent="0.3">
      <c r="A589" s="2" t="s">
        <v>1345</v>
      </c>
      <c r="B589" s="2" t="s">
        <v>1764</v>
      </c>
      <c r="C589" s="12">
        <v>44787</v>
      </c>
      <c r="D589" s="2" t="s">
        <v>1780</v>
      </c>
      <c r="E589" s="2" t="s">
        <v>1783</v>
      </c>
      <c r="F589" s="2">
        <v>72</v>
      </c>
      <c r="G589" s="2" t="s">
        <v>25</v>
      </c>
      <c r="H589" s="13">
        <v>4</v>
      </c>
      <c r="I589" s="14">
        <f t="shared" ca="1" si="1"/>
        <v>0.41717560693791955</v>
      </c>
    </row>
    <row r="590" spans="1:9" ht="14.25" customHeight="1" x14ac:dyDescent="0.3">
      <c r="A590" s="2" t="s">
        <v>1347</v>
      </c>
      <c r="B590" s="2" t="s">
        <v>1766</v>
      </c>
      <c r="C590" s="12">
        <v>44787</v>
      </c>
      <c r="D590" s="2" t="s">
        <v>1782</v>
      </c>
      <c r="E590" s="2" t="s">
        <v>1783</v>
      </c>
      <c r="F590" s="2">
        <v>65</v>
      </c>
      <c r="G590" s="2" t="s">
        <v>23</v>
      </c>
      <c r="H590" s="13">
        <v>9</v>
      </c>
      <c r="I590" s="14">
        <f t="shared" ca="1" si="1"/>
        <v>0.96302508273754006</v>
      </c>
    </row>
    <row r="591" spans="1:9" ht="14.25" customHeight="1" x14ac:dyDescent="0.3">
      <c r="A591" s="2" t="s">
        <v>1349</v>
      </c>
      <c r="B591" s="2" t="s">
        <v>1768</v>
      </c>
      <c r="C591" s="12">
        <v>44757</v>
      </c>
      <c r="D591" s="2" t="s">
        <v>1784</v>
      </c>
      <c r="E591" s="2" t="s">
        <v>1783</v>
      </c>
      <c r="F591" s="2">
        <v>250</v>
      </c>
      <c r="G591" s="2" t="s">
        <v>24</v>
      </c>
      <c r="H591" s="13">
        <v>1</v>
      </c>
      <c r="I591" s="14">
        <f t="shared" ca="1" si="1"/>
        <v>0.36079475798497229</v>
      </c>
    </row>
    <row r="592" spans="1:9" ht="14.25" customHeight="1" x14ac:dyDescent="0.3">
      <c r="A592" s="2" t="s">
        <v>1351</v>
      </c>
      <c r="B592" s="2" t="s">
        <v>1770</v>
      </c>
      <c r="C592" s="12">
        <v>44761</v>
      </c>
      <c r="D592" s="2" t="s">
        <v>1785</v>
      </c>
      <c r="E592" s="2" t="s">
        <v>1783</v>
      </c>
      <c r="F592" s="2">
        <v>130</v>
      </c>
      <c r="G592" s="2" t="s">
        <v>25</v>
      </c>
      <c r="H592" s="13">
        <v>3</v>
      </c>
      <c r="I592" s="14">
        <f t="shared" ca="1" si="1"/>
        <v>0.24857316439686883</v>
      </c>
    </row>
    <row r="593" spans="1:9" ht="14.25" customHeight="1" x14ac:dyDescent="0.3">
      <c r="A593" s="2" t="s">
        <v>1353</v>
      </c>
      <c r="B593" s="2" t="s">
        <v>1764</v>
      </c>
      <c r="C593" s="12">
        <v>44788</v>
      </c>
      <c r="D593" s="2" t="s">
        <v>1780</v>
      </c>
      <c r="E593" s="2" t="s">
        <v>1781</v>
      </c>
      <c r="F593" s="2">
        <v>72</v>
      </c>
      <c r="G593" s="2" t="s">
        <v>25</v>
      </c>
      <c r="H593" s="13">
        <v>6</v>
      </c>
      <c r="I593" s="14">
        <f t="shared" ca="1" si="1"/>
        <v>0.439504527858672</v>
      </c>
    </row>
    <row r="594" spans="1:9" ht="14.25" customHeight="1" x14ac:dyDescent="0.3">
      <c r="A594" s="2" t="s">
        <v>1355</v>
      </c>
      <c r="B594" s="2" t="s">
        <v>1766</v>
      </c>
      <c r="C594" s="12">
        <v>44788</v>
      </c>
      <c r="D594" s="2" t="s">
        <v>1782</v>
      </c>
      <c r="E594" s="2" t="s">
        <v>1783</v>
      </c>
      <c r="F594" s="2">
        <v>65</v>
      </c>
      <c r="G594" s="2" t="s">
        <v>23</v>
      </c>
      <c r="H594" s="13">
        <v>13</v>
      </c>
      <c r="I594" s="14">
        <f t="shared" ca="1" si="1"/>
        <v>0.72989396881159396</v>
      </c>
    </row>
    <row r="595" spans="1:9" ht="14.25" customHeight="1" x14ac:dyDescent="0.3">
      <c r="A595" s="2" t="s">
        <v>1357</v>
      </c>
      <c r="B595" s="2" t="s">
        <v>1768</v>
      </c>
      <c r="C595" s="12">
        <v>44758</v>
      </c>
      <c r="D595" s="2" t="s">
        <v>1784</v>
      </c>
      <c r="E595" s="2" t="s">
        <v>1781</v>
      </c>
      <c r="F595" s="2">
        <v>250</v>
      </c>
      <c r="G595" s="2" t="s">
        <v>24</v>
      </c>
      <c r="H595" s="13">
        <v>1</v>
      </c>
      <c r="I595" s="14">
        <f t="shared" ca="1" si="1"/>
        <v>0.81146065213822982</v>
      </c>
    </row>
    <row r="596" spans="1:9" ht="14.25" customHeight="1" x14ac:dyDescent="0.3">
      <c r="A596" s="2" t="s">
        <v>1359</v>
      </c>
      <c r="B596" s="2" t="s">
        <v>1770</v>
      </c>
      <c r="C596" s="12">
        <v>44795</v>
      </c>
      <c r="D596" s="2" t="s">
        <v>1785</v>
      </c>
      <c r="E596" s="2" t="s">
        <v>1783</v>
      </c>
      <c r="F596" s="2">
        <v>130</v>
      </c>
      <c r="G596" s="2" t="s">
        <v>25</v>
      </c>
      <c r="H596" s="13">
        <v>3</v>
      </c>
      <c r="I596" s="14">
        <f t="shared" ca="1" si="1"/>
        <v>0.80507609876789621</v>
      </c>
    </row>
    <row r="597" spans="1:9" ht="14.25" customHeight="1" x14ac:dyDescent="0.3">
      <c r="A597" s="2" t="s">
        <v>1361</v>
      </c>
      <c r="B597" s="2" t="s">
        <v>1764</v>
      </c>
      <c r="C597" s="12">
        <v>44791</v>
      </c>
      <c r="D597" s="2" t="s">
        <v>1780</v>
      </c>
      <c r="E597" s="2" t="s">
        <v>1781</v>
      </c>
      <c r="F597" s="2">
        <v>72</v>
      </c>
      <c r="G597" s="2" t="s">
        <v>23</v>
      </c>
      <c r="H597" s="13">
        <v>6</v>
      </c>
      <c r="I597" s="14">
        <f t="shared" ca="1" si="1"/>
        <v>0.42241701206374194</v>
      </c>
    </row>
    <row r="598" spans="1:9" ht="14.25" customHeight="1" x14ac:dyDescent="0.3">
      <c r="A598" s="2" t="s">
        <v>1363</v>
      </c>
      <c r="B598" s="2" t="s">
        <v>1766</v>
      </c>
      <c r="C598" s="12">
        <v>44791</v>
      </c>
      <c r="D598" s="2" t="s">
        <v>1782</v>
      </c>
      <c r="E598" s="2" t="s">
        <v>1783</v>
      </c>
      <c r="F598" s="2">
        <v>65</v>
      </c>
      <c r="G598" s="2" t="s">
        <v>24</v>
      </c>
      <c r="H598" s="13">
        <v>12</v>
      </c>
      <c r="I598" s="14">
        <f t="shared" ca="1" si="1"/>
        <v>0.1837652900883987</v>
      </c>
    </row>
    <row r="599" spans="1:9" ht="14.25" customHeight="1" x14ac:dyDescent="0.3">
      <c r="A599" s="2" t="s">
        <v>1365</v>
      </c>
      <c r="B599" s="2" t="s">
        <v>1768</v>
      </c>
      <c r="C599" s="12">
        <v>44794</v>
      </c>
      <c r="D599" s="2" t="s">
        <v>1784</v>
      </c>
      <c r="E599" s="2" t="s">
        <v>1781</v>
      </c>
      <c r="F599" s="2">
        <v>250</v>
      </c>
      <c r="G599" s="2" t="s">
        <v>25</v>
      </c>
      <c r="H599" s="13">
        <v>3</v>
      </c>
      <c r="I599" s="14">
        <f t="shared" ca="1" si="1"/>
        <v>0.77351285537961023</v>
      </c>
    </row>
    <row r="600" spans="1:9" ht="14.25" customHeight="1" x14ac:dyDescent="0.3">
      <c r="A600" s="2" t="s">
        <v>1367</v>
      </c>
      <c r="B600" s="2" t="s">
        <v>1770</v>
      </c>
      <c r="C600" s="12">
        <v>44756</v>
      </c>
      <c r="D600" s="2" t="s">
        <v>1785</v>
      </c>
      <c r="E600" s="2" t="s">
        <v>1783</v>
      </c>
      <c r="F600" s="2">
        <v>130</v>
      </c>
      <c r="G600" s="2" t="s">
        <v>23</v>
      </c>
      <c r="H600" s="13">
        <v>4</v>
      </c>
      <c r="I600" s="14">
        <f t="shared" ca="1" si="1"/>
        <v>0.81688306985669767</v>
      </c>
    </row>
    <row r="601" spans="1:9" ht="14.25" customHeight="1" x14ac:dyDescent="0.3">
      <c r="A601" s="2" t="s">
        <v>1369</v>
      </c>
      <c r="B601" s="2" t="s">
        <v>1772</v>
      </c>
      <c r="C601" s="12">
        <v>44789</v>
      </c>
      <c r="D601" s="2" t="s">
        <v>1786</v>
      </c>
      <c r="E601" s="2" t="s">
        <v>1781</v>
      </c>
      <c r="F601" s="2">
        <v>60</v>
      </c>
      <c r="G601" s="2" t="s">
        <v>24</v>
      </c>
      <c r="H601" s="13">
        <v>11</v>
      </c>
      <c r="I601" s="14">
        <f t="shared" ca="1" si="1"/>
        <v>0.40133419549450555</v>
      </c>
    </row>
    <row r="602" spans="1:9" ht="14.25" customHeight="1" x14ac:dyDescent="0.3">
      <c r="A602" s="2" t="s">
        <v>1371</v>
      </c>
      <c r="B602" s="2" t="s">
        <v>1764</v>
      </c>
      <c r="C602" s="12">
        <v>44810</v>
      </c>
      <c r="D602" s="2" t="s">
        <v>1780</v>
      </c>
      <c r="E602" s="2" t="s">
        <v>1783</v>
      </c>
      <c r="F602" s="2">
        <v>72</v>
      </c>
      <c r="G602" s="2" t="s">
        <v>25</v>
      </c>
      <c r="H602" s="13">
        <v>3</v>
      </c>
      <c r="I602" s="14">
        <f t="shared" ca="1" si="1"/>
        <v>0.15966377701386469</v>
      </c>
    </row>
    <row r="603" spans="1:9" ht="14.25" customHeight="1" x14ac:dyDescent="0.3">
      <c r="A603" s="2" t="s">
        <v>1373</v>
      </c>
      <c r="B603" s="2" t="s">
        <v>1766</v>
      </c>
      <c r="C603" s="12">
        <v>44798</v>
      </c>
      <c r="D603" s="2" t="s">
        <v>1782</v>
      </c>
      <c r="E603" s="2" t="s">
        <v>1781</v>
      </c>
      <c r="F603" s="2">
        <v>65</v>
      </c>
      <c r="G603" s="2" t="s">
        <v>23</v>
      </c>
      <c r="H603" s="13">
        <v>8</v>
      </c>
      <c r="I603" s="14">
        <f t="shared" ca="1" si="1"/>
        <v>0.22438974175496773</v>
      </c>
    </row>
    <row r="604" spans="1:9" ht="14.25" customHeight="1" x14ac:dyDescent="0.3">
      <c r="A604" s="2" t="s">
        <v>1375</v>
      </c>
      <c r="B604" s="2" t="s">
        <v>1768</v>
      </c>
      <c r="C604" s="12">
        <v>44791</v>
      </c>
      <c r="D604" s="2" t="s">
        <v>1784</v>
      </c>
      <c r="E604" s="2" t="s">
        <v>1783</v>
      </c>
      <c r="F604" s="2">
        <v>250</v>
      </c>
      <c r="G604" s="2" t="s">
        <v>24</v>
      </c>
      <c r="H604" s="13">
        <v>3</v>
      </c>
      <c r="I604" s="14">
        <f t="shared" ca="1" si="1"/>
        <v>0.24996135993326374</v>
      </c>
    </row>
    <row r="605" spans="1:9" ht="14.25" customHeight="1" x14ac:dyDescent="0.3">
      <c r="A605" s="2" t="s">
        <v>1377</v>
      </c>
      <c r="B605" s="2" t="s">
        <v>1770</v>
      </c>
      <c r="C605" s="12">
        <v>44796</v>
      </c>
      <c r="D605" s="2" t="s">
        <v>1785</v>
      </c>
      <c r="E605" s="2" t="s">
        <v>1781</v>
      </c>
      <c r="F605" s="2">
        <v>130</v>
      </c>
      <c r="G605" s="2" t="s">
        <v>25</v>
      </c>
      <c r="H605" s="13">
        <v>2</v>
      </c>
      <c r="I605" s="14">
        <f t="shared" ca="1" si="1"/>
        <v>4.3772900032375217E-2</v>
      </c>
    </row>
    <row r="606" spans="1:9" ht="14.25" customHeight="1" x14ac:dyDescent="0.3">
      <c r="A606" s="2" t="s">
        <v>1379</v>
      </c>
      <c r="B606" s="2" t="s">
        <v>1764</v>
      </c>
      <c r="C606" s="12">
        <v>44810</v>
      </c>
      <c r="D606" s="2" t="s">
        <v>1780</v>
      </c>
      <c r="E606" s="2" t="s">
        <v>1783</v>
      </c>
      <c r="F606" s="2">
        <v>72</v>
      </c>
      <c r="G606" s="2" t="s">
        <v>23</v>
      </c>
      <c r="H606" s="13">
        <v>12</v>
      </c>
      <c r="I606" s="14">
        <f t="shared" ca="1" si="1"/>
        <v>0.96134226001869227</v>
      </c>
    </row>
    <row r="607" spans="1:9" ht="14.25" customHeight="1" x14ac:dyDescent="0.3">
      <c r="A607" s="2" t="s">
        <v>1381</v>
      </c>
      <c r="B607" s="2" t="s">
        <v>1766</v>
      </c>
      <c r="C607" s="12">
        <v>44791</v>
      </c>
      <c r="D607" s="2" t="s">
        <v>1782</v>
      </c>
      <c r="E607" s="2" t="s">
        <v>1781</v>
      </c>
      <c r="F607" s="2">
        <v>65</v>
      </c>
      <c r="G607" s="2" t="s">
        <v>24</v>
      </c>
      <c r="H607" s="13">
        <v>13</v>
      </c>
      <c r="I607" s="14">
        <f t="shared" ca="1" si="1"/>
        <v>0.86883858100303402</v>
      </c>
    </row>
    <row r="608" spans="1:9" ht="14.25" customHeight="1" x14ac:dyDescent="0.3">
      <c r="A608" s="2" t="s">
        <v>1383</v>
      </c>
      <c r="B608" s="2" t="s">
        <v>1768</v>
      </c>
      <c r="C608" s="12">
        <v>44797</v>
      </c>
      <c r="D608" s="2" t="s">
        <v>1784</v>
      </c>
      <c r="E608" s="2" t="s">
        <v>1783</v>
      </c>
      <c r="F608" s="2">
        <v>250</v>
      </c>
      <c r="G608" s="2" t="s">
        <v>25</v>
      </c>
      <c r="H608" s="13">
        <v>2</v>
      </c>
      <c r="I608" s="14">
        <f t="shared" ca="1" si="1"/>
        <v>0.81604914870940193</v>
      </c>
    </row>
    <row r="609" spans="1:9" ht="14.25" customHeight="1" x14ac:dyDescent="0.3">
      <c r="A609" s="2" t="s">
        <v>1385</v>
      </c>
      <c r="B609" s="2" t="s">
        <v>1770</v>
      </c>
      <c r="C609" s="12">
        <v>44777</v>
      </c>
      <c r="D609" s="2" t="s">
        <v>1785</v>
      </c>
      <c r="E609" s="2" t="s">
        <v>1781</v>
      </c>
      <c r="F609" s="2">
        <v>130</v>
      </c>
      <c r="G609" s="2" t="s">
        <v>23</v>
      </c>
      <c r="H609" s="13">
        <v>4</v>
      </c>
      <c r="I609" s="14">
        <f t="shared" ca="1" si="1"/>
        <v>0.45859801514008025</v>
      </c>
    </row>
    <row r="610" spans="1:9" ht="14.25" customHeight="1" x14ac:dyDescent="0.3">
      <c r="A610" s="2" t="s">
        <v>1387</v>
      </c>
      <c r="B610" s="2" t="s">
        <v>1772</v>
      </c>
      <c r="C610" s="12">
        <v>44802</v>
      </c>
      <c r="D610" s="2" t="s">
        <v>1786</v>
      </c>
      <c r="E610" s="2" t="s">
        <v>1781</v>
      </c>
      <c r="F610" s="2">
        <v>60</v>
      </c>
      <c r="G610" s="2" t="s">
        <v>24</v>
      </c>
      <c r="H610" s="13">
        <v>4</v>
      </c>
      <c r="I610" s="14">
        <f t="shared" ca="1" si="1"/>
        <v>0.60251074219879475</v>
      </c>
    </row>
    <row r="611" spans="1:9" ht="14.25" customHeight="1" x14ac:dyDescent="0.3">
      <c r="A611" s="2" t="s">
        <v>1389</v>
      </c>
      <c r="B611" s="2" t="s">
        <v>1773</v>
      </c>
      <c r="C611" s="12">
        <v>44758</v>
      </c>
      <c r="D611" s="2" t="s">
        <v>1787</v>
      </c>
      <c r="E611" s="2" t="s">
        <v>1783</v>
      </c>
      <c r="F611" s="2">
        <v>95</v>
      </c>
      <c r="G611" s="2" t="s">
        <v>25</v>
      </c>
      <c r="H611" s="13">
        <v>8</v>
      </c>
      <c r="I611" s="14">
        <f t="shared" ca="1" si="1"/>
        <v>0.6060854197381651</v>
      </c>
    </row>
    <row r="612" spans="1:9" ht="14.25" customHeight="1" x14ac:dyDescent="0.3">
      <c r="A612" s="2" t="s">
        <v>1391</v>
      </c>
      <c r="B612" s="2" t="s">
        <v>1764</v>
      </c>
      <c r="C612" s="12">
        <v>44768</v>
      </c>
      <c r="D612" s="2" t="s">
        <v>1780</v>
      </c>
      <c r="E612" s="2" t="s">
        <v>1783</v>
      </c>
      <c r="F612" s="2">
        <v>72</v>
      </c>
      <c r="G612" s="2" t="s">
        <v>23</v>
      </c>
      <c r="H612" s="13">
        <v>10</v>
      </c>
      <c r="I612" s="14">
        <f t="shared" ca="1" si="1"/>
        <v>0.17096941424826773</v>
      </c>
    </row>
    <row r="613" spans="1:9" ht="14.25" customHeight="1" x14ac:dyDescent="0.3">
      <c r="A613" s="2" t="s">
        <v>1393</v>
      </c>
      <c r="B613" s="2" t="s">
        <v>1766</v>
      </c>
      <c r="C613" s="12">
        <v>44756</v>
      </c>
      <c r="D613" s="2" t="s">
        <v>1782</v>
      </c>
      <c r="E613" s="2" t="s">
        <v>1783</v>
      </c>
      <c r="F613" s="2">
        <v>65</v>
      </c>
      <c r="G613" s="2" t="s">
        <v>24</v>
      </c>
      <c r="H613" s="13">
        <v>7</v>
      </c>
      <c r="I613" s="14">
        <f t="shared" ca="1" si="1"/>
        <v>0.2132867469829155</v>
      </c>
    </row>
    <row r="614" spans="1:9" ht="14.25" customHeight="1" x14ac:dyDescent="0.3">
      <c r="A614" s="2" t="s">
        <v>1395</v>
      </c>
      <c r="B614" s="2" t="s">
        <v>1768</v>
      </c>
      <c r="C614" s="12">
        <v>44809</v>
      </c>
      <c r="D614" s="2" t="s">
        <v>1784</v>
      </c>
      <c r="E614" s="2" t="s">
        <v>1781</v>
      </c>
      <c r="F614" s="2">
        <v>250</v>
      </c>
      <c r="G614" s="2" t="s">
        <v>25</v>
      </c>
      <c r="H614" s="13">
        <v>3</v>
      </c>
      <c r="I614" s="14">
        <f t="shared" ca="1" si="1"/>
        <v>0.22523941276275883</v>
      </c>
    </row>
    <row r="615" spans="1:9" ht="14.25" customHeight="1" x14ac:dyDescent="0.3">
      <c r="A615" s="2" t="s">
        <v>1397</v>
      </c>
      <c r="B615" s="2" t="s">
        <v>1770</v>
      </c>
      <c r="C615" s="12">
        <v>44801</v>
      </c>
      <c r="D615" s="2" t="s">
        <v>1785</v>
      </c>
      <c r="E615" s="2" t="s">
        <v>1781</v>
      </c>
      <c r="F615" s="2">
        <v>130</v>
      </c>
      <c r="G615" s="2" t="s">
        <v>23</v>
      </c>
      <c r="H615" s="13">
        <v>6</v>
      </c>
      <c r="I615" s="14">
        <f t="shared" ca="1" si="1"/>
        <v>0.56973413919212357</v>
      </c>
    </row>
    <row r="616" spans="1:9" ht="14.25" customHeight="1" x14ac:dyDescent="0.3">
      <c r="A616" s="2" t="s">
        <v>1399</v>
      </c>
      <c r="B616" s="2" t="s">
        <v>1764</v>
      </c>
      <c r="C616" s="12">
        <v>44794</v>
      </c>
      <c r="D616" s="2" t="s">
        <v>1780</v>
      </c>
      <c r="E616" s="2" t="s">
        <v>1781</v>
      </c>
      <c r="F616" s="2">
        <v>72</v>
      </c>
      <c r="G616" s="2" t="s">
        <v>24</v>
      </c>
      <c r="H616" s="13">
        <v>7</v>
      </c>
      <c r="I616" s="14">
        <f t="shared" ca="1" si="1"/>
        <v>0.88015540647153323</v>
      </c>
    </row>
    <row r="617" spans="1:9" ht="14.25" customHeight="1" x14ac:dyDescent="0.3">
      <c r="A617" s="2" t="s">
        <v>1401</v>
      </c>
      <c r="B617" s="2" t="s">
        <v>1766</v>
      </c>
      <c r="C617" s="12">
        <v>44792</v>
      </c>
      <c r="D617" s="2" t="s">
        <v>1782</v>
      </c>
      <c r="E617" s="2" t="s">
        <v>1781</v>
      </c>
      <c r="F617" s="2">
        <v>65</v>
      </c>
      <c r="G617" s="2" t="s">
        <v>25</v>
      </c>
      <c r="H617" s="13">
        <v>3</v>
      </c>
      <c r="I617" s="14">
        <f t="shared" ca="1" si="1"/>
        <v>0.22853021691033326</v>
      </c>
    </row>
    <row r="618" spans="1:9" ht="14.25" customHeight="1" x14ac:dyDescent="0.3">
      <c r="A618" s="2" t="s">
        <v>1403</v>
      </c>
      <c r="B618" s="2" t="s">
        <v>1768</v>
      </c>
      <c r="C618" s="12">
        <v>44770</v>
      </c>
      <c r="D618" s="2" t="s">
        <v>1784</v>
      </c>
      <c r="E618" s="2" t="s">
        <v>1781</v>
      </c>
      <c r="F618" s="2">
        <v>250</v>
      </c>
      <c r="G618" s="2" t="s">
        <v>23</v>
      </c>
      <c r="H618" s="13">
        <v>1</v>
      </c>
      <c r="I618" s="14">
        <f t="shared" ca="1" si="1"/>
        <v>0.69838116407456763</v>
      </c>
    </row>
    <row r="619" spans="1:9" ht="14.25" customHeight="1" x14ac:dyDescent="0.3">
      <c r="A619" s="2" t="s">
        <v>1405</v>
      </c>
      <c r="B619" s="2" t="s">
        <v>1770</v>
      </c>
      <c r="C619" s="12">
        <v>44761</v>
      </c>
      <c r="D619" s="2" t="s">
        <v>1785</v>
      </c>
      <c r="E619" s="2" t="s">
        <v>1781</v>
      </c>
      <c r="F619" s="2">
        <v>130</v>
      </c>
      <c r="G619" s="2" t="s">
        <v>24</v>
      </c>
      <c r="H619" s="13">
        <v>5</v>
      </c>
      <c r="I619" s="14">
        <f t="shared" ca="1" si="1"/>
        <v>0.42324053002895212</v>
      </c>
    </row>
    <row r="620" spans="1:9" ht="14.25" customHeight="1" x14ac:dyDescent="0.3">
      <c r="A620" s="2" t="s">
        <v>1407</v>
      </c>
      <c r="B620" s="2" t="s">
        <v>1772</v>
      </c>
      <c r="C620" s="12">
        <v>44773</v>
      </c>
      <c r="D620" s="2" t="s">
        <v>1786</v>
      </c>
      <c r="E620" s="2" t="s">
        <v>1781</v>
      </c>
      <c r="F620" s="2">
        <v>60</v>
      </c>
      <c r="G620" s="2" t="s">
        <v>25</v>
      </c>
      <c r="H620" s="13">
        <v>7</v>
      </c>
      <c r="I620" s="14">
        <f t="shared" ca="1" si="1"/>
        <v>0.12919444815047121</v>
      </c>
    </row>
    <row r="621" spans="1:9" ht="14.25" customHeight="1" x14ac:dyDescent="0.3">
      <c r="A621" s="2" t="s">
        <v>1409</v>
      </c>
      <c r="B621" s="2" t="s">
        <v>1764</v>
      </c>
      <c r="C621" s="12">
        <v>44766</v>
      </c>
      <c r="D621" s="2" t="s">
        <v>1780</v>
      </c>
      <c r="E621" s="2" t="s">
        <v>1781</v>
      </c>
      <c r="F621" s="2">
        <v>72</v>
      </c>
      <c r="G621" s="2" t="s">
        <v>23</v>
      </c>
      <c r="H621" s="13">
        <v>7</v>
      </c>
      <c r="I621" s="14">
        <f t="shared" ca="1" si="1"/>
        <v>0.69828582803058858</v>
      </c>
    </row>
    <row r="622" spans="1:9" ht="14.25" customHeight="1" x14ac:dyDescent="0.3">
      <c r="A622" s="2" t="s">
        <v>1411</v>
      </c>
      <c r="B622" s="2" t="s">
        <v>1766</v>
      </c>
      <c r="C622" s="12">
        <v>44793</v>
      </c>
      <c r="D622" s="2" t="s">
        <v>1782</v>
      </c>
      <c r="E622" s="2" t="s">
        <v>1781</v>
      </c>
      <c r="F622" s="2">
        <v>65</v>
      </c>
      <c r="G622" s="2" t="s">
        <v>24</v>
      </c>
      <c r="H622" s="13">
        <v>11</v>
      </c>
      <c r="I622" s="14">
        <f t="shared" ca="1" si="1"/>
        <v>0.230036354862307</v>
      </c>
    </row>
    <row r="623" spans="1:9" ht="14.25" customHeight="1" x14ac:dyDescent="0.3">
      <c r="A623" s="2" t="s">
        <v>1413</v>
      </c>
      <c r="B623" s="2" t="s">
        <v>1768</v>
      </c>
      <c r="C623" s="12">
        <v>44769</v>
      </c>
      <c r="D623" s="2" t="s">
        <v>1784</v>
      </c>
      <c r="E623" s="2" t="s">
        <v>1783</v>
      </c>
      <c r="F623" s="2">
        <v>250</v>
      </c>
      <c r="G623" s="2" t="s">
        <v>25</v>
      </c>
      <c r="H623" s="13">
        <v>1</v>
      </c>
      <c r="I623" s="14">
        <f t="shared" ca="1" si="1"/>
        <v>0.67891661167112682</v>
      </c>
    </row>
    <row r="624" spans="1:9" ht="14.25" customHeight="1" x14ac:dyDescent="0.3">
      <c r="A624" s="2" t="s">
        <v>1415</v>
      </c>
      <c r="B624" s="2" t="s">
        <v>1770</v>
      </c>
      <c r="C624" s="12">
        <v>44758</v>
      </c>
      <c r="D624" s="2" t="s">
        <v>1785</v>
      </c>
      <c r="E624" s="2" t="s">
        <v>1781</v>
      </c>
      <c r="F624" s="2">
        <v>130</v>
      </c>
      <c r="G624" s="2" t="s">
        <v>23</v>
      </c>
      <c r="H624" s="13">
        <v>5</v>
      </c>
      <c r="I624" s="14">
        <f t="shared" ca="1" si="1"/>
        <v>0.33726920345070177</v>
      </c>
    </row>
    <row r="625" spans="1:9" ht="14.25" customHeight="1" x14ac:dyDescent="0.3">
      <c r="A625" s="2" t="s">
        <v>1417</v>
      </c>
      <c r="B625" s="2" t="s">
        <v>1764</v>
      </c>
      <c r="C625" s="12">
        <v>44803</v>
      </c>
      <c r="D625" s="2" t="s">
        <v>1780</v>
      </c>
      <c r="E625" s="2" t="s">
        <v>1781</v>
      </c>
      <c r="F625" s="2">
        <v>72</v>
      </c>
      <c r="G625" s="2" t="s">
        <v>24</v>
      </c>
      <c r="H625" s="13">
        <v>11</v>
      </c>
      <c r="I625" s="14">
        <f t="shared" ca="1" si="1"/>
        <v>0.48545497615823441</v>
      </c>
    </row>
    <row r="626" spans="1:9" ht="14.25" customHeight="1" x14ac:dyDescent="0.3">
      <c r="A626" s="2" t="s">
        <v>1419</v>
      </c>
      <c r="B626" s="2" t="s">
        <v>1766</v>
      </c>
      <c r="C626" s="12">
        <v>44808</v>
      </c>
      <c r="D626" s="2" t="s">
        <v>1782</v>
      </c>
      <c r="E626" s="2" t="s">
        <v>1781</v>
      </c>
      <c r="F626" s="2">
        <v>65</v>
      </c>
      <c r="G626" s="2" t="s">
        <v>25</v>
      </c>
      <c r="H626" s="13">
        <v>7</v>
      </c>
      <c r="I626" s="14">
        <f t="shared" ca="1" si="1"/>
        <v>0.69620234731087316</v>
      </c>
    </row>
    <row r="627" spans="1:9" ht="14.25" customHeight="1" x14ac:dyDescent="0.3">
      <c r="A627" s="2" t="s">
        <v>1421</v>
      </c>
      <c r="B627" s="2" t="s">
        <v>1768</v>
      </c>
      <c r="C627" s="12">
        <v>44784</v>
      </c>
      <c r="D627" s="2" t="s">
        <v>1784</v>
      </c>
      <c r="E627" s="2" t="s">
        <v>1781</v>
      </c>
      <c r="F627" s="2">
        <v>250</v>
      </c>
      <c r="G627" s="2" t="s">
        <v>23</v>
      </c>
      <c r="H627" s="13">
        <v>2</v>
      </c>
      <c r="I627" s="14">
        <f t="shared" ca="1" si="1"/>
        <v>0.35867878360203154</v>
      </c>
    </row>
    <row r="628" spans="1:9" ht="14.25" customHeight="1" x14ac:dyDescent="0.3">
      <c r="A628" s="2" t="s">
        <v>1423</v>
      </c>
      <c r="B628" s="2" t="s">
        <v>1770</v>
      </c>
      <c r="C628" s="12">
        <v>44764</v>
      </c>
      <c r="D628" s="2" t="s">
        <v>1785</v>
      </c>
      <c r="E628" s="2" t="s">
        <v>1781</v>
      </c>
      <c r="F628" s="2">
        <v>130</v>
      </c>
      <c r="G628" s="2" t="s">
        <v>24</v>
      </c>
      <c r="H628" s="13">
        <v>3</v>
      </c>
      <c r="I628" s="14">
        <f t="shared" ca="1" si="1"/>
        <v>0.30900514093737919</v>
      </c>
    </row>
    <row r="629" spans="1:9" ht="14.25" customHeight="1" x14ac:dyDescent="0.3">
      <c r="A629" s="2" t="s">
        <v>1425</v>
      </c>
      <c r="B629" s="2" t="s">
        <v>1772</v>
      </c>
      <c r="C629" s="12">
        <v>44795</v>
      </c>
      <c r="D629" s="2" t="s">
        <v>1786</v>
      </c>
      <c r="E629" s="2" t="s">
        <v>1783</v>
      </c>
      <c r="F629" s="2">
        <v>60</v>
      </c>
      <c r="G629" s="2" t="s">
        <v>25</v>
      </c>
      <c r="H629" s="13">
        <v>4</v>
      </c>
      <c r="I629" s="14">
        <f t="shared" ref="I629:I692" ca="1" si="2">RAND()</f>
        <v>8.3747141957752458E-2</v>
      </c>
    </row>
    <row r="630" spans="1:9" ht="14.25" customHeight="1" x14ac:dyDescent="0.3">
      <c r="A630" s="2" t="s">
        <v>1427</v>
      </c>
      <c r="B630" s="2" t="s">
        <v>1773</v>
      </c>
      <c r="C630" s="12">
        <v>44799</v>
      </c>
      <c r="D630" s="2" t="s">
        <v>1787</v>
      </c>
      <c r="E630" s="2" t="s">
        <v>1781</v>
      </c>
      <c r="F630" s="2">
        <v>95</v>
      </c>
      <c r="G630" s="2" t="s">
        <v>23</v>
      </c>
      <c r="H630" s="13">
        <v>4</v>
      </c>
      <c r="I630" s="14">
        <f t="shared" ca="1" si="2"/>
        <v>0.58389789657982294</v>
      </c>
    </row>
    <row r="631" spans="1:9" ht="14.25" customHeight="1" x14ac:dyDescent="0.3">
      <c r="A631" s="2" t="s">
        <v>1429</v>
      </c>
      <c r="B631" s="2" t="s">
        <v>1764</v>
      </c>
      <c r="C631" s="12">
        <v>44800</v>
      </c>
      <c r="D631" s="2" t="s">
        <v>1780</v>
      </c>
      <c r="E631" s="2" t="s">
        <v>1781</v>
      </c>
      <c r="F631" s="2">
        <v>72</v>
      </c>
      <c r="G631" s="2" t="s">
        <v>24</v>
      </c>
      <c r="H631" s="13">
        <v>8</v>
      </c>
      <c r="I631" s="14">
        <f t="shared" ca="1" si="2"/>
        <v>0.91039091272101724</v>
      </c>
    </row>
    <row r="632" spans="1:9" ht="14.25" customHeight="1" x14ac:dyDescent="0.3">
      <c r="A632" s="2" t="s">
        <v>1431</v>
      </c>
      <c r="B632" s="2" t="s">
        <v>1766</v>
      </c>
      <c r="C632" s="12">
        <v>44771</v>
      </c>
      <c r="D632" s="2" t="s">
        <v>1782</v>
      </c>
      <c r="E632" s="2" t="s">
        <v>1781</v>
      </c>
      <c r="F632" s="2">
        <v>65</v>
      </c>
      <c r="G632" s="2" t="s">
        <v>25</v>
      </c>
      <c r="H632" s="13">
        <v>12</v>
      </c>
      <c r="I632" s="14">
        <f t="shared" ca="1" si="2"/>
        <v>0.17579149213355361</v>
      </c>
    </row>
    <row r="633" spans="1:9" ht="14.25" customHeight="1" x14ac:dyDescent="0.3">
      <c r="A633" s="2" t="s">
        <v>1433</v>
      </c>
      <c r="B633" s="2" t="s">
        <v>1768</v>
      </c>
      <c r="C633" s="12">
        <v>44760</v>
      </c>
      <c r="D633" s="2" t="s">
        <v>1784</v>
      </c>
      <c r="E633" s="2" t="s">
        <v>1783</v>
      </c>
      <c r="F633" s="2">
        <v>250</v>
      </c>
      <c r="G633" s="2" t="s">
        <v>23</v>
      </c>
      <c r="H633" s="13">
        <v>3</v>
      </c>
      <c r="I633" s="14">
        <f t="shared" ca="1" si="2"/>
        <v>0.26704297738425198</v>
      </c>
    </row>
    <row r="634" spans="1:9" ht="14.25" customHeight="1" x14ac:dyDescent="0.3">
      <c r="A634" s="2" t="s">
        <v>1435</v>
      </c>
      <c r="B634" s="2" t="s">
        <v>1770</v>
      </c>
      <c r="C634" s="12">
        <v>44778</v>
      </c>
      <c r="D634" s="2" t="s">
        <v>1785</v>
      </c>
      <c r="E634" s="2" t="s">
        <v>1783</v>
      </c>
      <c r="F634" s="2">
        <v>130</v>
      </c>
      <c r="G634" s="2" t="s">
        <v>24</v>
      </c>
      <c r="H634" s="13">
        <v>2</v>
      </c>
      <c r="I634" s="14">
        <f t="shared" ca="1" si="2"/>
        <v>0.42357015104053974</v>
      </c>
    </row>
    <row r="635" spans="1:9" ht="14.25" customHeight="1" x14ac:dyDescent="0.3">
      <c r="A635" s="2" t="s">
        <v>1437</v>
      </c>
      <c r="B635" s="2" t="s">
        <v>1764</v>
      </c>
      <c r="C635" s="12">
        <v>44755</v>
      </c>
      <c r="D635" s="2" t="s">
        <v>1780</v>
      </c>
      <c r="E635" s="2" t="s">
        <v>1783</v>
      </c>
      <c r="F635" s="2">
        <v>72</v>
      </c>
      <c r="G635" s="2" t="s">
        <v>25</v>
      </c>
      <c r="H635" s="13">
        <v>10</v>
      </c>
      <c r="I635" s="14">
        <f t="shared" ca="1" si="2"/>
        <v>0.74348374699097886</v>
      </c>
    </row>
    <row r="636" spans="1:9" ht="14.25" customHeight="1" x14ac:dyDescent="0.3">
      <c r="A636" s="2" t="s">
        <v>1439</v>
      </c>
      <c r="B636" s="2" t="s">
        <v>1766</v>
      </c>
      <c r="C636" s="12">
        <v>44770</v>
      </c>
      <c r="D636" s="2" t="s">
        <v>1782</v>
      </c>
      <c r="E636" s="2" t="s">
        <v>1783</v>
      </c>
      <c r="F636" s="2">
        <v>65</v>
      </c>
      <c r="G636" s="2" t="s">
        <v>23</v>
      </c>
      <c r="H636" s="13">
        <v>9</v>
      </c>
      <c r="I636" s="14">
        <f t="shared" ca="1" si="2"/>
        <v>0.25474560505485699</v>
      </c>
    </row>
    <row r="637" spans="1:9" ht="14.25" customHeight="1" x14ac:dyDescent="0.3">
      <c r="A637" s="2" t="s">
        <v>1441</v>
      </c>
      <c r="B637" s="2" t="s">
        <v>1768</v>
      </c>
      <c r="C637" s="12">
        <v>44772</v>
      </c>
      <c r="D637" s="2" t="s">
        <v>1784</v>
      </c>
      <c r="E637" s="2" t="s">
        <v>1783</v>
      </c>
      <c r="F637" s="2">
        <v>250</v>
      </c>
      <c r="G637" s="2" t="s">
        <v>24</v>
      </c>
      <c r="H637" s="13">
        <v>2</v>
      </c>
      <c r="I637" s="14">
        <f t="shared" ca="1" si="2"/>
        <v>0.23348557756744903</v>
      </c>
    </row>
    <row r="638" spans="1:9" ht="14.25" customHeight="1" x14ac:dyDescent="0.3">
      <c r="A638" s="2" t="s">
        <v>1443</v>
      </c>
      <c r="B638" s="2" t="s">
        <v>1770</v>
      </c>
      <c r="C638" s="12">
        <v>44799</v>
      </c>
      <c r="D638" s="2" t="s">
        <v>1785</v>
      </c>
      <c r="E638" s="2" t="s">
        <v>1783</v>
      </c>
      <c r="F638" s="2">
        <v>130</v>
      </c>
      <c r="G638" s="2" t="s">
        <v>25</v>
      </c>
      <c r="H638" s="13">
        <v>3</v>
      </c>
      <c r="I638" s="14">
        <f t="shared" ca="1" si="2"/>
        <v>0.29297794804850774</v>
      </c>
    </row>
    <row r="639" spans="1:9" ht="14.25" customHeight="1" x14ac:dyDescent="0.3">
      <c r="A639" s="2" t="s">
        <v>1445</v>
      </c>
      <c r="B639" s="2" t="s">
        <v>1764</v>
      </c>
      <c r="C639" s="12">
        <v>44782</v>
      </c>
      <c r="D639" s="2" t="s">
        <v>1780</v>
      </c>
      <c r="E639" s="2" t="s">
        <v>1781</v>
      </c>
      <c r="F639" s="2">
        <v>72</v>
      </c>
      <c r="G639" s="2" t="s">
        <v>25</v>
      </c>
      <c r="H639" s="13">
        <v>9</v>
      </c>
      <c r="I639" s="14">
        <f t="shared" ca="1" si="2"/>
        <v>0.57646647737328893</v>
      </c>
    </row>
    <row r="640" spans="1:9" ht="14.25" customHeight="1" x14ac:dyDescent="0.3">
      <c r="A640" s="2" t="s">
        <v>1447</v>
      </c>
      <c r="B640" s="2" t="s">
        <v>1766</v>
      </c>
      <c r="C640" s="12">
        <v>44761</v>
      </c>
      <c r="D640" s="2" t="s">
        <v>1782</v>
      </c>
      <c r="E640" s="2" t="s">
        <v>1783</v>
      </c>
      <c r="F640" s="2">
        <v>65</v>
      </c>
      <c r="G640" s="2" t="s">
        <v>23</v>
      </c>
      <c r="H640" s="13">
        <v>6</v>
      </c>
      <c r="I640" s="14">
        <f t="shared" ca="1" si="2"/>
        <v>0.77488231463800417</v>
      </c>
    </row>
    <row r="641" spans="1:9" ht="14.25" customHeight="1" x14ac:dyDescent="0.3">
      <c r="A641" s="2" t="s">
        <v>1449</v>
      </c>
      <c r="B641" s="2" t="s">
        <v>1768</v>
      </c>
      <c r="C641" s="12">
        <v>44794</v>
      </c>
      <c r="D641" s="2" t="s">
        <v>1784</v>
      </c>
      <c r="E641" s="2" t="s">
        <v>1781</v>
      </c>
      <c r="F641" s="2">
        <v>250</v>
      </c>
      <c r="G641" s="2" t="s">
        <v>24</v>
      </c>
      <c r="H641" s="13">
        <v>3</v>
      </c>
      <c r="I641" s="14">
        <f t="shared" ca="1" si="2"/>
        <v>0.86335003903014129</v>
      </c>
    </row>
    <row r="642" spans="1:9" ht="14.25" customHeight="1" x14ac:dyDescent="0.3">
      <c r="A642" s="2" t="s">
        <v>1451</v>
      </c>
      <c r="B642" s="2" t="s">
        <v>1770</v>
      </c>
      <c r="C642" s="12">
        <v>44762</v>
      </c>
      <c r="D642" s="2" t="s">
        <v>1785</v>
      </c>
      <c r="E642" s="2" t="s">
        <v>1783</v>
      </c>
      <c r="F642" s="2">
        <v>130</v>
      </c>
      <c r="G642" s="2" t="s">
        <v>25</v>
      </c>
      <c r="H642" s="13">
        <v>3</v>
      </c>
      <c r="I642" s="14">
        <f t="shared" ca="1" si="2"/>
        <v>0.71670436688199213</v>
      </c>
    </row>
    <row r="643" spans="1:9" ht="14.25" customHeight="1" x14ac:dyDescent="0.3">
      <c r="A643" s="2" t="s">
        <v>1453</v>
      </c>
      <c r="B643" s="2" t="s">
        <v>1764</v>
      </c>
      <c r="C643" s="12">
        <v>44769</v>
      </c>
      <c r="D643" s="2" t="s">
        <v>1780</v>
      </c>
      <c r="E643" s="2" t="s">
        <v>1781</v>
      </c>
      <c r="F643" s="2">
        <v>72</v>
      </c>
      <c r="G643" s="2" t="s">
        <v>23</v>
      </c>
      <c r="H643" s="13">
        <v>11</v>
      </c>
      <c r="I643" s="14">
        <f t="shared" ca="1" si="2"/>
        <v>0.82100676299833697</v>
      </c>
    </row>
    <row r="644" spans="1:9" ht="14.25" customHeight="1" x14ac:dyDescent="0.3">
      <c r="A644" s="2" t="s">
        <v>1455</v>
      </c>
      <c r="B644" s="2" t="s">
        <v>1766</v>
      </c>
      <c r="C644" s="12">
        <v>44770</v>
      </c>
      <c r="D644" s="2" t="s">
        <v>1782</v>
      </c>
      <c r="E644" s="2" t="s">
        <v>1783</v>
      </c>
      <c r="F644" s="2">
        <v>65</v>
      </c>
      <c r="G644" s="2" t="s">
        <v>24</v>
      </c>
      <c r="H644" s="13">
        <v>13</v>
      </c>
      <c r="I644" s="14">
        <f t="shared" ca="1" si="2"/>
        <v>0.7320641731295715</v>
      </c>
    </row>
    <row r="645" spans="1:9" ht="14.25" customHeight="1" x14ac:dyDescent="0.3">
      <c r="A645" s="2" t="s">
        <v>1457</v>
      </c>
      <c r="B645" s="2" t="s">
        <v>1768</v>
      </c>
      <c r="C645" s="12">
        <v>44797</v>
      </c>
      <c r="D645" s="2" t="s">
        <v>1784</v>
      </c>
      <c r="E645" s="2" t="s">
        <v>1781</v>
      </c>
      <c r="F645" s="2">
        <v>250</v>
      </c>
      <c r="G645" s="2" t="s">
        <v>25</v>
      </c>
      <c r="H645" s="13">
        <v>3</v>
      </c>
      <c r="I645" s="14">
        <f t="shared" ca="1" si="2"/>
        <v>4.3077539332301518E-2</v>
      </c>
    </row>
    <row r="646" spans="1:9" ht="14.25" customHeight="1" x14ac:dyDescent="0.3">
      <c r="A646" s="2" t="s">
        <v>1459</v>
      </c>
      <c r="B646" s="2" t="s">
        <v>1770</v>
      </c>
      <c r="C646" s="12">
        <v>44783</v>
      </c>
      <c r="D646" s="2" t="s">
        <v>1785</v>
      </c>
      <c r="E646" s="2" t="s">
        <v>1783</v>
      </c>
      <c r="F646" s="2">
        <v>130</v>
      </c>
      <c r="G646" s="2" t="s">
        <v>23</v>
      </c>
      <c r="H646" s="13">
        <v>3</v>
      </c>
      <c r="I646" s="14">
        <f t="shared" ca="1" si="2"/>
        <v>0.98079134010109903</v>
      </c>
    </row>
    <row r="647" spans="1:9" ht="14.25" customHeight="1" x14ac:dyDescent="0.3">
      <c r="A647" s="2" t="s">
        <v>1461</v>
      </c>
      <c r="B647" s="2" t="s">
        <v>1772</v>
      </c>
      <c r="C647" s="12">
        <v>44801</v>
      </c>
      <c r="D647" s="2" t="s">
        <v>1786</v>
      </c>
      <c r="E647" s="2" t="s">
        <v>1781</v>
      </c>
      <c r="F647" s="2">
        <v>60</v>
      </c>
      <c r="G647" s="2" t="s">
        <v>24</v>
      </c>
      <c r="H647" s="13">
        <v>6</v>
      </c>
      <c r="I647" s="14">
        <f t="shared" ca="1" si="2"/>
        <v>0.79098440282902049</v>
      </c>
    </row>
    <row r="648" spans="1:9" ht="14.25" customHeight="1" x14ac:dyDescent="0.3">
      <c r="A648" s="2" t="s">
        <v>1463</v>
      </c>
      <c r="B648" s="2" t="s">
        <v>1764</v>
      </c>
      <c r="C648" s="12">
        <v>44808</v>
      </c>
      <c r="D648" s="2" t="s">
        <v>1780</v>
      </c>
      <c r="E648" s="2" t="s">
        <v>1783</v>
      </c>
      <c r="F648" s="2">
        <v>72</v>
      </c>
      <c r="G648" s="2" t="s">
        <v>25</v>
      </c>
      <c r="H648" s="13">
        <v>6</v>
      </c>
      <c r="I648" s="14">
        <f t="shared" ca="1" si="2"/>
        <v>0.45032628176723077</v>
      </c>
    </row>
    <row r="649" spans="1:9" ht="14.25" customHeight="1" x14ac:dyDescent="0.3">
      <c r="A649" s="2" t="s">
        <v>1465</v>
      </c>
      <c r="B649" s="2" t="s">
        <v>1766</v>
      </c>
      <c r="C649" s="12">
        <v>44808</v>
      </c>
      <c r="D649" s="2" t="s">
        <v>1782</v>
      </c>
      <c r="E649" s="2" t="s">
        <v>1781</v>
      </c>
      <c r="F649" s="2">
        <v>65</v>
      </c>
      <c r="G649" s="2" t="s">
        <v>23</v>
      </c>
      <c r="H649" s="13">
        <v>5</v>
      </c>
      <c r="I649" s="14">
        <f t="shared" ca="1" si="2"/>
        <v>3.1772906981801241E-2</v>
      </c>
    </row>
    <row r="650" spans="1:9" ht="14.25" customHeight="1" x14ac:dyDescent="0.3">
      <c r="A650" s="2" t="s">
        <v>1467</v>
      </c>
      <c r="B650" s="2" t="s">
        <v>1768</v>
      </c>
      <c r="C650" s="12">
        <v>44781</v>
      </c>
      <c r="D650" s="2" t="s">
        <v>1784</v>
      </c>
      <c r="E650" s="2" t="s">
        <v>1783</v>
      </c>
      <c r="F650" s="2">
        <v>250</v>
      </c>
      <c r="G650" s="2" t="s">
        <v>24</v>
      </c>
      <c r="H650" s="13">
        <v>3</v>
      </c>
      <c r="I650" s="14">
        <f t="shared" ca="1" si="2"/>
        <v>0.41617566054453181</v>
      </c>
    </row>
    <row r="651" spans="1:9" ht="14.25" customHeight="1" x14ac:dyDescent="0.3">
      <c r="A651" s="2" t="s">
        <v>1469</v>
      </c>
      <c r="B651" s="2" t="s">
        <v>1770</v>
      </c>
      <c r="C651" s="12">
        <v>44783</v>
      </c>
      <c r="D651" s="2" t="s">
        <v>1785</v>
      </c>
      <c r="E651" s="2" t="s">
        <v>1781</v>
      </c>
      <c r="F651" s="2">
        <v>130</v>
      </c>
      <c r="G651" s="2" t="s">
        <v>25</v>
      </c>
      <c r="H651" s="13">
        <v>6</v>
      </c>
      <c r="I651" s="14">
        <f t="shared" ca="1" si="2"/>
        <v>0.80000929938755438</v>
      </c>
    </row>
    <row r="652" spans="1:9" ht="14.25" customHeight="1" x14ac:dyDescent="0.3">
      <c r="A652" s="2" t="s">
        <v>1471</v>
      </c>
      <c r="B652" s="2" t="s">
        <v>1764</v>
      </c>
      <c r="C652" s="12">
        <v>44762</v>
      </c>
      <c r="D652" s="2" t="s">
        <v>1780</v>
      </c>
      <c r="E652" s="2" t="s">
        <v>1783</v>
      </c>
      <c r="F652" s="2">
        <v>72</v>
      </c>
      <c r="G652" s="2" t="s">
        <v>23</v>
      </c>
      <c r="H652" s="13">
        <v>5</v>
      </c>
      <c r="I652" s="14">
        <f t="shared" ca="1" si="2"/>
        <v>8.5095088925900675E-2</v>
      </c>
    </row>
    <row r="653" spans="1:9" ht="14.25" customHeight="1" x14ac:dyDescent="0.3">
      <c r="A653" s="2" t="s">
        <v>1473</v>
      </c>
      <c r="B653" s="2" t="s">
        <v>1766</v>
      </c>
      <c r="C653" s="12">
        <v>44800</v>
      </c>
      <c r="D653" s="2" t="s">
        <v>1782</v>
      </c>
      <c r="E653" s="2" t="s">
        <v>1781</v>
      </c>
      <c r="F653" s="2">
        <v>65</v>
      </c>
      <c r="G653" s="2" t="s">
        <v>24</v>
      </c>
      <c r="H653" s="13">
        <v>10</v>
      </c>
      <c r="I653" s="14">
        <f t="shared" ca="1" si="2"/>
        <v>7.5991074690660243E-2</v>
      </c>
    </row>
    <row r="654" spans="1:9" ht="14.25" customHeight="1" x14ac:dyDescent="0.3">
      <c r="A654" s="2" t="s">
        <v>1475</v>
      </c>
      <c r="B654" s="2" t="s">
        <v>1768</v>
      </c>
      <c r="C654" s="12">
        <v>44799</v>
      </c>
      <c r="D654" s="2" t="s">
        <v>1784</v>
      </c>
      <c r="E654" s="2" t="s">
        <v>1783</v>
      </c>
      <c r="F654" s="2">
        <v>250</v>
      </c>
      <c r="G654" s="2" t="s">
        <v>25</v>
      </c>
      <c r="H654" s="13">
        <v>2</v>
      </c>
      <c r="I654" s="14">
        <f t="shared" ca="1" si="2"/>
        <v>0.323400818507946</v>
      </c>
    </row>
    <row r="655" spans="1:9" ht="14.25" customHeight="1" x14ac:dyDescent="0.3">
      <c r="A655" s="2" t="s">
        <v>1477</v>
      </c>
      <c r="B655" s="2" t="s">
        <v>1770</v>
      </c>
      <c r="C655" s="12">
        <v>44777</v>
      </c>
      <c r="D655" s="2" t="s">
        <v>1785</v>
      </c>
      <c r="E655" s="2" t="s">
        <v>1781</v>
      </c>
      <c r="F655" s="2">
        <v>130</v>
      </c>
      <c r="G655" s="2" t="s">
        <v>23</v>
      </c>
      <c r="H655" s="13">
        <v>2</v>
      </c>
      <c r="I655" s="14">
        <f t="shared" ca="1" si="2"/>
        <v>0.75050156147978331</v>
      </c>
    </row>
    <row r="656" spans="1:9" ht="14.25" customHeight="1" x14ac:dyDescent="0.3">
      <c r="A656" s="2" t="s">
        <v>1479</v>
      </c>
      <c r="B656" s="2" t="s">
        <v>1772</v>
      </c>
      <c r="C656" s="12">
        <v>44800</v>
      </c>
      <c r="D656" s="2" t="s">
        <v>1786</v>
      </c>
      <c r="E656" s="2" t="s">
        <v>1781</v>
      </c>
      <c r="F656" s="2">
        <v>60</v>
      </c>
      <c r="G656" s="2" t="s">
        <v>24</v>
      </c>
      <c r="H656" s="13">
        <v>10</v>
      </c>
      <c r="I656" s="14">
        <f t="shared" ca="1" si="2"/>
        <v>6.1048048022850132E-2</v>
      </c>
    </row>
    <row r="657" spans="1:9" ht="14.25" customHeight="1" x14ac:dyDescent="0.3">
      <c r="A657" s="2" t="s">
        <v>1481</v>
      </c>
      <c r="B657" s="2" t="s">
        <v>1773</v>
      </c>
      <c r="C657" s="12">
        <v>44770</v>
      </c>
      <c r="D657" s="2" t="s">
        <v>1787</v>
      </c>
      <c r="E657" s="2" t="s">
        <v>1783</v>
      </c>
      <c r="F657" s="2">
        <v>95</v>
      </c>
      <c r="G657" s="2" t="s">
        <v>25</v>
      </c>
      <c r="H657" s="13">
        <v>3</v>
      </c>
      <c r="I657" s="14">
        <f t="shared" ca="1" si="2"/>
        <v>0.27657764607118163</v>
      </c>
    </row>
    <row r="658" spans="1:9" ht="14.25" customHeight="1" x14ac:dyDescent="0.3">
      <c r="A658" s="2" t="s">
        <v>1483</v>
      </c>
      <c r="B658" s="2" t="s">
        <v>1764</v>
      </c>
      <c r="C658" s="12">
        <v>44774</v>
      </c>
      <c r="D658" s="2" t="s">
        <v>1780</v>
      </c>
      <c r="E658" s="2" t="s">
        <v>1783</v>
      </c>
      <c r="F658" s="2">
        <v>72</v>
      </c>
      <c r="G658" s="2" t="s">
        <v>23</v>
      </c>
      <c r="H658" s="13">
        <v>6</v>
      </c>
      <c r="I658" s="14">
        <f t="shared" ca="1" si="2"/>
        <v>0.71607428634864845</v>
      </c>
    </row>
    <row r="659" spans="1:9" ht="14.25" customHeight="1" x14ac:dyDescent="0.3">
      <c r="A659" s="2" t="s">
        <v>1485</v>
      </c>
      <c r="B659" s="2" t="s">
        <v>1766</v>
      </c>
      <c r="C659" s="12">
        <v>44779</v>
      </c>
      <c r="D659" s="2" t="s">
        <v>1782</v>
      </c>
      <c r="E659" s="2" t="s">
        <v>1783</v>
      </c>
      <c r="F659" s="2">
        <v>65</v>
      </c>
      <c r="G659" s="2" t="s">
        <v>24</v>
      </c>
      <c r="H659" s="13">
        <v>8</v>
      </c>
      <c r="I659" s="14">
        <f t="shared" ca="1" si="2"/>
        <v>0.94428109726746401</v>
      </c>
    </row>
    <row r="660" spans="1:9" ht="14.25" customHeight="1" x14ac:dyDescent="0.3">
      <c r="A660" s="2" t="s">
        <v>1487</v>
      </c>
      <c r="B660" s="2" t="s">
        <v>1768</v>
      </c>
      <c r="C660" s="12">
        <v>44796</v>
      </c>
      <c r="D660" s="2" t="s">
        <v>1784</v>
      </c>
      <c r="E660" s="2" t="s">
        <v>1781</v>
      </c>
      <c r="F660" s="2">
        <v>250</v>
      </c>
      <c r="G660" s="2" t="s">
        <v>25</v>
      </c>
      <c r="H660" s="13">
        <v>2</v>
      </c>
      <c r="I660" s="14">
        <f t="shared" ca="1" si="2"/>
        <v>0.10453509277711426</v>
      </c>
    </row>
    <row r="661" spans="1:9" ht="14.25" customHeight="1" x14ac:dyDescent="0.3">
      <c r="A661" s="2" t="s">
        <v>1489</v>
      </c>
      <c r="B661" s="2" t="s">
        <v>1770</v>
      </c>
      <c r="C661" s="12">
        <v>44772</v>
      </c>
      <c r="D661" s="2" t="s">
        <v>1785</v>
      </c>
      <c r="E661" s="2" t="s">
        <v>1781</v>
      </c>
      <c r="F661" s="2">
        <v>130</v>
      </c>
      <c r="G661" s="2" t="s">
        <v>23</v>
      </c>
      <c r="H661" s="13">
        <v>2</v>
      </c>
      <c r="I661" s="14">
        <f t="shared" ca="1" si="2"/>
        <v>0.30743526731344106</v>
      </c>
    </row>
    <row r="662" spans="1:9" ht="14.25" customHeight="1" x14ac:dyDescent="0.3">
      <c r="A662" s="2" t="s">
        <v>1491</v>
      </c>
      <c r="B662" s="2" t="s">
        <v>1764</v>
      </c>
      <c r="C662" s="12">
        <v>44809</v>
      </c>
      <c r="D662" s="2" t="s">
        <v>1780</v>
      </c>
      <c r="E662" s="2" t="s">
        <v>1781</v>
      </c>
      <c r="F662" s="2">
        <v>72</v>
      </c>
      <c r="G662" s="2" t="s">
        <v>24</v>
      </c>
      <c r="H662" s="13">
        <v>9</v>
      </c>
      <c r="I662" s="14">
        <f t="shared" ca="1" si="2"/>
        <v>0.58024546748158234</v>
      </c>
    </row>
    <row r="663" spans="1:9" ht="14.25" customHeight="1" x14ac:dyDescent="0.3">
      <c r="A663" s="2" t="s">
        <v>1493</v>
      </c>
      <c r="B663" s="2" t="s">
        <v>1766</v>
      </c>
      <c r="C663" s="12">
        <v>44757</v>
      </c>
      <c r="D663" s="2" t="s">
        <v>1782</v>
      </c>
      <c r="E663" s="2" t="s">
        <v>1781</v>
      </c>
      <c r="F663" s="2">
        <v>65</v>
      </c>
      <c r="G663" s="2" t="s">
        <v>25</v>
      </c>
      <c r="H663" s="13">
        <v>4</v>
      </c>
      <c r="I663" s="14">
        <f t="shared" ca="1" si="2"/>
        <v>0.4627697012392139</v>
      </c>
    </row>
    <row r="664" spans="1:9" ht="14.25" customHeight="1" x14ac:dyDescent="0.3">
      <c r="A664" s="2" t="s">
        <v>1495</v>
      </c>
      <c r="B664" s="2" t="s">
        <v>1768</v>
      </c>
      <c r="C664" s="12">
        <v>44782</v>
      </c>
      <c r="D664" s="2" t="s">
        <v>1784</v>
      </c>
      <c r="E664" s="2" t="s">
        <v>1781</v>
      </c>
      <c r="F664" s="2">
        <v>250</v>
      </c>
      <c r="G664" s="2" t="s">
        <v>23</v>
      </c>
      <c r="H664" s="13">
        <v>1</v>
      </c>
      <c r="I664" s="14">
        <f t="shared" ca="1" si="2"/>
        <v>0.85672079727970729</v>
      </c>
    </row>
    <row r="665" spans="1:9" ht="14.25" customHeight="1" x14ac:dyDescent="0.3">
      <c r="A665" s="2" t="s">
        <v>1497</v>
      </c>
      <c r="B665" s="2" t="s">
        <v>1770</v>
      </c>
      <c r="C665" s="12">
        <v>44809</v>
      </c>
      <c r="D665" s="2" t="s">
        <v>1785</v>
      </c>
      <c r="E665" s="2" t="s">
        <v>1781</v>
      </c>
      <c r="F665" s="2">
        <v>130</v>
      </c>
      <c r="G665" s="2" t="s">
        <v>24</v>
      </c>
      <c r="H665" s="13">
        <v>5</v>
      </c>
      <c r="I665" s="14">
        <f t="shared" ca="1" si="2"/>
        <v>0.74334403776974223</v>
      </c>
    </row>
    <row r="666" spans="1:9" ht="14.25" customHeight="1" x14ac:dyDescent="0.3">
      <c r="A666" s="2" t="s">
        <v>1499</v>
      </c>
      <c r="B666" s="2" t="s">
        <v>1772</v>
      </c>
      <c r="C666" s="12">
        <v>44795</v>
      </c>
      <c r="D666" s="2" t="s">
        <v>1786</v>
      </c>
      <c r="E666" s="2" t="s">
        <v>1781</v>
      </c>
      <c r="F666" s="2">
        <v>60</v>
      </c>
      <c r="G666" s="2" t="s">
        <v>25</v>
      </c>
      <c r="H666" s="13">
        <v>12</v>
      </c>
      <c r="I666" s="14">
        <f t="shared" ca="1" si="2"/>
        <v>0.58975959269477096</v>
      </c>
    </row>
    <row r="667" spans="1:9" ht="14.25" customHeight="1" x14ac:dyDescent="0.3">
      <c r="A667" s="2" t="s">
        <v>1501</v>
      </c>
      <c r="B667" s="2" t="s">
        <v>1764</v>
      </c>
      <c r="C667" s="12">
        <v>44801</v>
      </c>
      <c r="D667" s="2" t="s">
        <v>1780</v>
      </c>
      <c r="E667" s="2" t="s">
        <v>1781</v>
      </c>
      <c r="F667" s="2">
        <v>72</v>
      </c>
      <c r="G667" s="2" t="s">
        <v>23</v>
      </c>
      <c r="H667" s="13">
        <v>6</v>
      </c>
      <c r="I667" s="14">
        <f t="shared" ca="1" si="2"/>
        <v>0.56054924101776016</v>
      </c>
    </row>
    <row r="668" spans="1:9" ht="14.25" customHeight="1" x14ac:dyDescent="0.3">
      <c r="A668" s="2" t="s">
        <v>1503</v>
      </c>
      <c r="B668" s="2" t="s">
        <v>1766</v>
      </c>
      <c r="C668" s="12">
        <v>44770</v>
      </c>
      <c r="D668" s="2" t="s">
        <v>1782</v>
      </c>
      <c r="E668" s="2" t="s">
        <v>1781</v>
      </c>
      <c r="F668" s="2">
        <v>65</v>
      </c>
      <c r="G668" s="2" t="s">
        <v>24</v>
      </c>
      <c r="H668" s="13">
        <v>6</v>
      </c>
      <c r="I668" s="14">
        <f t="shared" ca="1" si="2"/>
        <v>0.25217804459027271</v>
      </c>
    </row>
    <row r="669" spans="1:9" ht="14.25" customHeight="1" x14ac:dyDescent="0.3">
      <c r="A669" s="2" t="s">
        <v>1505</v>
      </c>
      <c r="B669" s="2" t="s">
        <v>1768</v>
      </c>
      <c r="C669" s="12">
        <v>44764</v>
      </c>
      <c r="D669" s="2" t="s">
        <v>1784</v>
      </c>
      <c r="E669" s="2" t="s">
        <v>1783</v>
      </c>
      <c r="F669" s="2">
        <v>250</v>
      </c>
      <c r="G669" s="2" t="s">
        <v>25</v>
      </c>
      <c r="H669" s="13">
        <v>2</v>
      </c>
      <c r="I669" s="14">
        <f t="shared" ca="1" si="2"/>
        <v>0.65213928570308288</v>
      </c>
    </row>
    <row r="670" spans="1:9" ht="14.25" customHeight="1" x14ac:dyDescent="0.3">
      <c r="A670" s="2" t="s">
        <v>1507</v>
      </c>
      <c r="B670" s="2" t="s">
        <v>1770</v>
      </c>
      <c r="C670" s="12">
        <v>44776</v>
      </c>
      <c r="D670" s="2" t="s">
        <v>1785</v>
      </c>
      <c r="E670" s="2" t="s">
        <v>1781</v>
      </c>
      <c r="F670" s="2">
        <v>130</v>
      </c>
      <c r="G670" s="2" t="s">
        <v>23</v>
      </c>
      <c r="H670" s="13">
        <v>4</v>
      </c>
      <c r="I670" s="14">
        <f t="shared" ca="1" si="2"/>
        <v>0.54880236890448642</v>
      </c>
    </row>
    <row r="671" spans="1:9" ht="14.25" customHeight="1" x14ac:dyDescent="0.3">
      <c r="A671" s="2" t="s">
        <v>1509</v>
      </c>
      <c r="B671" s="2" t="s">
        <v>1764</v>
      </c>
      <c r="C671" s="12">
        <v>44771</v>
      </c>
      <c r="D671" s="2" t="s">
        <v>1780</v>
      </c>
      <c r="E671" s="2" t="s">
        <v>1781</v>
      </c>
      <c r="F671" s="2">
        <v>72</v>
      </c>
      <c r="G671" s="2" t="s">
        <v>24</v>
      </c>
      <c r="H671" s="13">
        <v>10</v>
      </c>
      <c r="I671" s="14">
        <f t="shared" ca="1" si="2"/>
        <v>0.95147837973814831</v>
      </c>
    </row>
    <row r="672" spans="1:9" ht="14.25" customHeight="1" x14ac:dyDescent="0.3">
      <c r="A672" s="2" t="s">
        <v>1511</v>
      </c>
      <c r="B672" s="2" t="s">
        <v>1766</v>
      </c>
      <c r="C672" s="12">
        <v>44794</v>
      </c>
      <c r="D672" s="2" t="s">
        <v>1782</v>
      </c>
      <c r="E672" s="2" t="s">
        <v>1781</v>
      </c>
      <c r="F672" s="2">
        <v>65</v>
      </c>
      <c r="G672" s="2" t="s">
        <v>25</v>
      </c>
      <c r="H672" s="13">
        <v>8</v>
      </c>
      <c r="I672" s="14">
        <f t="shared" ca="1" si="2"/>
        <v>0.54030795544914134</v>
      </c>
    </row>
    <row r="673" spans="1:9" ht="14.25" customHeight="1" x14ac:dyDescent="0.3">
      <c r="A673" s="2" t="s">
        <v>1513</v>
      </c>
      <c r="B673" s="2" t="s">
        <v>1768</v>
      </c>
      <c r="C673" s="12">
        <v>44792</v>
      </c>
      <c r="D673" s="2" t="s">
        <v>1784</v>
      </c>
      <c r="E673" s="2" t="s">
        <v>1781</v>
      </c>
      <c r="F673" s="2">
        <v>250</v>
      </c>
      <c r="G673" s="2" t="s">
        <v>23</v>
      </c>
      <c r="H673" s="13">
        <v>2</v>
      </c>
      <c r="I673" s="14">
        <f t="shared" ca="1" si="2"/>
        <v>0.30164934334554494</v>
      </c>
    </row>
    <row r="674" spans="1:9" ht="14.25" customHeight="1" x14ac:dyDescent="0.3">
      <c r="A674" s="2" t="s">
        <v>1515</v>
      </c>
      <c r="B674" s="2" t="s">
        <v>1770</v>
      </c>
      <c r="C674" s="12">
        <v>44792</v>
      </c>
      <c r="D674" s="2" t="s">
        <v>1785</v>
      </c>
      <c r="E674" s="2" t="s">
        <v>1781</v>
      </c>
      <c r="F674" s="2">
        <v>130</v>
      </c>
      <c r="G674" s="2" t="s">
        <v>24</v>
      </c>
      <c r="H674" s="13">
        <v>2</v>
      </c>
      <c r="I674" s="14">
        <f t="shared" ca="1" si="2"/>
        <v>0.65186432424551899</v>
      </c>
    </row>
    <row r="675" spans="1:9" ht="14.25" customHeight="1" x14ac:dyDescent="0.3">
      <c r="A675" s="2" t="s">
        <v>1517</v>
      </c>
      <c r="B675" s="2" t="s">
        <v>1772</v>
      </c>
      <c r="C675" s="12">
        <v>44790</v>
      </c>
      <c r="D675" s="2" t="s">
        <v>1786</v>
      </c>
      <c r="E675" s="2" t="s">
        <v>1783</v>
      </c>
      <c r="F675" s="2">
        <v>60</v>
      </c>
      <c r="G675" s="2" t="s">
        <v>25</v>
      </c>
      <c r="H675" s="13">
        <v>14</v>
      </c>
      <c r="I675" s="14">
        <f t="shared" ca="1" si="2"/>
        <v>0.31368839041522878</v>
      </c>
    </row>
    <row r="676" spans="1:9" ht="14.25" customHeight="1" x14ac:dyDescent="0.3">
      <c r="A676" s="2" t="s">
        <v>1519</v>
      </c>
      <c r="B676" s="2" t="s">
        <v>1773</v>
      </c>
      <c r="C676" s="12">
        <v>44809</v>
      </c>
      <c r="D676" s="2" t="s">
        <v>1787</v>
      </c>
      <c r="E676" s="2" t="s">
        <v>1781</v>
      </c>
      <c r="F676" s="2">
        <v>95</v>
      </c>
      <c r="G676" s="2" t="s">
        <v>23</v>
      </c>
      <c r="H676" s="13">
        <v>3</v>
      </c>
      <c r="I676" s="14">
        <f t="shared" ca="1" si="2"/>
        <v>9.7819073918985144E-2</v>
      </c>
    </row>
    <row r="677" spans="1:9" ht="14.25" customHeight="1" x14ac:dyDescent="0.3">
      <c r="A677" s="2" t="s">
        <v>1521</v>
      </c>
      <c r="B677" s="2" t="s">
        <v>1764</v>
      </c>
      <c r="C677" s="12">
        <v>44772</v>
      </c>
      <c r="D677" s="2" t="s">
        <v>1780</v>
      </c>
      <c r="E677" s="2" t="s">
        <v>1781</v>
      </c>
      <c r="F677" s="2">
        <v>72</v>
      </c>
      <c r="G677" s="2" t="s">
        <v>24</v>
      </c>
      <c r="H677" s="13">
        <v>6</v>
      </c>
      <c r="I677" s="14">
        <f t="shared" ca="1" si="2"/>
        <v>0.31532546729607913</v>
      </c>
    </row>
    <row r="678" spans="1:9" ht="14.25" customHeight="1" x14ac:dyDescent="0.3">
      <c r="A678" s="2" t="s">
        <v>1523</v>
      </c>
      <c r="B678" s="2" t="s">
        <v>1766</v>
      </c>
      <c r="C678" s="12">
        <v>44802</v>
      </c>
      <c r="D678" s="2" t="s">
        <v>1782</v>
      </c>
      <c r="E678" s="2" t="s">
        <v>1781</v>
      </c>
      <c r="F678" s="2">
        <v>65</v>
      </c>
      <c r="G678" s="2" t="s">
        <v>25</v>
      </c>
      <c r="H678" s="13">
        <v>12</v>
      </c>
      <c r="I678" s="14">
        <f t="shared" ca="1" si="2"/>
        <v>0.59077505658823015</v>
      </c>
    </row>
    <row r="679" spans="1:9" ht="14.25" customHeight="1" x14ac:dyDescent="0.3">
      <c r="A679" s="2" t="s">
        <v>1525</v>
      </c>
      <c r="B679" s="2" t="s">
        <v>1768</v>
      </c>
      <c r="C679" s="12">
        <v>44809</v>
      </c>
      <c r="D679" s="2" t="s">
        <v>1784</v>
      </c>
      <c r="E679" s="2" t="s">
        <v>1783</v>
      </c>
      <c r="F679" s="2">
        <v>250</v>
      </c>
      <c r="G679" s="2" t="s">
        <v>23</v>
      </c>
      <c r="H679" s="13">
        <v>2</v>
      </c>
      <c r="I679" s="14">
        <f t="shared" ca="1" si="2"/>
        <v>0.2032600663027454</v>
      </c>
    </row>
    <row r="680" spans="1:9" ht="14.25" customHeight="1" x14ac:dyDescent="0.3">
      <c r="A680" s="2" t="s">
        <v>1527</v>
      </c>
      <c r="B680" s="2" t="s">
        <v>1770</v>
      </c>
      <c r="C680" s="12">
        <v>44793</v>
      </c>
      <c r="D680" s="2" t="s">
        <v>1785</v>
      </c>
      <c r="E680" s="2" t="s">
        <v>1783</v>
      </c>
      <c r="F680" s="2">
        <v>130</v>
      </c>
      <c r="G680" s="2" t="s">
        <v>24</v>
      </c>
      <c r="H680" s="13">
        <v>2</v>
      </c>
      <c r="I680" s="14">
        <f t="shared" ca="1" si="2"/>
        <v>0.55045658143308118</v>
      </c>
    </row>
    <row r="681" spans="1:9" ht="14.25" customHeight="1" x14ac:dyDescent="0.3">
      <c r="A681" s="2" t="s">
        <v>1529</v>
      </c>
      <c r="B681" s="2" t="s">
        <v>1764</v>
      </c>
      <c r="C681" s="12">
        <v>44802</v>
      </c>
      <c r="D681" s="2" t="s">
        <v>1780</v>
      </c>
      <c r="E681" s="2" t="s">
        <v>1783</v>
      </c>
      <c r="F681" s="2">
        <v>72</v>
      </c>
      <c r="G681" s="2" t="s">
        <v>25</v>
      </c>
      <c r="H681" s="13">
        <v>8</v>
      </c>
      <c r="I681" s="14">
        <f t="shared" ca="1" si="2"/>
        <v>0.59060173010441563</v>
      </c>
    </row>
    <row r="682" spans="1:9" ht="14.25" customHeight="1" x14ac:dyDescent="0.3">
      <c r="A682" s="2" t="s">
        <v>1531</v>
      </c>
      <c r="B682" s="2" t="s">
        <v>1766</v>
      </c>
      <c r="C682" s="12">
        <v>44766</v>
      </c>
      <c r="D682" s="2" t="s">
        <v>1782</v>
      </c>
      <c r="E682" s="2" t="s">
        <v>1783</v>
      </c>
      <c r="F682" s="2">
        <v>65</v>
      </c>
      <c r="G682" s="2" t="s">
        <v>23</v>
      </c>
      <c r="H682" s="13">
        <v>10</v>
      </c>
      <c r="I682" s="14">
        <f t="shared" ca="1" si="2"/>
        <v>0.75792829212833768</v>
      </c>
    </row>
    <row r="683" spans="1:9" ht="14.25" customHeight="1" x14ac:dyDescent="0.3">
      <c r="A683" s="2" t="s">
        <v>1533</v>
      </c>
      <c r="B683" s="2" t="s">
        <v>1768</v>
      </c>
      <c r="C683" s="12">
        <v>44807</v>
      </c>
      <c r="D683" s="2" t="s">
        <v>1784</v>
      </c>
      <c r="E683" s="2" t="s">
        <v>1783</v>
      </c>
      <c r="F683" s="2">
        <v>250</v>
      </c>
      <c r="G683" s="2" t="s">
        <v>24</v>
      </c>
      <c r="H683" s="13">
        <v>3</v>
      </c>
      <c r="I683" s="14">
        <f t="shared" ca="1" si="2"/>
        <v>0.63199379750448748</v>
      </c>
    </row>
    <row r="684" spans="1:9" ht="14.25" customHeight="1" x14ac:dyDescent="0.3">
      <c r="A684" s="2" t="s">
        <v>1535</v>
      </c>
      <c r="B684" s="2" t="s">
        <v>1770</v>
      </c>
      <c r="C684" s="12">
        <v>44784</v>
      </c>
      <c r="D684" s="2" t="s">
        <v>1785</v>
      </c>
      <c r="E684" s="2" t="s">
        <v>1783</v>
      </c>
      <c r="F684" s="2">
        <v>130</v>
      </c>
      <c r="G684" s="2" t="s">
        <v>25</v>
      </c>
      <c r="H684" s="13">
        <v>7</v>
      </c>
      <c r="I684" s="14">
        <f t="shared" ca="1" si="2"/>
        <v>0.9957837201945392</v>
      </c>
    </row>
    <row r="685" spans="1:9" ht="14.25" customHeight="1" x14ac:dyDescent="0.3">
      <c r="A685" s="2" t="s">
        <v>1537</v>
      </c>
      <c r="B685" s="2" t="s">
        <v>1764</v>
      </c>
      <c r="C685" s="12">
        <v>44763</v>
      </c>
      <c r="D685" s="2" t="s">
        <v>1780</v>
      </c>
      <c r="E685" s="2" t="s">
        <v>1781</v>
      </c>
      <c r="F685" s="2">
        <v>72</v>
      </c>
      <c r="G685" s="2" t="s">
        <v>25</v>
      </c>
      <c r="H685" s="13">
        <v>10</v>
      </c>
      <c r="I685" s="14">
        <f t="shared" ca="1" si="2"/>
        <v>0.38659294387852616</v>
      </c>
    </row>
    <row r="686" spans="1:9" ht="14.25" customHeight="1" x14ac:dyDescent="0.3">
      <c r="A686" s="2" t="s">
        <v>1539</v>
      </c>
      <c r="B686" s="2" t="s">
        <v>1766</v>
      </c>
      <c r="C686" s="12">
        <v>44799</v>
      </c>
      <c r="D686" s="2" t="s">
        <v>1782</v>
      </c>
      <c r="E686" s="2" t="s">
        <v>1783</v>
      </c>
      <c r="F686" s="2">
        <v>65</v>
      </c>
      <c r="G686" s="2" t="s">
        <v>23</v>
      </c>
      <c r="H686" s="13">
        <v>13</v>
      </c>
      <c r="I686" s="14">
        <f t="shared" ca="1" si="2"/>
        <v>0.11504510255785072</v>
      </c>
    </row>
    <row r="687" spans="1:9" ht="14.25" customHeight="1" x14ac:dyDescent="0.3">
      <c r="A687" s="2" t="s">
        <v>1541</v>
      </c>
      <c r="B687" s="2" t="s">
        <v>1768</v>
      </c>
      <c r="C687" s="12">
        <v>44808</v>
      </c>
      <c r="D687" s="2" t="s">
        <v>1784</v>
      </c>
      <c r="E687" s="2" t="s">
        <v>1781</v>
      </c>
      <c r="F687" s="2">
        <v>250</v>
      </c>
      <c r="G687" s="2" t="s">
        <v>24</v>
      </c>
      <c r="H687" s="13">
        <v>1</v>
      </c>
      <c r="I687" s="14">
        <f t="shared" ca="1" si="2"/>
        <v>0.64781131012060345</v>
      </c>
    </row>
    <row r="688" spans="1:9" ht="14.25" customHeight="1" x14ac:dyDescent="0.3">
      <c r="A688" s="2" t="s">
        <v>1543</v>
      </c>
      <c r="B688" s="2" t="s">
        <v>1770</v>
      </c>
      <c r="C688" s="12">
        <v>44786</v>
      </c>
      <c r="D688" s="2" t="s">
        <v>1785</v>
      </c>
      <c r="E688" s="2" t="s">
        <v>1783</v>
      </c>
      <c r="F688" s="2">
        <v>130</v>
      </c>
      <c r="G688" s="2" t="s">
        <v>25</v>
      </c>
      <c r="H688" s="13">
        <v>2</v>
      </c>
      <c r="I688" s="14">
        <f t="shared" ca="1" si="2"/>
        <v>0.63571094337715861</v>
      </c>
    </row>
    <row r="689" spans="1:9" ht="14.25" customHeight="1" x14ac:dyDescent="0.3">
      <c r="A689" s="2" t="s">
        <v>1545</v>
      </c>
      <c r="B689" s="2" t="s">
        <v>1764</v>
      </c>
      <c r="C689" s="12">
        <v>44770</v>
      </c>
      <c r="D689" s="2" t="s">
        <v>1780</v>
      </c>
      <c r="E689" s="2" t="s">
        <v>1781</v>
      </c>
      <c r="F689" s="2">
        <v>72</v>
      </c>
      <c r="G689" s="2" t="s">
        <v>23</v>
      </c>
      <c r="H689" s="13">
        <v>10</v>
      </c>
      <c r="I689" s="14">
        <f t="shared" ca="1" si="2"/>
        <v>0.47364873831590926</v>
      </c>
    </row>
    <row r="690" spans="1:9" ht="14.25" customHeight="1" x14ac:dyDescent="0.3">
      <c r="A690" s="2" t="s">
        <v>1547</v>
      </c>
      <c r="B690" s="2" t="s">
        <v>1766</v>
      </c>
      <c r="C690" s="12">
        <v>44777</v>
      </c>
      <c r="D690" s="2" t="s">
        <v>1782</v>
      </c>
      <c r="E690" s="2" t="s">
        <v>1783</v>
      </c>
      <c r="F690" s="2">
        <v>65</v>
      </c>
      <c r="G690" s="2" t="s">
        <v>24</v>
      </c>
      <c r="H690" s="13">
        <v>4</v>
      </c>
      <c r="I690" s="14">
        <f t="shared" ca="1" si="2"/>
        <v>0.24292577421293193</v>
      </c>
    </row>
    <row r="691" spans="1:9" ht="14.25" customHeight="1" x14ac:dyDescent="0.3">
      <c r="A691" s="2" t="s">
        <v>1549</v>
      </c>
      <c r="B691" s="2" t="s">
        <v>1768</v>
      </c>
      <c r="C691" s="12">
        <v>44780</v>
      </c>
      <c r="D691" s="2" t="s">
        <v>1784</v>
      </c>
      <c r="E691" s="2" t="s">
        <v>1781</v>
      </c>
      <c r="F691" s="2">
        <v>250</v>
      </c>
      <c r="G691" s="2" t="s">
        <v>25</v>
      </c>
      <c r="H691" s="13">
        <v>3</v>
      </c>
      <c r="I691" s="14">
        <f t="shared" ca="1" si="2"/>
        <v>0.85257546796720063</v>
      </c>
    </row>
    <row r="692" spans="1:9" ht="14.25" customHeight="1" x14ac:dyDescent="0.3">
      <c r="A692" s="2" t="s">
        <v>1551</v>
      </c>
      <c r="B692" s="2" t="s">
        <v>1770</v>
      </c>
      <c r="C692" s="12">
        <v>44778</v>
      </c>
      <c r="D692" s="2" t="s">
        <v>1785</v>
      </c>
      <c r="E692" s="2" t="s">
        <v>1783</v>
      </c>
      <c r="F692" s="2">
        <v>130</v>
      </c>
      <c r="G692" s="2" t="s">
        <v>23</v>
      </c>
      <c r="H692" s="13">
        <v>4</v>
      </c>
      <c r="I692" s="14">
        <f t="shared" ca="1" si="2"/>
        <v>0.6528369871968196</v>
      </c>
    </row>
    <row r="693" spans="1:9" ht="14.25" customHeight="1" x14ac:dyDescent="0.3">
      <c r="A693" s="2" t="s">
        <v>1553</v>
      </c>
      <c r="B693" s="2" t="s">
        <v>1772</v>
      </c>
      <c r="C693" s="12">
        <v>44774</v>
      </c>
      <c r="D693" s="2" t="s">
        <v>1786</v>
      </c>
      <c r="E693" s="2" t="s">
        <v>1781</v>
      </c>
      <c r="F693" s="2">
        <v>60</v>
      </c>
      <c r="G693" s="2" t="s">
        <v>24</v>
      </c>
      <c r="H693" s="13">
        <v>13</v>
      </c>
      <c r="I693" s="14">
        <f t="shared" ref="I693:I756" ca="1" si="3">RAND()</f>
        <v>0.46550540709259114</v>
      </c>
    </row>
    <row r="694" spans="1:9" ht="14.25" customHeight="1" x14ac:dyDescent="0.3">
      <c r="A694" s="2" t="s">
        <v>1555</v>
      </c>
      <c r="B694" s="2" t="s">
        <v>1764</v>
      </c>
      <c r="C694" s="12">
        <v>44760</v>
      </c>
      <c r="D694" s="2" t="s">
        <v>1780</v>
      </c>
      <c r="E694" s="2" t="s">
        <v>1783</v>
      </c>
      <c r="F694" s="2">
        <v>72</v>
      </c>
      <c r="G694" s="2" t="s">
        <v>25</v>
      </c>
      <c r="H694" s="13">
        <v>3</v>
      </c>
      <c r="I694" s="14">
        <f t="shared" ca="1" si="3"/>
        <v>0.79692547941711311</v>
      </c>
    </row>
    <row r="695" spans="1:9" ht="14.25" customHeight="1" x14ac:dyDescent="0.3">
      <c r="A695" s="2" t="s">
        <v>1557</v>
      </c>
      <c r="B695" s="2" t="s">
        <v>1766</v>
      </c>
      <c r="C695" s="12">
        <v>44756</v>
      </c>
      <c r="D695" s="2" t="s">
        <v>1782</v>
      </c>
      <c r="E695" s="2" t="s">
        <v>1781</v>
      </c>
      <c r="F695" s="2">
        <v>65</v>
      </c>
      <c r="G695" s="2" t="s">
        <v>23</v>
      </c>
      <c r="H695" s="13">
        <v>9</v>
      </c>
      <c r="I695" s="14">
        <f t="shared" ca="1" si="3"/>
        <v>0.35528256517500667</v>
      </c>
    </row>
    <row r="696" spans="1:9" ht="14.25" customHeight="1" x14ac:dyDescent="0.3">
      <c r="A696" s="2" t="s">
        <v>1559</v>
      </c>
      <c r="B696" s="2" t="s">
        <v>1768</v>
      </c>
      <c r="C696" s="12">
        <v>44755</v>
      </c>
      <c r="D696" s="2" t="s">
        <v>1784</v>
      </c>
      <c r="E696" s="2" t="s">
        <v>1783</v>
      </c>
      <c r="F696" s="2">
        <v>250</v>
      </c>
      <c r="G696" s="2" t="s">
        <v>24</v>
      </c>
      <c r="H696" s="13">
        <v>3</v>
      </c>
      <c r="I696" s="14">
        <f t="shared" ca="1" si="3"/>
        <v>6.1109397093002005E-2</v>
      </c>
    </row>
    <row r="697" spans="1:9" ht="14.25" customHeight="1" x14ac:dyDescent="0.3">
      <c r="A697" s="2" t="s">
        <v>1561</v>
      </c>
      <c r="B697" s="2" t="s">
        <v>1770</v>
      </c>
      <c r="C697" s="12">
        <v>44770</v>
      </c>
      <c r="D697" s="2" t="s">
        <v>1785</v>
      </c>
      <c r="E697" s="2" t="s">
        <v>1781</v>
      </c>
      <c r="F697" s="2">
        <v>130</v>
      </c>
      <c r="G697" s="2" t="s">
        <v>25</v>
      </c>
      <c r="H697" s="13">
        <v>5</v>
      </c>
      <c r="I697" s="14">
        <f t="shared" ca="1" si="3"/>
        <v>0.66118441999843958</v>
      </c>
    </row>
    <row r="698" spans="1:9" ht="14.25" customHeight="1" x14ac:dyDescent="0.3">
      <c r="A698" s="2" t="s">
        <v>1563</v>
      </c>
      <c r="B698" s="2" t="s">
        <v>1764</v>
      </c>
      <c r="C698" s="12">
        <v>44755</v>
      </c>
      <c r="D698" s="2" t="s">
        <v>1780</v>
      </c>
      <c r="E698" s="2" t="s">
        <v>1783</v>
      </c>
      <c r="F698" s="2">
        <v>72</v>
      </c>
      <c r="G698" s="2" t="s">
        <v>23</v>
      </c>
      <c r="H698" s="13">
        <v>9</v>
      </c>
      <c r="I698" s="14">
        <f t="shared" ca="1" si="3"/>
        <v>0.49721135125161153</v>
      </c>
    </row>
    <row r="699" spans="1:9" ht="14.25" customHeight="1" x14ac:dyDescent="0.3">
      <c r="A699" s="2" t="s">
        <v>1565</v>
      </c>
      <c r="B699" s="2" t="s">
        <v>1766</v>
      </c>
      <c r="C699" s="12">
        <v>44775</v>
      </c>
      <c r="D699" s="2" t="s">
        <v>1782</v>
      </c>
      <c r="E699" s="2" t="s">
        <v>1781</v>
      </c>
      <c r="F699" s="2">
        <v>65</v>
      </c>
      <c r="G699" s="2" t="s">
        <v>24</v>
      </c>
      <c r="H699" s="13">
        <v>7</v>
      </c>
      <c r="I699" s="14">
        <f t="shared" ca="1" si="3"/>
        <v>0.60608635972242997</v>
      </c>
    </row>
    <row r="700" spans="1:9" ht="14.25" customHeight="1" x14ac:dyDescent="0.3">
      <c r="A700" s="2" t="s">
        <v>1567</v>
      </c>
      <c r="B700" s="2" t="s">
        <v>1768</v>
      </c>
      <c r="C700" s="12">
        <v>44797</v>
      </c>
      <c r="D700" s="2" t="s">
        <v>1784</v>
      </c>
      <c r="E700" s="2" t="s">
        <v>1783</v>
      </c>
      <c r="F700" s="2">
        <v>250</v>
      </c>
      <c r="G700" s="2" t="s">
        <v>25</v>
      </c>
      <c r="H700" s="13">
        <v>2</v>
      </c>
      <c r="I700" s="14">
        <f t="shared" ca="1" si="3"/>
        <v>0.21755081949258692</v>
      </c>
    </row>
    <row r="701" spans="1:9" ht="14.25" customHeight="1" x14ac:dyDescent="0.3">
      <c r="A701" s="2" t="s">
        <v>1569</v>
      </c>
      <c r="B701" s="2" t="s">
        <v>1770</v>
      </c>
      <c r="C701" s="12">
        <v>44802</v>
      </c>
      <c r="D701" s="2" t="s">
        <v>1785</v>
      </c>
      <c r="E701" s="2" t="s">
        <v>1781</v>
      </c>
      <c r="F701" s="2">
        <v>130</v>
      </c>
      <c r="G701" s="2" t="s">
        <v>23</v>
      </c>
      <c r="H701" s="13">
        <v>7</v>
      </c>
      <c r="I701" s="14">
        <f t="shared" ca="1" si="3"/>
        <v>0.86088913712573101</v>
      </c>
    </row>
    <row r="702" spans="1:9" ht="14.25" customHeight="1" x14ac:dyDescent="0.3">
      <c r="A702" s="2" t="s">
        <v>1571</v>
      </c>
      <c r="B702" s="2" t="s">
        <v>1772</v>
      </c>
      <c r="C702" s="12">
        <v>44764</v>
      </c>
      <c r="D702" s="2" t="s">
        <v>1786</v>
      </c>
      <c r="E702" s="2" t="s">
        <v>1781</v>
      </c>
      <c r="F702" s="2">
        <v>60</v>
      </c>
      <c r="G702" s="2" t="s">
        <v>24</v>
      </c>
      <c r="H702" s="13">
        <v>8</v>
      </c>
      <c r="I702" s="14">
        <f t="shared" ca="1" si="3"/>
        <v>2.460167384779155E-2</v>
      </c>
    </row>
    <row r="703" spans="1:9" ht="14.25" customHeight="1" x14ac:dyDescent="0.3">
      <c r="A703" s="2" t="s">
        <v>1573</v>
      </c>
      <c r="B703" s="2" t="s">
        <v>1773</v>
      </c>
      <c r="C703" s="12">
        <v>44780</v>
      </c>
      <c r="D703" s="2" t="s">
        <v>1787</v>
      </c>
      <c r="E703" s="2" t="s">
        <v>1783</v>
      </c>
      <c r="F703" s="2">
        <v>95</v>
      </c>
      <c r="G703" s="2" t="s">
        <v>25</v>
      </c>
      <c r="H703" s="13">
        <v>2</v>
      </c>
      <c r="I703" s="14">
        <f t="shared" ca="1" si="3"/>
        <v>0.8304307425860088</v>
      </c>
    </row>
    <row r="704" spans="1:9" ht="14.25" customHeight="1" x14ac:dyDescent="0.3">
      <c r="A704" s="2" t="s">
        <v>1575</v>
      </c>
      <c r="B704" s="2" t="s">
        <v>1764</v>
      </c>
      <c r="C704" s="12">
        <v>44799</v>
      </c>
      <c r="D704" s="2" t="s">
        <v>1780</v>
      </c>
      <c r="E704" s="2" t="s">
        <v>1783</v>
      </c>
      <c r="F704" s="2">
        <v>72</v>
      </c>
      <c r="G704" s="2" t="s">
        <v>23</v>
      </c>
      <c r="H704" s="13">
        <v>5</v>
      </c>
      <c r="I704" s="14">
        <f t="shared" ca="1" si="3"/>
        <v>0.40781922531143511</v>
      </c>
    </row>
    <row r="705" spans="1:9" ht="14.25" customHeight="1" x14ac:dyDescent="0.3">
      <c r="A705" s="2" t="s">
        <v>1577</v>
      </c>
      <c r="B705" s="2" t="s">
        <v>1766</v>
      </c>
      <c r="C705" s="12">
        <v>44761</v>
      </c>
      <c r="D705" s="2" t="s">
        <v>1782</v>
      </c>
      <c r="E705" s="2" t="s">
        <v>1783</v>
      </c>
      <c r="F705" s="2">
        <v>65</v>
      </c>
      <c r="G705" s="2" t="s">
        <v>24</v>
      </c>
      <c r="H705" s="13">
        <v>13</v>
      </c>
      <c r="I705" s="14">
        <f t="shared" ca="1" si="3"/>
        <v>0.11304128734064689</v>
      </c>
    </row>
    <row r="706" spans="1:9" ht="14.25" customHeight="1" x14ac:dyDescent="0.3">
      <c r="A706" s="2" t="s">
        <v>1579</v>
      </c>
      <c r="B706" s="2" t="s">
        <v>1768</v>
      </c>
      <c r="C706" s="12">
        <v>44782</v>
      </c>
      <c r="D706" s="2" t="s">
        <v>1784</v>
      </c>
      <c r="E706" s="2" t="s">
        <v>1781</v>
      </c>
      <c r="F706" s="2">
        <v>250</v>
      </c>
      <c r="G706" s="2" t="s">
        <v>25</v>
      </c>
      <c r="H706" s="13">
        <v>3</v>
      </c>
      <c r="I706" s="14">
        <f t="shared" ca="1" si="3"/>
        <v>0.39605236468659644</v>
      </c>
    </row>
    <row r="707" spans="1:9" ht="14.25" customHeight="1" x14ac:dyDescent="0.3">
      <c r="A707" s="2" t="s">
        <v>1581</v>
      </c>
      <c r="B707" s="2" t="s">
        <v>1770</v>
      </c>
      <c r="C707" s="12">
        <v>44806</v>
      </c>
      <c r="D707" s="2" t="s">
        <v>1785</v>
      </c>
      <c r="E707" s="2" t="s">
        <v>1781</v>
      </c>
      <c r="F707" s="2">
        <v>130</v>
      </c>
      <c r="G707" s="2" t="s">
        <v>23</v>
      </c>
      <c r="H707" s="13">
        <v>2</v>
      </c>
      <c r="I707" s="14">
        <f t="shared" ca="1" si="3"/>
        <v>0.99709891930499028</v>
      </c>
    </row>
    <row r="708" spans="1:9" ht="14.25" customHeight="1" x14ac:dyDescent="0.3">
      <c r="A708" s="2" t="s">
        <v>1583</v>
      </c>
      <c r="B708" s="2" t="s">
        <v>1764</v>
      </c>
      <c r="C708" s="12">
        <v>44798</v>
      </c>
      <c r="D708" s="2" t="s">
        <v>1780</v>
      </c>
      <c r="E708" s="2" t="s">
        <v>1781</v>
      </c>
      <c r="F708" s="2">
        <v>72</v>
      </c>
      <c r="G708" s="2" t="s">
        <v>24</v>
      </c>
      <c r="H708" s="13">
        <v>5</v>
      </c>
      <c r="I708" s="14">
        <f t="shared" ca="1" si="3"/>
        <v>0.21693875872151158</v>
      </c>
    </row>
    <row r="709" spans="1:9" ht="14.25" customHeight="1" x14ac:dyDescent="0.3">
      <c r="A709" s="2" t="s">
        <v>1585</v>
      </c>
      <c r="B709" s="2" t="s">
        <v>1766</v>
      </c>
      <c r="C709" s="12">
        <v>44758</v>
      </c>
      <c r="D709" s="2" t="s">
        <v>1782</v>
      </c>
      <c r="E709" s="2" t="s">
        <v>1781</v>
      </c>
      <c r="F709" s="2">
        <v>65</v>
      </c>
      <c r="G709" s="2" t="s">
        <v>25</v>
      </c>
      <c r="H709" s="13">
        <v>6</v>
      </c>
      <c r="I709" s="14">
        <f t="shared" ca="1" si="3"/>
        <v>0.71743480741911125</v>
      </c>
    </row>
    <row r="710" spans="1:9" ht="14.25" customHeight="1" x14ac:dyDescent="0.3">
      <c r="A710" s="2" t="s">
        <v>1587</v>
      </c>
      <c r="B710" s="2" t="s">
        <v>1768</v>
      </c>
      <c r="C710" s="12">
        <v>44785</v>
      </c>
      <c r="D710" s="2" t="s">
        <v>1784</v>
      </c>
      <c r="E710" s="2" t="s">
        <v>1781</v>
      </c>
      <c r="F710" s="2">
        <v>250</v>
      </c>
      <c r="G710" s="2" t="s">
        <v>23</v>
      </c>
      <c r="H710" s="13">
        <v>1</v>
      </c>
      <c r="I710" s="14">
        <f t="shared" ca="1" si="3"/>
        <v>0.95532789838321097</v>
      </c>
    </row>
    <row r="711" spans="1:9" ht="14.25" customHeight="1" x14ac:dyDescent="0.3">
      <c r="A711" s="2" t="s">
        <v>1589</v>
      </c>
      <c r="B711" s="2" t="s">
        <v>1770</v>
      </c>
      <c r="C711" s="12">
        <v>44761</v>
      </c>
      <c r="D711" s="2" t="s">
        <v>1785</v>
      </c>
      <c r="E711" s="2" t="s">
        <v>1781</v>
      </c>
      <c r="F711" s="2">
        <v>130</v>
      </c>
      <c r="G711" s="2" t="s">
        <v>24</v>
      </c>
      <c r="H711" s="13">
        <v>4</v>
      </c>
      <c r="I711" s="14">
        <f t="shared" ca="1" si="3"/>
        <v>0.25403904762707852</v>
      </c>
    </row>
    <row r="712" spans="1:9" ht="14.25" customHeight="1" x14ac:dyDescent="0.3">
      <c r="A712" s="2" t="s">
        <v>1591</v>
      </c>
      <c r="B712" s="2" t="s">
        <v>1772</v>
      </c>
      <c r="C712" s="12">
        <v>44800</v>
      </c>
      <c r="D712" s="2" t="s">
        <v>1786</v>
      </c>
      <c r="E712" s="2" t="s">
        <v>1781</v>
      </c>
      <c r="F712" s="2">
        <v>60</v>
      </c>
      <c r="G712" s="2" t="s">
        <v>25</v>
      </c>
      <c r="H712" s="13">
        <v>7</v>
      </c>
      <c r="I712" s="14">
        <f t="shared" ca="1" si="3"/>
        <v>9.197731575896384E-2</v>
      </c>
    </row>
    <row r="713" spans="1:9" ht="14.25" customHeight="1" x14ac:dyDescent="0.3">
      <c r="A713" s="2" t="s">
        <v>1593</v>
      </c>
      <c r="B713" s="2" t="s">
        <v>1764</v>
      </c>
      <c r="C713" s="12">
        <v>44807</v>
      </c>
      <c r="D713" s="2" t="s">
        <v>1780</v>
      </c>
      <c r="E713" s="2" t="s">
        <v>1781</v>
      </c>
      <c r="F713" s="2">
        <v>72</v>
      </c>
      <c r="G713" s="2" t="s">
        <v>23</v>
      </c>
      <c r="H713" s="13">
        <v>6</v>
      </c>
      <c r="I713" s="14">
        <f t="shared" ca="1" si="3"/>
        <v>0.4387599081261977</v>
      </c>
    </row>
    <row r="714" spans="1:9" ht="14.25" customHeight="1" x14ac:dyDescent="0.3">
      <c r="A714" s="2" t="s">
        <v>1595</v>
      </c>
      <c r="B714" s="2" t="s">
        <v>1766</v>
      </c>
      <c r="C714" s="12">
        <v>44799</v>
      </c>
      <c r="D714" s="2" t="s">
        <v>1782</v>
      </c>
      <c r="E714" s="2" t="s">
        <v>1781</v>
      </c>
      <c r="F714" s="2">
        <v>65</v>
      </c>
      <c r="G714" s="2" t="s">
        <v>24</v>
      </c>
      <c r="H714" s="13">
        <v>11</v>
      </c>
      <c r="I714" s="14">
        <f t="shared" ca="1" si="3"/>
        <v>0.25002686551402797</v>
      </c>
    </row>
    <row r="715" spans="1:9" ht="14.25" customHeight="1" x14ac:dyDescent="0.3">
      <c r="A715" s="2" t="s">
        <v>1597</v>
      </c>
      <c r="B715" s="2" t="s">
        <v>1768</v>
      </c>
      <c r="C715" s="12">
        <v>44759</v>
      </c>
      <c r="D715" s="2" t="s">
        <v>1784</v>
      </c>
      <c r="E715" s="2" t="s">
        <v>1783</v>
      </c>
      <c r="F715" s="2">
        <v>250</v>
      </c>
      <c r="G715" s="2" t="s">
        <v>25</v>
      </c>
      <c r="H715" s="13">
        <v>1</v>
      </c>
      <c r="I715" s="14">
        <f t="shared" ca="1" si="3"/>
        <v>0.52575775118760704</v>
      </c>
    </row>
    <row r="716" spans="1:9" ht="14.25" customHeight="1" x14ac:dyDescent="0.3">
      <c r="A716" s="2" t="s">
        <v>1599</v>
      </c>
      <c r="B716" s="2" t="s">
        <v>1770</v>
      </c>
      <c r="C716" s="12">
        <v>44763</v>
      </c>
      <c r="D716" s="2" t="s">
        <v>1785</v>
      </c>
      <c r="E716" s="2" t="s">
        <v>1781</v>
      </c>
      <c r="F716" s="2">
        <v>130</v>
      </c>
      <c r="G716" s="2" t="s">
        <v>23</v>
      </c>
      <c r="H716" s="13">
        <v>2</v>
      </c>
      <c r="I716" s="14">
        <f t="shared" ca="1" si="3"/>
        <v>0.17987152561456843</v>
      </c>
    </row>
    <row r="717" spans="1:9" ht="14.25" customHeight="1" x14ac:dyDescent="0.3">
      <c r="A717" s="2" t="s">
        <v>1601</v>
      </c>
      <c r="B717" s="2" t="s">
        <v>1764</v>
      </c>
      <c r="C717" s="12">
        <v>44776</v>
      </c>
      <c r="D717" s="2" t="s">
        <v>1780</v>
      </c>
      <c r="E717" s="2" t="s">
        <v>1781</v>
      </c>
      <c r="F717" s="2">
        <v>72</v>
      </c>
      <c r="G717" s="2" t="s">
        <v>24</v>
      </c>
      <c r="H717" s="13">
        <v>12</v>
      </c>
      <c r="I717" s="14">
        <f t="shared" ca="1" si="3"/>
        <v>0.70152508402436942</v>
      </c>
    </row>
    <row r="718" spans="1:9" ht="14.25" customHeight="1" x14ac:dyDescent="0.3">
      <c r="A718" s="2" t="s">
        <v>1603</v>
      </c>
      <c r="B718" s="2" t="s">
        <v>1766</v>
      </c>
      <c r="C718" s="12">
        <v>44763</v>
      </c>
      <c r="D718" s="2" t="s">
        <v>1782</v>
      </c>
      <c r="E718" s="2" t="s">
        <v>1781</v>
      </c>
      <c r="F718" s="2">
        <v>65</v>
      </c>
      <c r="G718" s="2" t="s">
        <v>25</v>
      </c>
      <c r="H718" s="13">
        <v>9</v>
      </c>
      <c r="I718" s="14">
        <f t="shared" ca="1" si="3"/>
        <v>0.86464821049170393</v>
      </c>
    </row>
    <row r="719" spans="1:9" ht="14.25" customHeight="1" x14ac:dyDescent="0.3">
      <c r="A719" s="2" t="s">
        <v>1605</v>
      </c>
      <c r="B719" s="2" t="s">
        <v>1768</v>
      </c>
      <c r="C719" s="12">
        <v>44803</v>
      </c>
      <c r="D719" s="2" t="s">
        <v>1784</v>
      </c>
      <c r="E719" s="2" t="s">
        <v>1781</v>
      </c>
      <c r="F719" s="2">
        <v>250</v>
      </c>
      <c r="G719" s="2" t="s">
        <v>23</v>
      </c>
      <c r="H719" s="13">
        <v>2</v>
      </c>
      <c r="I719" s="14">
        <f t="shared" ca="1" si="3"/>
        <v>0.2096976172189986</v>
      </c>
    </row>
    <row r="720" spans="1:9" ht="14.25" customHeight="1" x14ac:dyDescent="0.3">
      <c r="A720" s="2" t="s">
        <v>1607</v>
      </c>
      <c r="B720" s="2" t="s">
        <v>1770</v>
      </c>
      <c r="C720" s="12">
        <v>44806</v>
      </c>
      <c r="D720" s="2" t="s">
        <v>1785</v>
      </c>
      <c r="E720" s="2" t="s">
        <v>1781</v>
      </c>
      <c r="F720" s="2">
        <v>130</v>
      </c>
      <c r="G720" s="2" t="s">
        <v>24</v>
      </c>
      <c r="H720" s="13">
        <v>2</v>
      </c>
      <c r="I720" s="14">
        <f t="shared" ca="1" si="3"/>
        <v>0.37620178926858039</v>
      </c>
    </row>
    <row r="721" spans="1:9" ht="14.25" customHeight="1" x14ac:dyDescent="0.3">
      <c r="A721" s="2" t="s">
        <v>1609</v>
      </c>
      <c r="B721" s="2" t="s">
        <v>1772</v>
      </c>
      <c r="C721" s="12">
        <v>44774</v>
      </c>
      <c r="D721" s="2" t="s">
        <v>1786</v>
      </c>
      <c r="E721" s="2" t="s">
        <v>1783</v>
      </c>
      <c r="F721" s="2">
        <v>60</v>
      </c>
      <c r="G721" s="2" t="s">
        <v>25</v>
      </c>
      <c r="H721" s="13">
        <v>12</v>
      </c>
      <c r="I721" s="14">
        <f t="shared" ca="1" si="3"/>
        <v>0.57777139174055558</v>
      </c>
    </row>
    <row r="722" spans="1:9" ht="14.25" customHeight="1" x14ac:dyDescent="0.3">
      <c r="A722" s="2" t="s">
        <v>1611</v>
      </c>
      <c r="B722" s="2" t="s">
        <v>1773</v>
      </c>
      <c r="C722" s="12">
        <v>44769</v>
      </c>
      <c r="D722" s="2" t="s">
        <v>1787</v>
      </c>
      <c r="E722" s="2" t="s">
        <v>1781</v>
      </c>
      <c r="F722" s="2">
        <v>95</v>
      </c>
      <c r="G722" s="2" t="s">
        <v>23</v>
      </c>
      <c r="H722" s="13">
        <v>5</v>
      </c>
      <c r="I722" s="14">
        <f t="shared" ca="1" si="3"/>
        <v>0.46506346388865538</v>
      </c>
    </row>
    <row r="723" spans="1:9" ht="14.25" customHeight="1" x14ac:dyDescent="0.3">
      <c r="A723" s="2" t="s">
        <v>1613</v>
      </c>
      <c r="B723" s="2" t="s">
        <v>1764</v>
      </c>
      <c r="C723" s="12">
        <v>44793</v>
      </c>
      <c r="D723" s="2" t="s">
        <v>1780</v>
      </c>
      <c r="E723" s="2" t="s">
        <v>1781</v>
      </c>
      <c r="F723" s="2">
        <v>72</v>
      </c>
      <c r="G723" s="2" t="s">
        <v>24</v>
      </c>
      <c r="H723" s="13">
        <v>8</v>
      </c>
      <c r="I723" s="14">
        <f t="shared" ca="1" si="3"/>
        <v>0.32320447411503983</v>
      </c>
    </row>
    <row r="724" spans="1:9" ht="14.25" customHeight="1" x14ac:dyDescent="0.3">
      <c r="A724" s="2" t="s">
        <v>1615</v>
      </c>
      <c r="B724" s="2" t="s">
        <v>1766</v>
      </c>
      <c r="C724" s="12">
        <v>44768</v>
      </c>
      <c r="D724" s="2" t="s">
        <v>1782</v>
      </c>
      <c r="E724" s="2" t="s">
        <v>1781</v>
      </c>
      <c r="F724" s="2">
        <v>65</v>
      </c>
      <c r="G724" s="2" t="s">
        <v>25</v>
      </c>
      <c r="H724" s="13">
        <v>4</v>
      </c>
      <c r="I724" s="14">
        <f t="shared" ca="1" si="3"/>
        <v>0.44653407264205158</v>
      </c>
    </row>
    <row r="725" spans="1:9" ht="14.25" customHeight="1" x14ac:dyDescent="0.3">
      <c r="A725" s="2" t="s">
        <v>1617</v>
      </c>
      <c r="B725" s="2" t="s">
        <v>1768</v>
      </c>
      <c r="C725" s="12">
        <v>44803</v>
      </c>
      <c r="D725" s="2" t="s">
        <v>1784</v>
      </c>
      <c r="E725" s="2" t="s">
        <v>1783</v>
      </c>
      <c r="F725" s="2">
        <v>250</v>
      </c>
      <c r="G725" s="2" t="s">
        <v>23</v>
      </c>
      <c r="H725" s="13">
        <v>2</v>
      </c>
      <c r="I725" s="14">
        <f t="shared" ca="1" si="3"/>
        <v>0.24376446287212272</v>
      </c>
    </row>
    <row r="726" spans="1:9" ht="14.25" customHeight="1" x14ac:dyDescent="0.3">
      <c r="A726" s="2" t="s">
        <v>1619</v>
      </c>
      <c r="B726" s="2" t="s">
        <v>1770</v>
      </c>
      <c r="C726" s="12">
        <v>44755</v>
      </c>
      <c r="D726" s="2" t="s">
        <v>1785</v>
      </c>
      <c r="E726" s="2" t="s">
        <v>1783</v>
      </c>
      <c r="F726" s="2">
        <v>130</v>
      </c>
      <c r="G726" s="2" t="s">
        <v>24</v>
      </c>
      <c r="H726" s="13">
        <v>4</v>
      </c>
      <c r="I726" s="14">
        <f t="shared" ca="1" si="3"/>
        <v>3.253288228322726E-2</v>
      </c>
    </row>
    <row r="727" spans="1:9" ht="14.25" customHeight="1" x14ac:dyDescent="0.3">
      <c r="A727" s="2" t="s">
        <v>1621</v>
      </c>
      <c r="B727" s="2" t="s">
        <v>1764</v>
      </c>
      <c r="C727" s="12">
        <v>44789</v>
      </c>
      <c r="D727" s="2" t="s">
        <v>1780</v>
      </c>
      <c r="E727" s="2" t="s">
        <v>1783</v>
      </c>
      <c r="F727" s="2">
        <v>72</v>
      </c>
      <c r="G727" s="2" t="s">
        <v>25</v>
      </c>
      <c r="H727" s="13">
        <v>5</v>
      </c>
      <c r="I727" s="14">
        <f t="shared" ca="1" si="3"/>
        <v>0.20776649351520149</v>
      </c>
    </row>
    <row r="728" spans="1:9" ht="14.25" customHeight="1" x14ac:dyDescent="0.3">
      <c r="A728" s="2" t="s">
        <v>1623</v>
      </c>
      <c r="B728" s="2" t="s">
        <v>1766</v>
      </c>
      <c r="C728" s="12">
        <v>44785</v>
      </c>
      <c r="D728" s="2" t="s">
        <v>1782</v>
      </c>
      <c r="E728" s="2" t="s">
        <v>1783</v>
      </c>
      <c r="F728" s="2">
        <v>65</v>
      </c>
      <c r="G728" s="2" t="s">
        <v>23</v>
      </c>
      <c r="H728" s="13">
        <v>10</v>
      </c>
      <c r="I728" s="14">
        <f t="shared" ca="1" si="3"/>
        <v>0.32716421055475642</v>
      </c>
    </row>
    <row r="729" spans="1:9" ht="14.25" customHeight="1" x14ac:dyDescent="0.3">
      <c r="A729" s="2" t="s">
        <v>1625</v>
      </c>
      <c r="B729" s="2" t="s">
        <v>1768</v>
      </c>
      <c r="C729" s="12">
        <v>44775</v>
      </c>
      <c r="D729" s="2" t="s">
        <v>1784</v>
      </c>
      <c r="E729" s="2" t="s">
        <v>1783</v>
      </c>
      <c r="F729" s="2">
        <v>250</v>
      </c>
      <c r="G729" s="2" t="s">
        <v>24</v>
      </c>
      <c r="H729" s="13">
        <v>2</v>
      </c>
      <c r="I729" s="14">
        <f t="shared" ca="1" si="3"/>
        <v>0.41587321316564785</v>
      </c>
    </row>
    <row r="730" spans="1:9" ht="14.25" customHeight="1" x14ac:dyDescent="0.3">
      <c r="A730" s="2" t="s">
        <v>1627</v>
      </c>
      <c r="B730" s="2" t="s">
        <v>1770</v>
      </c>
      <c r="C730" s="12">
        <v>44807</v>
      </c>
      <c r="D730" s="2" t="s">
        <v>1785</v>
      </c>
      <c r="E730" s="2" t="s">
        <v>1783</v>
      </c>
      <c r="F730" s="2">
        <v>130</v>
      </c>
      <c r="G730" s="2" t="s">
        <v>25</v>
      </c>
      <c r="H730" s="13">
        <v>3</v>
      </c>
      <c r="I730" s="14">
        <f t="shared" ca="1" si="3"/>
        <v>0.36085800979013505</v>
      </c>
    </row>
    <row r="731" spans="1:9" ht="14.25" customHeight="1" x14ac:dyDescent="0.3">
      <c r="A731" s="2" t="s">
        <v>1629</v>
      </c>
      <c r="B731" s="2" t="s">
        <v>1764</v>
      </c>
      <c r="C731" s="12">
        <v>44765</v>
      </c>
      <c r="D731" s="2" t="s">
        <v>1780</v>
      </c>
      <c r="E731" s="2" t="s">
        <v>1783</v>
      </c>
      <c r="F731" s="2">
        <v>72</v>
      </c>
      <c r="G731" s="2" t="s">
        <v>25</v>
      </c>
      <c r="H731" s="13">
        <v>9</v>
      </c>
      <c r="I731" s="14">
        <f t="shared" ca="1" si="3"/>
        <v>0.91743383308817628</v>
      </c>
    </row>
    <row r="732" spans="1:9" ht="14.25" customHeight="1" x14ac:dyDescent="0.3">
      <c r="A732" s="2" t="s">
        <v>1631</v>
      </c>
      <c r="B732" s="2" t="s">
        <v>1766</v>
      </c>
      <c r="C732" s="12">
        <v>44791</v>
      </c>
      <c r="D732" s="2" t="s">
        <v>1782</v>
      </c>
      <c r="E732" s="2" t="s">
        <v>1781</v>
      </c>
      <c r="F732" s="2">
        <v>65</v>
      </c>
      <c r="G732" s="2" t="s">
        <v>23</v>
      </c>
      <c r="H732" s="13">
        <v>11</v>
      </c>
      <c r="I732" s="14">
        <f t="shared" ca="1" si="3"/>
        <v>0.31912113838265599</v>
      </c>
    </row>
    <row r="733" spans="1:9" ht="14.25" customHeight="1" x14ac:dyDescent="0.3">
      <c r="A733" s="2" t="s">
        <v>1633</v>
      </c>
      <c r="B733" s="2" t="s">
        <v>1768</v>
      </c>
      <c r="C733" s="12">
        <v>44777</v>
      </c>
      <c r="D733" s="2" t="s">
        <v>1784</v>
      </c>
      <c r="E733" s="2" t="s">
        <v>1781</v>
      </c>
      <c r="F733" s="2">
        <v>250</v>
      </c>
      <c r="G733" s="2" t="s">
        <v>24</v>
      </c>
      <c r="H733" s="13">
        <v>1</v>
      </c>
      <c r="I733" s="14">
        <f t="shared" ca="1" si="3"/>
        <v>0.7414529914208573</v>
      </c>
    </row>
    <row r="734" spans="1:9" ht="14.25" customHeight="1" x14ac:dyDescent="0.3">
      <c r="A734" s="2" t="s">
        <v>1635</v>
      </c>
      <c r="B734" s="2" t="s">
        <v>1770</v>
      </c>
      <c r="C734" s="12">
        <v>44806</v>
      </c>
      <c r="D734" s="2" t="s">
        <v>1785</v>
      </c>
      <c r="E734" s="2" t="s">
        <v>1781</v>
      </c>
      <c r="F734" s="2">
        <v>130</v>
      </c>
      <c r="G734" s="2" t="s">
        <v>25</v>
      </c>
      <c r="H734" s="13">
        <v>5</v>
      </c>
      <c r="I734" s="14">
        <f t="shared" ca="1" si="3"/>
        <v>0.84680872545959074</v>
      </c>
    </row>
    <row r="735" spans="1:9" ht="14.25" customHeight="1" x14ac:dyDescent="0.3">
      <c r="A735" s="2" t="s">
        <v>1637</v>
      </c>
      <c r="B735" s="2" t="s">
        <v>1764</v>
      </c>
      <c r="C735" s="12">
        <v>44796</v>
      </c>
      <c r="D735" s="2" t="s">
        <v>1780</v>
      </c>
      <c r="E735" s="2" t="s">
        <v>1783</v>
      </c>
      <c r="F735" s="2">
        <v>72</v>
      </c>
      <c r="G735" s="2" t="s">
        <v>23</v>
      </c>
      <c r="H735" s="13">
        <v>11</v>
      </c>
      <c r="I735" s="14">
        <f t="shared" ca="1" si="3"/>
        <v>4.2306891534773849E-2</v>
      </c>
    </row>
    <row r="736" spans="1:9" ht="14.25" customHeight="1" x14ac:dyDescent="0.3">
      <c r="A736" s="2" t="s">
        <v>1639</v>
      </c>
      <c r="B736" s="2" t="s">
        <v>1766</v>
      </c>
      <c r="C736" s="12">
        <v>44760</v>
      </c>
      <c r="D736" s="2" t="s">
        <v>1782</v>
      </c>
      <c r="E736" s="2" t="s">
        <v>1783</v>
      </c>
      <c r="F736" s="2">
        <v>65</v>
      </c>
      <c r="G736" s="2" t="s">
        <v>24</v>
      </c>
      <c r="H736" s="13">
        <v>10</v>
      </c>
      <c r="I736" s="14">
        <f t="shared" ca="1" si="3"/>
        <v>0.63616833621071445</v>
      </c>
    </row>
    <row r="737" spans="1:9" ht="14.25" customHeight="1" x14ac:dyDescent="0.3">
      <c r="A737" s="2" t="s">
        <v>1641</v>
      </c>
      <c r="B737" s="2" t="s">
        <v>1768</v>
      </c>
      <c r="C737" s="12">
        <v>44759</v>
      </c>
      <c r="D737" s="2" t="s">
        <v>1784</v>
      </c>
      <c r="E737" s="2" t="s">
        <v>1783</v>
      </c>
      <c r="F737" s="2">
        <v>250</v>
      </c>
      <c r="G737" s="2" t="s">
        <v>25</v>
      </c>
      <c r="H737" s="13">
        <v>2</v>
      </c>
      <c r="I737" s="14">
        <f t="shared" ca="1" si="3"/>
        <v>0.86681145296985518</v>
      </c>
    </row>
    <row r="738" spans="1:9" ht="14.25" customHeight="1" x14ac:dyDescent="0.3">
      <c r="A738" s="2" t="s">
        <v>1643</v>
      </c>
      <c r="B738" s="2" t="s">
        <v>1770</v>
      </c>
      <c r="C738" s="12">
        <v>44795</v>
      </c>
      <c r="D738" s="2" t="s">
        <v>1785</v>
      </c>
      <c r="E738" s="2" t="s">
        <v>1783</v>
      </c>
      <c r="F738" s="2">
        <v>130</v>
      </c>
      <c r="G738" s="2" t="s">
        <v>23</v>
      </c>
      <c r="H738" s="13">
        <v>4</v>
      </c>
      <c r="I738" s="14">
        <f t="shared" ca="1" si="3"/>
        <v>0.36289736728444411</v>
      </c>
    </row>
    <row r="739" spans="1:9" ht="14.25" customHeight="1" x14ac:dyDescent="0.3">
      <c r="A739" s="2" t="s">
        <v>1645</v>
      </c>
      <c r="B739" s="2" t="s">
        <v>1772</v>
      </c>
      <c r="C739" s="12">
        <v>44808</v>
      </c>
      <c r="D739" s="2" t="s">
        <v>1786</v>
      </c>
      <c r="E739" s="2" t="s">
        <v>1783</v>
      </c>
      <c r="F739" s="2">
        <v>60</v>
      </c>
      <c r="G739" s="2" t="s">
        <v>24</v>
      </c>
      <c r="H739" s="13">
        <v>4</v>
      </c>
      <c r="I739" s="14">
        <f t="shared" ca="1" si="3"/>
        <v>1.9856442429623478E-2</v>
      </c>
    </row>
    <row r="740" spans="1:9" ht="14.25" customHeight="1" x14ac:dyDescent="0.3">
      <c r="A740" s="2" t="s">
        <v>1647</v>
      </c>
      <c r="B740" s="2" t="s">
        <v>1764</v>
      </c>
      <c r="C740" s="12">
        <v>44756</v>
      </c>
      <c r="D740" s="2" t="s">
        <v>1780</v>
      </c>
      <c r="E740" s="2" t="s">
        <v>1783</v>
      </c>
      <c r="F740" s="2">
        <v>72</v>
      </c>
      <c r="G740" s="2" t="s">
        <v>25</v>
      </c>
      <c r="H740" s="13">
        <v>12</v>
      </c>
      <c r="I740" s="14">
        <f t="shared" ca="1" si="3"/>
        <v>0.31554003548302445</v>
      </c>
    </row>
    <row r="741" spans="1:9" ht="14.25" customHeight="1" x14ac:dyDescent="0.3">
      <c r="A741" s="2" t="s">
        <v>1649</v>
      </c>
      <c r="B741" s="2" t="s">
        <v>1766</v>
      </c>
      <c r="C741" s="12">
        <v>44801</v>
      </c>
      <c r="D741" s="2" t="s">
        <v>1782</v>
      </c>
      <c r="E741" s="2" t="s">
        <v>1783</v>
      </c>
      <c r="F741" s="2">
        <v>65</v>
      </c>
      <c r="G741" s="2" t="s">
        <v>23</v>
      </c>
      <c r="H741" s="13">
        <v>5</v>
      </c>
      <c r="I741" s="14">
        <f t="shared" ca="1" si="3"/>
        <v>0.27205035572973335</v>
      </c>
    </row>
    <row r="742" spans="1:9" ht="14.25" customHeight="1" x14ac:dyDescent="0.3">
      <c r="A742" s="2" t="s">
        <v>1651</v>
      </c>
      <c r="B742" s="2" t="s">
        <v>1768</v>
      </c>
      <c r="C742" s="12">
        <v>44806</v>
      </c>
      <c r="D742" s="2" t="s">
        <v>1784</v>
      </c>
      <c r="E742" s="2" t="s">
        <v>1781</v>
      </c>
      <c r="F742" s="2">
        <v>250</v>
      </c>
      <c r="G742" s="2" t="s">
        <v>24</v>
      </c>
      <c r="H742" s="13">
        <v>3</v>
      </c>
      <c r="I742" s="14">
        <f t="shared" ca="1" si="3"/>
        <v>8.0270182121842892E-2</v>
      </c>
    </row>
    <row r="743" spans="1:9" ht="14.25" customHeight="1" x14ac:dyDescent="0.3">
      <c r="A743" s="2" t="s">
        <v>1653</v>
      </c>
      <c r="B743" s="2" t="s">
        <v>1770</v>
      </c>
      <c r="C743" s="12">
        <v>44794</v>
      </c>
      <c r="D743" s="2" t="s">
        <v>1785</v>
      </c>
      <c r="E743" s="2" t="s">
        <v>1781</v>
      </c>
      <c r="F743" s="2">
        <v>130</v>
      </c>
      <c r="G743" s="2" t="s">
        <v>25</v>
      </c>
      <c r="H743" s="13">
        <v>2</v>
      </c>
      <c r="I743" s="14">
        <f t="shared" ca="1" si="3"/>
        <v>0.55705605699819727</v>
      </c>
    </row>
    <row r="744" spans="1:9" ht="14.25" customHeight="1" x14ac:dyDescent="0.3">
      <c r="A744" s="2" t="s">
        <v>1655</v>
      </c>
      <c r="B744" s="2" t="s">
        <v>1764</v>
      </c>
      <c r="C744" s="12">
        <v>44800</v>
      </c>
      <c r="D744" s="2" t="s">
        <v>1780</v>
      </c>
      <c r="E744" s="2" t="s">
        <v>1781</v>
      </c>
      <c r="F744" s="2">
        <v>72</v>
      </c>
      <c r="G744" s="2" t="s">
        <v>23</v>
      </c>
      <c r="H744" s="13">
        <v>7</v>
      </c>
      <c r="I744" s="14">
        <f t="shared" ca="1" si="3"/>
        <v>0.29487367852690227</v>
      </c>
    </row>
    <row r="745" spans="1:9" ht="14.25" customHeight="1" x14ac:dyDescent="0.3">
      <c r="A745" s="2" t="s">
        <v>1657</v>
      </c>
      <c r="B745" s="2" t="s">
        <v>1766</v>
      </c>
      <c r="C745" s="12">
        <v>44789</v>
      </c>
      <c r="D745" s="2" t="s">
        <v>1782</v>
      </c>
      <c r="E745" s="2" t="s">
        <v>1783</v>
      </c>
      <c r="F745" s="2">
        <v>65</v>
      </c>
      <c r="G745" s="2" t="s">
        <v>24</v>
      </c>
      <c r="H745" s="13">
        <v>12</v>
      </c>
      <c r="I745" s="14">
        <f t="shared" ca="1" si="3"/>
        <v>0.2874556352778127</v>
      </c>
    </row>
    <row r="746" spans="1:9" ht="14.25" customHeight="1" x14ac:dyDescent="0.3">
      <c r="A746" s="2" t="s">
        <v>1659</v>
      </c>
      <c r="B746" s="2" t="s">
        <v>1768</v>
      </c>
      <c r="C746" s="12">
        <v>44802</v>
      </c>
      <c r="D746" s="2" t="s">
        <v>1784</v>
      </c>
      <c r="E746" s="2" t="s">
        <v>1783</v>
      </c>
      <c r="F746" s="2">
        <v>250</v>
      </c>
      <c r="G746" s="2" t="s">
        <v>25</v>
      </c>
      <c r="H746" s="13">
        <v>3</v>
      </c>
      <c r="I746" s="14">
        <f t="shared" ca="1" si="3"/>
        <v>0.31155201061784188</v>
      </c>
    </row>
    <row r="747" spans="1:9" ht="14.25" customHeight="1" x14ac:dyDescent="0.3">
      <c r="A747" s="2" t="s">
        <v>1661</v>
      </c>
      <c r="B747" s="2" t="s">
        <v>1770</v>
      </c>
      <c r="C747" s="12">
        <v>44793</v>
      </c>
      <c r="D747" s="2" t="s">
        <v>1785</v>
      </c>
      <c r="E747" s="2" t="s">
        <v>1783</v>
      </c>
      <c r="F747" s="2">
        <v>130</v>
      </c>
      <c r="G747" s="2" t="s">
        <v>23</v>
      </c>
      <c r="H747" s="13">
        <v>4</v>
      </c>
      <c r="I747" s="14">
        <f t="shared" ca="1" si="3"/>
        <v>0.97157975152433085</v>
      </c>
    </row>
    <row r="748" spans="1:9" ht="14.25" customHeight="1" x14ac:dyDescent="0.3">
      <c r="A748" s="2" t="s">
        <v>1663</v>
      </c>
      <c r="B748" s="2" t="s">
        <v>1772</v>
      </c>
      <c r="C748" s="12">
        <v>44793</v>
      </c>
      <c r="D748" s="2" t="s">
        <v>1786</v>
      </c>
      <c r="E748" s="2" t="s">
        <v>1783</v>
      </c>
      <c r="F748" s="2">
        <v>60</v>
      </c>
      <c r="G748" s="2" t="s">
        <v>24</v>
      </c>
      <c r="H748" s="13">
        <v>8</v>
      </c>
      <c r="I748" s="14">
        <f t="shared" ca="1" si="3"/>
        <v>0.15637601457978334</v>
      </c>
    </row>
    <row r="749" spans="1:9" ht="14.25" customHeight="1" x14ac:dyDescent="0.3">
      <c r="A749" s="2" t="s">
        <v>1665</v>
      </c>
      <c r="B749" s="2" t="s">
        <v>1773</v>
      </c>
      <c r="C749" s="12">
        <v>44785</v>
      </c>
      <c r="D749" s="2" t="s">
        <v>1787</v>
      </c>
      <c r="E749" s="2" t="s">
        <v>1783</v>
      </c>
      <c r="F749" s="2">
        <v>95</v>
      </c>
      <c r="G749" s="2" t="s">
        <v>25</v>
      </c>
      <c r="H749" s="13">
        <v>3</v>
      </c>
      <c r="I749" s="14">
        <f t="shared" ca="1" si="3"/>
        <v>7.1320754923675955E-2</v>
      </c>
    </row>
    <row r="750" spans="1:9" ht="14.25" customHeight="1" x14ac:dyDescent="0.3">
      <c r="A750" s="2" t="s">
        <v>1667</v>
      </c>
      <c r="B750" s="2" t="s">
        <v>1764</v>
      </c>
      <c r="C750" s="12">
        <v>44778</v>
      </c>
      <c r="D750" s="2" t="s">
        <v>1780</v>
      </c>
      <c r="E750" s="2" t="s">
        <v>1783</v>
      </c>
      <c r="F750" s="2">
        <v>72</v>
      </c>
      <c r="G750" s="2" t="s">
        <v>23</v>
      </c>
      <c r="H750" s="13">
        <v>8</v>
      </c>
      <c r="I750" s="14">
        <f t="shared" ca="1" si="3"/>
        <v>0.93879241800512592</v>
      </c>
    </row>
    <row r="751" spans="1:9" ht="14.25" customHeight="1" x14ac:dyDescent="0.3">
      <c r="A751" s="2" t="s">
        <v>1669</v>
      </c>
      <c r="B751" s="2" t="s">
        <v>1766</v>
      </c>
      <c r="C751" s="12">
        <v>44764</v>
      </c>
      <c r="D751" s="2" t="s">
        <v>1782</v>
      </c>
      <c r="E751" s="2" t="s">
        <v>1783</v>
      </c>
      <c r="F751" s="2">
        <v>65</v>
      </c>
      <c r="G751" s="2" t="s">
        <v>24</v>
      </c>
      <c r="H751" s="13">
        <v>12</v>
      </c>
      <c r="I751" s="14">
        <f t="shared" ca="1" si="3"/>
        <v>0.83366250515235385</v>
      </c>
    </row>
    <row r="752" spans="1:9" ht="14.25" customHeight="1" x14ac:dyDescent="0.3">
      <c r="A752" s="2" t="s">
        <v>1671</v>
      </c>
      <c r="B752" s="2" t="s">
        <v>1768</v>
      </c>
      <c r="C752" s="12">
        <v>44769</v>
      </c>
      <c r="D752" s="2" t="s">
        <v>1784</v>
      </c>
      <c r="E752" s="2" t="s">
        <v>1781</v>
      </c>
      <c r="F752" s="2">
        <v>250</v>
      </c>
      <c r="G752" s="2" t="s">
        <v>25</v>
      </c>
      <c r="H752" s="13">
        <v>3</v>
      </c>
      <c r="I752" s="14">
        <f t="shared" ca="1" si="3"/>
        <v>0.87229471118011026</v>
      </c>
    </row>
    <row r="753" spans="1:9" ht="14.25" customHeight="1" x14ac:dyDescent="0.3">
      <c r="A753" s="2" t="s">
        <v>1673</v>
      </c>
      <c r="B753" s="2" t="s">
        <v>1770</v>
      </c>
      <c r="C753" s="12">
        <v>44794</v>
      </c>
      <c r="D753" s="2" t="s">
        <v>1785</v>
      </c>
      <c r="E753" s="2" t="s">
        <v>1781</v>
      </c>
      <c r="F753" s="2">
        <v>130</v>
      </c>
      <c r="G753" s="2" t="s">
        <v>23</v>
      </c>
      <c r="H753" s="13">
        <v>4</v>
      </c>
      <c r="I753" s="14">
        <f t="shared" ca="1" si="3"/>
        <v>0.33684128311572781</v>
      </c>
    </row>
    <row r="754" spans="1:9" ht="14.25" customHeight="1" x14ac:dyDescent="0.3">
      <c r="A754" s="2" t="s">
        <v>1675</v>
      </c>
      <c r="B754" s="2" t="s">
        <v>1764</v>
      </c>
      <c r="C754" s="12">
        <v>44766</v>
      </c>
      <c r="D754" s="2" t="s">
        <v>1780</v>
      </c>
      <c r="E754" s="2" t="s">
        <v>1781</v>
      </c>
      <c r="F754" s="2">
        <v>72</v>
      </c>
      <c r="G754" s="2" t="s">
        <v>24</v>
      </c>
      <c r="H754" s="13">
        <v>11</v>
      </c>
      <c r="I754" s="14">
        <f t="shared" ca="1" si="3"/>
        <v>0.86044050537493988</v>
      </c>
    </row>
    <row r="755" spans="1:9" ht="14.25" customHeight="1" x14ac:dyDescent="0.3">
      <c r="A755" s="2" t="s">
        <v>1677</v>
      </c>
      <c r="B755" s="2" t="s">
        <v>1766</v>
      </c>
      <c r="C755" s="12">
        <v>44772</v>
      </c>
      <c r="D755" s="2" t="s">
        <v>1782</v>
      </c>
      <c r="E755" s="2" t="s">
        <v>1783</v>
      </c>
      <c r="F755" s="2">
        <v>65</v>
      </c>
      <c r="G755" s="2" t="s">
        <v>25</v>
      </c>
      <c r="H755" s="13">
        <v>9</v>
      </c>
      <c r="I755" s="14">
        <f t="shared" ca="1" si="3"/>
        <v>0.22732283668396469</v>
      </c>
    </row>
    <row r="756" spans="1:9" ht="14.25" customHeight="1" x14ac:dyDescent="0.3">
      <c r="A756" s="2" t="s">
        <v>1679</v>
      </c>
      <c r="B756" s="2" t="s">
        <v>1768</v>
      </c>
      <c r="C756" s="12">
        <v>44787</v>
      </c>
      <c r="D756" s="2" t="s">
        <v>1784</v>
      </c>
      <c r="E756" s="2" t="s">
        <v>1783</v>
      </c>
      <c r="F756" s="2">
        <v>250</v>
      </c>
      <c r="G756" s="2" t="s">
        <v>23</v>
      </c>
      <c r="H756" s="13">
        <v>3</v>
      </c>
      <c r="I756" s="14">
        <f t="shared" ca="1" si="3"/>
        <v>2.1544691792890758E-3</v>
      </c>
    </row>
    <row r="757" spans="1:9" ht="14.25" customHeight="1" x14ac:dyDescent="0.3">
      <c r="A757" s="2" t="s">
        <v>1681</v>
      </c>
      <c r="B757" s="2" t="s">
        <v>1770</v>
      </c>
      <c r="C757" s="12">
        <v>44755</v>
      </c>
      <c r="D757" s="2" t="s">
        <v>1785</v>
      </c>
      <c r="E757" s="2" t="s">
        <v>1783</v>
      </c>
      <c r="F757" s="2">
        <v>130</v>
      </c>
      <c r="G757" s="2" t="s">
        <v>24</v>
      </c>
      <c r="H757" s="13">
        <v>3</v>
      </c>
      <c r="I757" s="14">
        <f t="shared" ref="I757:I795" ca="1" si="4">RAND()</f>
        <v>0.18292987549549644</v>
      </c>
    </row>
    <row r="758" spans="1:9" ht="14.25" customHeight="1" x14ac:dyDescent="0.3">
      <c r="A758" s="2" t="s">
        <v>1683</v>
      </c>
      <c r="B758" s="2" t="s">
        <v>1772</v>
      </c>
      <c r="C758" s="12">
        <v>44785</v>
      </c>
      <c r="D758" s="2" t="s">
        <v>1786</v>
      </c>
      <c r="E758" s="2" t="s">
        <v>1783</v>
      </c>
      <c r="F758" s="2">
        <v>60</v>
      </c>
      <c r="G758" s="2" t="s">
        <v>25</v>
      </c>
      <c r="H758" s="13">
        <v>13</v>
      </c>
      <c r="I758" s="14">
        <f t="shared" ca="1" si="4"/>
        <v>0.50697795396782563</v>
      </c>
    </row>
    <row r="759" spans="1:9" ht="14.25" customHeight="1" x14ac:dyDescent="0.3">
      <c r="A759" s="2" t="s">
        <v>1685</v>
      </c>
      <c r="B759" s="2" t="s">
        <v>1764</v>
      </c>
      <c r="C759" s="12">
        <v>44761</v>
      </c>
      <c r="D759" s="2" t="s">
        <v>1780</v>
      </c>
      <c r="E759" s="2" t="s">
        <v>1783</v>
      </c>
      <c r="F759" s="2">
        <v>72</v>
      </c>
      <c r="G759" s="2" t="s">
        <v>23</v>
      </c>
      <c r="H759" s="13">
        <v>12</v>
      </c>
      <c r="I759" s="14">
        <f t="shared" ca="1" si="4"/>
        <v>0.84336725932583556</v>
      </c>
    </row>
    <row r="760" spans="1:9" ht="14.25" customHeight="1" x14ac:dyDescent="0.3">
      <c r="A760" s="2" t="s">
        <v>1687</v>
      </c>
      <c r="B760" s="2" t="s">
        <v>1766</v>
      </c>
      <c r="C760" s="12">
        <v>44770</v>
      </c>
      <c r="D760" s="2" t="s">
        <v>1782</v>
      </c>
      <c r="E760" s="2" t="s">
        <v>1783</v>
      </c>
      <c r="F760" s="2">
        <v>65</v>
      </c>
      <c r="G760" s="2" t="s">
        <v>24</v>
      </c>
      <c r="H760" s="13">
        <v>5</v>
      </c>
      <c r="I760" s="14">
        <f t="shared" ca="1" si="4"/>
        <v>0.7822394497989974</v>
      </c>
    </row>
    <row r="761" spans="1:9" ht="14.25" customHeight="1" x14ac:dyDescent="0.3">
      <c r="A761" s="2" t="s">
        <v>1689</v>
      </c>
      <c r="B761" s="2" t="s">
        <v>1768</v>
      </c>
      <c r="C761" s="12">
        <v>44769</v>
      </c>
      <c r="D761" s="2" t="s">
        <v>1784</v>
      </c>
      <c r="E761" s="2" t="s">
        <v>1781</v>
      </c>
      <c r="F761" s="2">
        <v>250</v>
      </c>
      <c r="G761" s="2" t="s">
        <v>25</v>
      </c>
      <c r="H761" s="13">
        <v>3</v>
      </c>
      <c r="I761" s="14">
        <f t="shared" ca="1" si="4"/>
        <v>2.0397459931448814E-2</v>
      </c>
    </row>
    <row r="762" spans="1:9" ht="14.25" customHeight="1" x14ac:dyDescent="0.3">
      <c r="A762" s="2" t="s">
        <v>1691</v>
      </c>
      <c r="B762" s="2" t="s">
        <v>1770</v>
      </c>
      <c r="C762" s="12">
        <v>44785</v>
      </c>
      <c r="D762" s="2" t="s">
        <v>1785</v>
      </c>
      <c r="E762" s="2" t="s">
        <v>1783</v>
      </c>
      <c r="F762" s="2">
        <v>130</v>
      </c>
      <c r="G762" s="2" t="s">
        <v>23</v>
      </c>
      <c r="H762" s="13">
        <v>5</v>
      </c>
      <c r="I762" s="14">
        <f t="shared" ca="1" si="4"/>
        <v>2.3427146818113864E-2</v>
      </c>
    </row>
    <row r="763" spans="1:9" ht="14.25" customHeight="1" x14ac:dyDescent="0.3">
      <c r="A763" s="2" t="s">
        <v>1693</v>
      </c>
      <c r="B763" s="2" t="s">
        <v>1764</v>
      </c>
      <c r="C763" s="12">
        <v>44771</v>
      </c>
      <c r="D763" s="2" t="s">
        <v>1780</v>
      </c>
      <c r="E763" s="2" t="s">
        <v>1781</v>
      </c>
      <c r="F763" s="2">
        <v>72</v>
      </c>
      <c r="G763" s="2" t="s">
        <v>24</v>
      </c>
      <c r="H763" s="13">
        <v>8</v>
      </c>
      <c r="I763" s="14">
        <f t="shared" ca="1" si="4"/>
        <v>0.52099529785375376</v>
      </c>
    </row>
    <row r="764" spans="1:9" ht="14.25" customHeight="1" x14ac:dyDescent="0.3">
      <c r="A764" s="2" t="s">
        <v>1695</v>
      </c>
      <c r="B764" s="2" t="s">
        <v>1766</v>
      </c>
      <c r="C764" s="12">
        <v>44776</v>
      </c>
      <c r="D764" s="2" t="s">
        <v>1782</v>
      </c>
      <c r="E764" s="2" t="s">
        <v>1783</v>
      </c>
      <c r="F764" s="2">
        <v>65</v>
      </c>
      <c r="G764" s="2" t="s">
        <v>25</v>
      </c>
      <c r="H764" s="13">
        <v>4</v>
      </c>
      <c r="I764" s="14">
        <f t="shared" ca="1" si="4"/>
        <v>0.42981506358756871</v>
      </c>
    </row>
    <row r="765" spans="1:9" ht="14.25" customHeight="1" x14ac:dyDescent="0.3">
      <c r="A765" s="2" t="s">
        <v>1697</v>
      </c>
      <c r="B765" s="2" t="s">
        <v>1768</v>
      </c>
      <c r="C765" s="12">
        <v>44782</v>
      </c>
      <c r="D765" s="2" t="s">
        <v>1784</v>
      </c>
      <c r="E765" s="2" t="s">
        <v>1781</v>
      </c>
      <c r="F765" s="2">
        <v>250</v>
      </c>
      <c r="G765" s="2" t="s">
        <v>23</v>
      </c>
      <c r="H765" s="13">
        <v>3</v>
      </c>
      <c r="I765" s="14">
        <f t="shared" ca="1" si="4"/>
        <v>0.48591036630732487</v>
      </c>
    </row>
    <row r="766" spans="1:9" ht="14.25" customHeight="1" x14ac:dyDescent="0.3">
      <c r="A766" s="2" t="s">
        <v>1699</v>
      </c>
      <c r="B766" s="2" t="s">
        <v>1770</v>
      </c>
      <c r="C766" s="12">
        <v>44765</v>
      </c>
      <c r="D766" s="2" t="s">
        <v>1785</v>
      </c>
      <c r="E766" s="2" t="s">
        <v>1783</v>
      </c>
      <c r="F766" s="2">
        <v>130</v>
      </c>
      <c r="G766" s="2" t="s">
        <v>24</v>
      </c>
      <c r="H766" s="13">
        <v>7</v>
      </c>
      <c r="I766" s="14">
        <f t="shared" ca="1" si="4"/>
        <v>2.8029854819571209E-2</v>
      </c>
    </row>
    <row r="767" spans="1:9" ht="14.25" customHeight="1" x14ac:dyDescent="0.3">
      <c r="A767" s="2" t="s">
        <v>1701</v>
      </c>
      <c r="B767" s="2" t="s">
        <v>1772</v>
      </c>
      <c r="C767" s="12">
        <v>44778</v>
      </c>
      <c r="D767" s="2" t="s">
        <v>1786</v>
      </c>
      <c r="E767" s="2" t="s">
        <v>1781</v>
      </c>
      <c r="F767" s="2">
        <v>60</v>
      </c>
      <c r="G767" s="2" t="s">
        <v>25</v>
      </c>
      <c r="H767" s="13">
        <v>7</v>
      </c>
      <c r="I767" s="14">
        <f t="shared" ca="1" si="4"/>
        <v>0.74660825154128274</v>
      </c>
    </row>
    <row r="768" spans="1:9" ht="14.25" customHeight="1" x14ac:dyDescent="0.3">
      <c r="A768" s="2" t="s">
        <v>1703</v>
      </c>
      <c r="B768" s="2" t="s">
        <v>1773</v>
      </c>
      <c r="C768" s="12">
        <v>44774</v>
      </c>
      <c r="D768" s="2" t="s">
        <v>1787</v>
      </c>
      <c r="E768" s="2" t="s">
        <v>1783</v>
      </c>
      <c r="F768" s="2">
        <v>95</v>
      </c>
      <c r="G768" s="2" t="s">
        <v>23</v>
      </c>
      <c r="H768" s="13">
        <v>7</v>
      </c>
      <c r="I768" s="14">
        <f t="shared" ca="1" si="4"/>
        <v>0.36338255190342594</v>
      </c>
    </row>
    <row r="769" spans="1:9" ht="14.25" customHeight="1" x14ac:dyDescent="0.3">
      <c r="A769" s="2" t="s">
        <v>1705</v>
      </c>
      <c r="B769" s="2" t="s">
        <v>1764</v>
      </c>
      <c r="C769" s="12">
        <v>44803</v>
      </c>
      <c r="D769" s="2" t="s">
        <v>1780</v>
      </c>
      <c r="E769" s="2" t="s">
        <v>1781</v>
      </c>
      <c r="F769" s="2">
        <v>72</v>
      </c>
      <c r="G769" s="2" t="s">
        <v>24</v>
      </c>
      <c r="H769" s="13">
        <v>5</v>
      </c>
      <c r="I769" s="14">
        <f t="shared" ca="1" si="4"/>
        <v>0.69847854481176563</v>
      </c>
    </row>
    <row r="770" spans="1:9" ht="14.25" customHeight="1" x14ac:dyDescent="0.3">
      <c r="A770" s="2" t="s">
        <v>1707</v>
      </c>
      <c r="B770" s="2" t="s">
        <v>1766</v>
      </c>
      <c r="C770" s="12">
        <v>44782</v>
      </c>
      <c r="D770" s="2" t="s">
        <v>1782</v>
      </c>
      <c r="E770" s="2" t="s">
        <v>1783</v>
      </c>
      <c r="F770" s="2">
        <v>65</v>
      </c>
      <c r="G770" s="2" t="s">
        <v>25</v>
      </c>
      <c r="H770" s="13">
        <v>6</v>
      </c>
      <c r="I770" s="14">
        <f t="shared" ca="1" si="4"/>
        <v>5.6815251948775458E-2</v>
      </c>
    </row>
    <row r="771" spans="1:9" ht="14.25" customHeight="1" x14ac:dyDescent="0.3">
      <c r="A771" s="2" t="s">
        <v>1709</v>
      </c>
      <c r="B771" s="2" t="s">
        <v>1768</v>
      </c>
      <c r="C771" s="12">
        <v>44774</v>
      </c>
      <c r="D771" s="2" t="s">
        <v>1784</v>
      </c>
      <c r="E771" s="2" t="s">
        <v>1781</v>
      </c>
      <c r="F771" s="2">
        <v>250</v>
      </c>
      <c r="G771" s="2" t="s">
        <v>23</v>
      </c>
      <c r="H771" s="13">
        <v>2</v>
      </c>
      <c r="I771" s="14">
        <f t="shared" ca="1" si="4"/>
        <v>4.6015513247553708E-3</v>
      </c>
    </row>
    <row r="772" spans="1:9" ht="14.25" customHeight="1" x14ac:dyDescent="0.3">
      <c r="A772" s="2" t="s">
        <v>1711</v>
      </c>
      <c r="B772" s="2" t="s">
        <v>1770</v>
      </c>
      <c r="C772" s="12">
        <v>44790</v>
      </c>
      <c r="D772" s="2" t="s">
        <v>1785</v>
      </c>
      <c r="E772" s="2" t="s">
        <v>1783</v>
      </c>
      <c r="F772" s="2">
        <v>130</v>
      </c>
      <c r="G772" s="2" t="s">
        <v>24</v>
      </c>
      <c r="H772" s="13">
        <v>2</v>
      </c>
      <c r="I772" s="14">
        <f t="shared" ca="1" si="4"/>
        <v>0.8358735017480724</v>
      </c>
    </row>
    <row r="773" spans="1:9" ht="14.25" customHeight="1" x14ac:dyDescent="0.3">
      <c r="A773" s="2" t="s">
        <v>1713</v>
      </c>
      <c r="B773" s="2" t="s">
        <v>1764</v>
      </c>
      <c r="C773" s="12">
        <v>44790</v>
      </c>
      <c r="D773" s="2" t="s">
        <v>1780</v>
      </c>
      <c r="E773" s="2" t="s">
        <v>1781</v>
      </c>
      <c r="F773" s="2">
        <v>72</v>
      </c>
      <c r="G773" s="2" t="s">
        <v>25</v>
      </c>
      <c r="H773" s="13">
        <v>4</v>
      </c>
      <c r="I773" s="14">
        <f t="shared" ca="1" si="4"/>
        <v>0.85746813194677218</v>
      </c>
    </row>
    <row r="774" spans="1:9" ht="14.25" customHeight="1" x14ac:dyDescent="0.3">
      <c r="A774" s="2" t="s">
        <v>1715</v>
      </c>
      <c r="B774" s="2" t="s">
        <v>1766</v>
      </c>
      <c r="C774" s="12">
        <v>44757</v>
      </c>
      <c r="D774" s="2" t="s">
        <v>1782</v>
      </c>
      <c r="E774" s="2" t="s">
        <v>1783</v>
      </c>
      <c r="F774" s="2">
        <v>65</v>
      </c>
      <c r="G774" s="2" t="s">
        <v>23</v>
      </c>
      <c r="H774" s="13">
        <v>10</v>
      </c>
      <c r="I774" s="14">
        <f t="shared" ca="1" si="4"/>
        <v>0.15765051404974839</v>
      </c>
    </row>
    <row r="775" spans="1:9" ht="14.25" customHeight="1" x14ac:dyDescent="0.3">
      <c r="A775" s="2" t="s">
        <v>1717</v>
      </c>
      <c r="B775" s="2" t="s">
        <v>1768</v>
      </c>
      <c r="C775" s="12">
        <v>44778</v>
      </c>
      <c r="D775" s="2" t="s">
        <v>1784</v>
      </c>
      <c r="E775" s="2" t="s">
        <v>1781</v>
      </c>
      <c r="F775" s="2">
        <v>250</v>
      </c>
      <c r="G775" s="2" t="s">
        <v>24</v>
      </c>
      <c r="H775" s="13">
        <v>1</v>
      </c>
      <c r="I775" s="14">
        <f t="shared" ca="1" si="4"/>
        <v>0.65846788919810784</v>
      </c>
    </row>
    <row r="776" spans="1:9" ht="14.25" customHeight="1" x14ac:dyDescent="0.3">
      <c r="A776" s="2" t="s">
        <v>1719</v>
      </c>
      <c r="B776" s="2" t="s">
        <v>1770</v>
      </c>
      <c r="C776" s="12">
        <v>44795</v>
      </c>
      <c r="D776" s="2" t="s">
        <v>1780</v>
      </c>
      <c r="E776" s="2" t="s">
        <v>1783</v>
      </c>
      <c r="F776" s="2">
        <v>72</v>
      </c>
      <c r="G776" s="2" t="s">
        <v>25</v>
      </c>
      <c r="H776" s="13">
        <v>12</v>
      </c>
      <c r="I776" s="14">
        <f t="shared" ca="1" si="4"/>
        <v>9.5556548967837607E-2</v>
      </c>
    </row>
    <row r="777" spans="1:9" ht="14.25" customHeight="1" x14ac:dyDescent="0.3">
      <c r="A777" s="2" t="s">
        <v>1721</v>
      </c>
      <c r="B777" s="2" t="s">
        <v>1764</v>
      </c>
      <c r="C777" s="12">
        <v>44800</v>
      </c>
      <c r="D777" s="2" t="s">
        <v>1782</v>
      </c>
      <c r="E777" s="2" t="s">
        <v>1781</v>
      </c>
      <c r="F777" s="2">
        <v>65</v>
      </c>
      <c r="G777" s="2" t="s">
        <v>25</v>
      </c>
      <c r="H777" s="13">
        <v>11</v>
      </c>
      <c r="I777" s="14">
        <f t="shared" ca="1" si="4"/>
        <v>0.79267189622447143</v>
      </c>
    </row>
    <row r="778" spans="1:9" ht="14.25" customHeight="1" x14ac:dyDescent="0.3">
      <c r="A778" s="2" t="s">
        <v>1723</v>
      </c>
      <c r="B778" s="2" t="s">
        <v>1766</v>
      </c>
      <c r="C778" s="12">
        <v>44783</v>
      </c>
      <c r="D778" s="2" t="s">
        <v>1784</v>
      </c>
      <c r="E778" s="2" t="s">
        <v>1783</v>
      </c>
      <c r="F778" s="2">
        <v>250</v>
      </c>
      <c r="G778" s="2" t="s">
        <v>23</v>
      </c>
      <c r="H778" s="13">
        <v>2</v>
      </c>
      <c r="I778" s="14">
        <f t="shared" ca="1" si="4"/>
        <v>0.12919158549321064</v>
      </c>
    </row>
    <row r="779" spans="1:9" ht="14.25" customHeight="1" x14ac:dyDescent="0.3">
      <c r="A779" s="2" t="s">
        <v>1725</v>
      </c>
      <c r="B779" s="2" t="s">
        <v>1768</v>
      </c>
      <c r="C779" s="12">
        <v>44770</v>
      </c>
      <c r="D779" s="2" t="s">
        <v>1785</v>
      </c>
      <c r="E779" s="2" t="s">
        <v>1783</v>
      </c>
      <c r="F779" s="2">
        <v>130</v>
      </c>
      <c r="G779" s="2" t="s">
        <v>24</v>
      </c>
      <c r="H779" s="13">
        <v>7</v>
      </c>
      <c r="I779" s="14">
        <f t="shared" ca="1" si="4"/>
        <v>0.71300266954558933</v>
      </c>
    </row>
    <row r="780" spans="1:9" ht="14.25" customHeight="1" x14ac:dyDescent="0.3">
      <c r="A780" s="2" t="s">
        <v>1727</v>
      </c>
      <c r="B780" s="2" t="s">
        <v>1770</v>
      </c>
      <c r="C780" s="12">
        <v>44764</v>
      </c>
      <c r="D780" s="2" t="s">
        <v>1780</v>
      </c>
      <c r="E780" s="2" t="s">
        <v>1783</v>
      </c>
      <c r="F780" s="2">
        <v>72</v>
      </c>
      <c r="G780" s="2" t="s">
        <v>25</v>
      </c>
      <c r="H780" s="13">
        <v>6</v>
      </c>
      <c r="I780" s="14">
        <f t="shared" ca="1" si="4"/>
        <v>0.85293567481988763</v>
      </c>
    </row>
    <row r="781" spans="1:9" ht="14.25" customHeight="1" x14ac:dyDescent="0.3">
      <c r="A781" s="2" t="s">
        <v>1729</v>
      </c>
      <c r="B781" s="2" t="s">
        <v>1764</v>
      </c>
      <c r="C781" s="12">
        <v>44810</v>
      </c>
      <c r="D781" s="2" t="s">
        <v>1782</v>
      </c>
      <c r="E781" s="2" t="s">
        <v>1783</v>
      </c>
      <c r="F781" s="2">
        <v>65</v>
      </c>
      <c r="G781" s="2" t="s">
        <v>23</v>
      </c>
      <c r="H781" s="13">
        <v>4</v>
      </c>
      <c r="I781" s="14">
        <f t="shared" ca="1" si="4"/>
        <v>0.84517890081210767</v>
      </c>
    </row>
    <row r="782" spans="1:9" ht="14.25" customHeight="1" x14ac:dyDescent="0.3">
      <c r="A782" s="2" t="s">
        <v>1731</v>
      </c>
      <c r="B782" s="2" t="s">
        <v>1766</v>
      </c>
      <c r="C782" s="12">
        <v>44793</v>
      </c>
      <c r="D782" s="2" t="s">
        <v>1784</v>
      </c>
      <c r="E782" s="2" t="s">
        <v>1783</v>
      </c>
      <c r="F782" s="2">
        <v>250</v>
      </c>
      <c r="G782" s="2" t="s">
        <v>24</v>
      </c>
      <c r="H782" s="13">
        <v>2</v>
      </c>
      <c r="I782" s="14">
        <f t="shared" ca="1" si="4"/>
        <v>0.57849364691959737</v>
      </c>
    </row>
    <row r="783" spans="1:9" ht="14.25" customHeight="1" x14ac:dyDescent="0.3">
      <c r="A783" s="2" t="s">
        <v>1733</v>
      </c>
      <c r="B783" s="2" t="s">
        <v>1768</v>
      </c>
      <c r="C783" s="12">
        <v>44787</v>
      </c>
      <c r="D783" s="2" t="s">
        <v>1785</v>
      </c>
      <c r="E783" s="2" t="s">
        <v>1781</v>
      </c>
      <c r="F783" s="2">
        <v>130</v>
      </c>
      <c r="G783" s="2" t="s">
        <v>25</v>
      </c>
      <c r="H783" s="13">
        <v>4</v>
      </c>
      <c r="I783" s="14">
        <f t="shared" ca="1" si="4"/>
        <v>0.32174252871660047</v>
      </c>
    </row>
    <row r="784" spans="1:9" ht="14.25" customHeight="1" x14ac:dyDescent="0.3">
      <c r="A784" s="2" t="s">
        <v>1735</v>
      </c>
      <c r="B784" s="2" t="s">
        <v>1770</v>
      </c>
      <c r="C784" s="12">
        <v>44774</v>
      </c>
      <c r="D784" s="2" t="s">
        <v>1786</v>
      </c>
      <c r="E784" s="2" t="s">
        <v>1783</v>
      </c>
      <c r="F784" s="2">
        <v>60</v>
      </c>
      <c r="G784" s="2" t="s">
        <v>23</v>
      </c>
      <c r="H784" s="13">
        <v>8</v>
      </c>
      <c r="I784" s="14">
        <f t="shared" ca="1" si="4"/>
        <v>6.3986245270399866E-3</v>
      </c>
    </row>
    <row r="785" spans="1:9" ht="14.25" customHeight="1" x14ac:dyDescent="0.3">
      <c r="A785" s="2" t="s">
        <v>1737</v>
      </c>
      <c r="B785" s="2" t="s">
        <v>1772</v>
      </c>
      <c r="C785" s="12">
        <v>44756</v>
      </c>
      <c r="D785" s="2" t="s">
        <v>1780</v>
      </c>
      <c r="E785" s="2" t="s">
        <v>1781</v>
      </c>
      <c r="F785" s="2">
        <v>72</v>
      </c>
      <c r="G785" s="2" t="s">
        <v>24</v>
      </c>
      <c r="H785" s="13">
        <v>4</v>
      </c>
      <c r="I785" s="14">
        <f t="shared" ca="1" si="4"/>
        <v>0.55223610642861709</v>
      </c>
    </row>
    <row r="786" spans="1:9" ht="14.25" customHeight="1" x14ac:dyDescent="0.3">
      <c r="A786" s="2" t="s">
        <v>1739</v>
      </c>
      <c r="B786" s="2" t="s">
        <v>1764</v>
      </c>
      <c r="C786" s="12">
        <v>44810</v>
      </c>
      <c r="D786" s="2" t="s">
        <v>1782</v>
      </c>
      <c r="E786" s="2" t="s">
        <v>1783</v>
      </c>
      <c r="F786" s="2">
        <v>65</v>
      </c>
      <c r="G786" s="2" t="s">
        <v>25</v>
      </c>
      <c r="H786" s="13">
        <v>5</v>
      </c>
      <c r="I786" s="14">
        <f t="shared" ca="1" si="4"/>
        <v>6.9492173950205127E-2</v>
      </c>
    </row>
    <row r="787" spans="1:9" ht="14.25" customHeight="1" x14ac:dyDescent="0.3">
      <c r="A787" s="2" t="s">
        <v>1741</v>
      </c>
      <c r="B787" s="2" t="s">
        <v>1766</v>
      </c>
      <c r="C787" s="12">
        <v>44774</v>
      </c>
      <c r="D787" s="2" t="s">
        <v>1784</v>
      </c>
      <c r="E787" s="2" t="s">
        <v>1781</v>
      </c>
      <c r="F787" s="2">
        <v>250</v>
      </c>
      <c r="G787" s="2" t="s">
        <v>23</v>
      </c>
      <c r="H787" s="13">
        <v>3</v>
      </c>
      <c r="I787" s="14">
        <f t="shared" ca="1" si="4"/>
        <v>0.53739823403350162</v>
      </c>
    </row>
    <row r="788" spans="1:9" ht="14.25" customHeight="1" x14ac:dyDescent="0.3">
      <c r="A788" s="2" t="s">
        <v>1743</v>
      </c>
      <c r="B788" s="2" t="s">
        <v>1768</v>
      </c>
      <c r="C788" s="12">
        <v>44804</v>
      </c>
      <c r="D788" s="2" t="s">
        <v>1785</v>
      </c>
      <c r="E788" s="2" t="s">
        <v>1783</v>
      </c>
      <c r="F788" s="2">
        <v>130</v>
      </c>
      <c r="G788" s="2" t="s">
        <v>24</v>
      </c>
      <c r="H788" s="13">
        <v>4</v>
      </c>
      <c r="I788" s="14">
        <f t="shared" ca="1" si="4"/>
        <v>0.60510490765231117</v>
      </c>
    </row>
    <row r="789" spans="1:9" ht="14.25" customHeight="1" x14ac:dyDescent="0.3">
      <c r="A789" s="2" t="s">
        <v>1745</v>
      </c>
      <c r="B789" s="2" t="s">
        <v>1770</v>
      </c>
      <c r="C789" s="12">
        <v>44803</v>
      </c>
      <c r="D789" s="2" t="s">
        <v>1780</v>
      </c>
      <c r="E789" s="2" t="s">
        <v>1781</v>
      </c>
      <c r="F789" s="2">
        <v>72</v>
      </c>
      <c r="G789" s="2" t="s">
        <v>25</v>
      </c>
      <c r="H789" s="13">
        <v>5</v>
      </c>
      <c r="I789" s="14">
        <f t="shared" ca="1" si="4"/>
        <v>0.56564261085407297</v>
      </c>
    </row>
    <row r="790" spans="1:9" ht="14.25" customHeight="1" x14ac:dyDescent="0.3">
      <c r="A790" s="2" t="s">
        <v>1747</v>
      </c>
      <c r="B790" s="2" t="s">
        <v>1764</v>
      </c>
      <c r="C790" s="12">
        <v>44808</v>
      </c>
      <c r="D790" s="2" t="s">
        <v>1782</v>
      </c>
      <c r="E790" s="2" t="s">
        <v>1783</v>
      </c>
      <c r="F790" s="2">
        <v>65</v>
      </c>
      <c r="G790" s="2" t="s">
        <v>23</v>
      </c>
      <c r="H790" s="13">
        <v>7</v>
      </c>
      <c r="I790" s="14">
        <f t="shared" ca="1" si="4"/>
        <v>6.257312932662451E-2</v>
      </c>
    </row>
    <row r="791" spans="1:9" ht="14.25" customHeight="1" x14ac:dyDescent="0.3">
      <c r="A791" s="2" t="s">
        <v>1749</v>
      </c>
      <c r="B791" s="2" t="s">
        <v>1766</v>
      </c>
      <c r="C791" s="12">
        <v>44786</v>
      </c>
      <c r="D791" s="2" t="s">
        <v>1784</v>
      </c>
      <c r="E791" s="2" t="s">
        <v>1781</v>
      </c>
      <c r="F791" s="2">
        <v>250</v>
      </c>
      <c r="G791" s="2" t="s">
        <v>24</v>
      </c>
      <c r="H791" s="13">
        <v>1</v>
      </c>
      <c r="I791" s="14">
        <f t="shared" ca="1" si="4"/>
        <v>0.54731471130947584</v>
      </c>
    </row>
    <row r="792" spans="1:9" ht="14.25" customHeight="1" x14ac:dyDescent="0.3">
      <c r="A792" s="2" t="s">
        <v>1751</v>
      </c>
      <c r="B792" s="2" t="s">
        <v>1768</v>
      </c>
      <c r="C792" s="12">
        <v>44788</v>
      </c>
      <c r="D792" s="2" t="s">
        <v>1785</v>
      </c>
      <c r="E792" s="2" t="s">
        <v>1783</v>
      </c>
      <c r="F792" s="2">
        <v>130</v>
      </c>
      <c r="G792" s="2" t="s">
        <v>25</v>
      </c>
      <c r="H792" s="13">
        <v>6</v>
      </c>
      <c r="I792" s="14">
        <f t="shared" ca="1" si="4"/>
        <v>7.9274109393864922E-2</v>
      </c>
    </row>
    <row r="793" spans="1:9" ht="14.25" customHeight="1" x14ac:dyDescent="0.3">
      <c r="A793" s="2" t="s">
        <v>1753</v>
      </c>
      <c r="B793" s="2" t="s">
        <v>1770</v>
      </c>
      <c r="C793" s="12">
        <v>44772</v>
      </c>
      <c r="D793" s="2" t="s">
        <v>1786</v>
      </c>
      <c r="E793" s="2" t="s">
        <v>1781</v>
      </c>
      <c r="F793" s="2">
        <v>60</v>
      </c>
      <c r="G793" s="2" t="s">
        <v>23</v>
      </c>
      <c r="H793" s="13">
        <v>13</v>
      </c>
      <c r="I793" s="14">
        <f t="shared" ca="1" si="4"/>
        <v>1.270562724984825E-3</v>
      </c>
    </row>
    <row r="794" spans="1:9" ht="14.25" customHeight="1" x14ac:dyDescent="0.3">
      <c r="A794" s="2" t="s">
        <v>1755</v>
      </c>
      <c r="B794" s="2" t="s">
        <v>1772</v>
      </c>
      <c r="C794" s="12">
        <v>44756</v>
      </c>
      <c r="D794" s="2" t="s">
        <v>1787</v>
      </c>
      <c r="E794" s="2" t="s">
        <v>1783</v>
      </c>
      <c r="F794" s="2">
        <v>95</v>
      </c>
      <c r="G794" s="2" t="s">
        <v>24</v>
      </c>
      <c r="H794" s="13">
        <v>6</v>
      </c>
      <c r="I794" s="14">
        <f t="shared" ca="1" si="4"/>
        <v>0.54920402456140271</v>
      </c>
    </row>
    <row r="795" spans="1:9" ht="14.25" customHeight="1" x14ac:dyDescent="0.3">
      <c r="A795" s="2" t="s">
        <v>1757</v>
      </c>
      <c r="B795" s="2" t="s">
        <v>1773</v>
      </c>
      <c r="C795" s="12">
        <v>44808</v>
      </c>
      <c r="D795" s="2" t="s">
        <v>1780</v>
      </c>
      <c r="E795" s="2" t="s">
        <v>1781</v>
      </c>
      <c r="F795" s="2">
        <v>72</v>
      </c>
      <c r="G795" s="2" t="s">
        <v>25</v>
      </c>
      <c r="H795" s="13">
        <v>12</v>
      </c>
      <c r="I795" s="14">
        <f t="shared" ca="1" si="4"/>
        <v>0.44825164483965185</v>
      </c>
    </row>
    <row r="796" spans="1:9" ht="14.25" customHeight="1" x14ac:dyDescent="0.3"/>
    <row r="797" spans="1:9" ht="14.25" customHeight="1" x14ac:dyDescent="0.3"/>
    <row r="798" spans="1:9" ht="14.25" customHeight="1" x14ac:dyDescent="0.3"/>
    <row r="799" spans="1:9" ht="14.25" customHeight="1" x14ac:dyDescent="0.3"/>
    <row r="800" spans="1:9"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3B856-A886-4B8E-B1C5-449003A3A3C6}">
  <dimension ref="A1:R133"/>
  <sheetViews>
    <sheetView topLeftCell="L120" workbookViewId="0">
      <selection activeCell="S126" sqref="S126:W141"/>
    </sheetView>
  </sheetViews>
  <sheetFormatPr defaultRowHeight="14.4" x14ac:dyDescent="0.3"/>
  <cols>
    <col min="1" max="1" width="15.5546875" bestFit="1" customWidth="1"/>
    <col min="2" max="2" width="24.21875" bestFit="1" customWidth="1"/>
    <col min="3" max="3" width="17.5546875" bestFit="1" customWidth="1"/>
    <col min="4" max="4" width="28.44140625" bestFit="1" customWidth="1"/>
    <col min="11" max="11" width="12.44140625" bestFit="1" customWidth="1"/>
    <col min="12" max="12" width="17.77734375" bestFit="1" customWidth="1"/>
    <col min="15" max="15" width="12.44140625" bestFit="1" customWidth="1"/>
    <col min="16" max="16" width="24.21875" bestFit="1" customWidth="1"/>
    <col min="17" max="17" width="26" bestFit="1" customWidth="1"/>
    <col min="18" max="18" width="15.5546875" bestFit="1" customWidth="1"/>
  </cols>
  <sheetData>
    <row r="1" spans="1:12" ht="25.8" x14ac:dyDescent="0.5">
      <c r="A1" s="29" t="s">
        <v>1788</v>
      </c>
    </row>
    <row r="2" spans="1:12" ht="25.8" x14ac:dyDescent="0.5">
      <c r="A2" s="15" t="s">
        <v>1834</v>
      </c>
      <c r="B2" s="19" t="s">
        <v>1835</v>
      </c>
      <c r="C2" s="19" t="s">
        <v>1837</v>
      </c>
      <c r="D2" s="31" t="s">
        <v>1836</v>
      </c>
      <c r="K2" s="29" t="s">
        <v>1789</v>
      </c>
    </row>
    <row r="3" spans="1:12" x14ac:dyDescent="0.3">
      <c r="A3" s="20">
        <v>794</v>
      </c>
      <c r="B3" s="21">
        <v>96518</v>
      </c>
      <c r="C3" s="36">
        <v>0.46429059910785658</v>
      </c>
      <c r="D3" s="32">
        <v>121.55919395465995</v>
      </c>
    </row>
    <row r="7" spans="1:12" x14ac:dyDescent="0.3">
      <c r="K7" s="18" t="s">
        <v>21</v>
      </c>
      <c r="L7" s="16" t="s">
        <v>1833</v>
      </c>
    </row>
    <row r="8" spans="1:12" x14ac:dyDescent="0.3">
      <c r="K8" s="22" t="s">
        <v>1764</v>
      </c>
      <c r="L8" s="16">
        <v>173</v>
      </c>
    </row>
    <row r="9" spans="1:12" x14ac:dyDescent="0.3">
      <c r="K9" s="23" t="s">
        <v>1766</v>
      </c>
      <c r="L9" s="24">
        <v>173</v>
      </c>
    </row>
    <row r="10" spans="1:12" x14ac:dyDescent="0.3">
      <c r="K10" s="23" t="s">
        <v>1768</v>
      </c>
      <c r="L10" s="24">
        <v>172</v>
      </c>
    </row>
    <row r="11" spans="1:12" x14ac:dyDescent="0.3">
      <c r="K11" s="23" t="s">
        <v>1770</v>
      </c>
      <c r="L11" s="24">
        <v>171</v>
      </c>
    </row>
    <row r="12" spans="1:12" ht="23.4" x14ac:dyDescent="0.45">
      <c r="A12" s="27" t="s">
        <v>1790</v>
      </c>
      <c r="K12" s="23" t="s">
        <v>1772</v>
      </c>
      <c r="L12" s="24">
        <v>70</v>
      </c>
    </row>
    <row r="13" spans="1:12" x14ac:dyDescent="0.3">
      <c r="K13" s="23" t="s">
        <v>1773</v>
      </c>
      <c r="L13" s="24">
        <v>35</v>
      </c>
    </row>
    <row r="14" spans="1:12" x14ac:dyDescent="0.3">
      <c r="K14" s="25" t="s">
        <v>27</v>
      </c>
      <c r="L14" s="17">
        <v>794</v>
      </c>
    </row>
    <row r="15" spans="1:12" x14ac:dyDescent="0.3">
      <c r="A15" s="18" t="s">
        <v>21</v>
      </c>
      <c r="B15" s="16" t="s">
        <v>1834</v>
      </c>
    </row>
    <row r="16" spans="1:12" x14ac:dyDescent="0.3">
      <c r="A16" s="22" t="s">
        <v>32</v>
      </c>
      <c r="B16" s="16">
        <v>13</v>
      </c>
    </row>
    <row r="17" spans="1:16" x14ac:dyDescent="0.3">
      <c r="A17" s="23" t="s">
        <v>33</v>
      </c>
      <c r="B17" s="24">
        <v>11</v>
      </c>
    </row>
    <row r="18" spans="1:16" x14ac:dyDescent="0.3">
      <c r="A18" s="23" t="s">
        <v>34</v>
      </c>
      <c r="B18" s="24">
        <v>18</v>
      </c>
    </row>
    <row r="19" spans="1:16" x14ac:dyDescent="0.3">
      <c r="A19" s="23" t="s">
        <v>35</v>
      </c>
      <c r="B19" s="24">
        <v>7</v>
      </c>
    </row>
    <row r="20" spans="1:16" x14ac:dyDescent="0.3">
      <c r="A20" s="23" t="s">
        <v>36</v>
      </c>
      <c r="B20" s="24">
        <v>12</v>
      </c>
    </row>
    <row r="21" spans="1:16" x14ac:dyDescent="0.3">
      <c r="A21" s="23" t="s">
        <v>37</v>
      </c>
      <c r="B21" s="24">
        <v>6</v>
      </c>
    </row>
    <row r="22" spans="1:16" x14ac:dyDescent="0.3">
      <c r="A22" s="23" t="s">
        <v>38</v>
      </c>
      <c r="B22" s="24">
        <v>13</v>
      </c>
    </row>
    <row r="23" spans="1:16" x14ac:dyDescent="0.3">
      <c r="A23" s="23" t="s">
        <v>39</v>
      </c>
      <c r="B23" s="24">
        <v>8</v>
      </c>
    </row>
    <row r="24" spans="1:16" ht="23.4" x14ac:dyDescent="0.45">
      <c r="A24" s="23" t="s">
        <v>40</v>
      </c>
      <c r="B24" s="24">
        <v>7</v>
      </c>
      <c r="N24" s="27" t="s">
        <v>1791</v>
      </c>
    </row>
    <row r="25" spans="1:16" x14ac:dyDescent="0.3">
      <c r="A25" s="23" t="s">
        <v>41</v>
      </c>
      <c r="B25" s="24">
        <v>34</v>
      </c>
    </row>
    <row r="26" spans="1:16" x14ac:dyDescent="0.3">
      <c r="A26" s="23" t="s">
        <v>42</v>
      </c>
      <c r="B26" s="24">
        <v>29</v>
      </c>
    </row>
    <row r="27" spans="1:16" x14ac:dyDescent="0.3">
      <c r="A27" s="23" t="s">
        <v>43</v>
      </c>
      <c r="B27" s="24">
        <v>13</v>
      </c>
    </row>
    <row r="28" spans="1:16" x14ac:dyDescent="0.3">
      <c r="A28" s="23" t="s">
        <v>44</v>
      </c>
      <c r="B28" s="24">
        <v>26</v>
      </c>
    </row>
    <row r="29" spans="1:16" x14ac:dyDescent="0.3">
      <c r="A29" s="23" t="s">
        <v>45</v>
      </c>
      <c r="B29" s="24">
        <v>17</v>
      </c>
      <c r="O29" s="18" t="s">
        <v>21</v>
      </c>
      <c r="P29" s="16" t="s">
        <v>1835</v>
      </c>
    </row>
    <row r="30" spans="1:16" x14ac:dyDescent="0.3">
      <c r="A30" s="23" t="s">
        <v>46</v>
      </c>
      <c r="B30" s="24">
        <v>11</v>
      </c>
      <c r="O30" s="22" t="s">
        <v>32</v>
      </c>
      <c r="P30" s="16">
        <v>1803</v>
      </c>
    </row>
    <row r="31" spans="1:16" x14ac:dyDescent="0.3">
      <c r="A31" s="23" t="s">
        <v>47</v>
      </c>
      <c r="B31" s="24">
        <v>27</v>
      </c>
      <c r="O31" s="23" t="s">
        <v>33</v>
      </c>
      <c r="P31" s="24">
        <v>1373</v>
      </c>
    </row>
    <row r="32" spans="1:16" x14ac:dyDescent="0.3">
      <c r="A32" s="23" t="s">
        <v>48</v>
      </c>
      <c r="B32" s="24">
        <v>10</v>
      </c>
      <c r="O32" s="23" t="s">
        <v>34</v>
      </c>
      <c r="P32" s="24">
        <v>2306</v>
      </c>
    </row>
    <row r="33" spans="1:16" x14ac:dyDescent="0.3">
      <c r="A33" s="23" t="s">
        <v>1796</v>
      </c>
      <c r="B33" s="24">
        <v>10</v>
      </c>
      <c r="O33" s="23" t="s">
        <v>35</v>
      </c>
      <c r="P33" s="24">
        <v>719</v>
      </c>
    </row>
    <row r="34" spans="1:16" x14ac:dyDescent="0.3">
      <c r="A34" s="23" t="s">
        <v>1797</v>
      </c>
      <c r="B34" s="24">
        <v>15</v>
      </c>
      <c r="O34" s="23" t="s">
        <v>36</v>
      </c>
      <c r="P34" s="24">
        <v>1844</v>
      </c>
    </row>
    <row r="35" spans="1:16" x14ac:dyDescent="0.3">
      <c r="A35" s="23" t="s">
        <v>1798</v>
      </c>
      <c r="B35" s="24">
        <v>5</v>
      </c>
      <c r="O35" s="23" t="s">
        <v>37</v>
      </c>
      <c r="P35" s="24">
        <v>649</v>
      </c>
    </row>
    <row r="36" spans="1:16" x14ac:dyDescent="0.3">
      <c r="A36" s="23" t="s">
        <v>1799</v>
      </c>
      <c r="B36" s="24">
        <v>16</v>
      </c>
      <c r="O36" s="23" t="s">
        <v>38</v>
      </c>
      <c r="P36" s="24">
        <v>1444</v>
      </c>
    </row>
    <row r="37" spans="1:16" x14ac:dyDescent="0.3">
      <c r="A37" s="23" t="s">
        <v>1800</v>
      </c>
      <c r="B37" s="24">
        <v>10</v>
      </c>
      <c r="O37" s="23" t="s">
        <v>39</v>
      </c>
      <c r="P37" s="24">
        <v>742</v>
      </c>
    </row>
    <row r="38" spans="1:16" x14ac:dyDescent="0.3">
      <c r="A38" s="23" t="s">
        <v>1801</v>
      </c>
      <c r="B38" s="24">
        <v>10</v>
      </c>
      <c r="O38" s="23" t="s">
        <v>40</v>
      </c>
      <c r="P38" s="24">
        <v>733</v>
      </c>
    </row>
    <row r="39" spans="1:16" x14ac:dyDescent="0.3">
      <c r="A39" s="23" t="s">
        <v>1802</v>
      </c>
      <c r="B39" s="24">
        <v>10</v>
      </c>
      <c r="O39" s="23" t="s">
        <v>41</v>
      </c>
      <c r="P39" s="24">
        <v>4327</v>
      </c>
    </row>
    <row r="40" spans="1:16" x14ac:dyDescent="0.3">
      <c r="A40" s="23" t="s">
        <v>1803</v>
      </c>
      <c r="B40" s="24">
        <v>10</v>
      </c>
      <c r="O40" s="23" t="s">
        <v>42</v>
      </c>
      <c r="P40" s="24">
        <v>3712</v>
      </c>
    </row>
    <row r="41" spans="1:16" x14ac:dyDescent="0.3">
      <c r="A41" s="23" t="s">
        <v>1804</v>
      </c>
      <c r="B41" s="24">
        <v>10</v>
      </c>
      <c r="O41" s="23" t="s">
        <v>43</v>
      </c>
      <c r="P41" s="24">
        <v>1664</v>
      </c>
    </row>
    <row r="42" spans="1:16" x14ac:dyDescent="0.3">
      <c r="A42" s="23" t="s">
        <v>58</v>
      </c>
      <c r="B42" s="24">
        <v>15</v>
      </c>
      <c r="O42" s="23" t="s">
        <v>44</v>
      </c>
      <c r="P42" s="24">
        <v>3356</v>
      </c>
    </row>
    <row r="43" spans="1:16" x14ac:dyDescent="0.3">
      <c r="A43" s="23" t="s">
        <v>59</v>
      </c>
      <c r="B43" s="24">
        <v>20</v>
      </c>
      <c r="O43" s="23" t="s">
        <v>45</v>
      </c>
      <c r="P43" s="24">
        <v>2169</v>
      </c>
    </row>
    <row r="44" spans="1:16" x14ac:dyDescent="0.3">
      <c r="A44" s="23" t="s">
        <v>60</v>
      </c>
      <c r="B44" s="24">
        <v>10</v>
      </c>
      <c r="O44" s="23" t="s">
        <v>46</v>
      </c>
      <c r="P44" s="24">
        <v>1189</v>
      </c>
    </row>
    <row r="45" spans="1:16" x14ac:dyDescent="0.3">
      <c r="A45" s="23" t="s">
        <v>61</v>
      </c>
      <c r="B45" s="24">
        <v>26</v>
      </c>
      <c r="O45" s="23" t="s">
        <v>47</v>
      </c>
      <c r="P45" s="24">
        <v>3266</v>
      </c>
    </row>
    <row r="46" spans="1:16" x14ac:dyDescent="0.3">
      <c r="A46" s="23" t="s">
        <v>62</v>
      </c>
      <c r="B46" s="24">
        <v>14</v>
      </c>
      <c r="O46" s="23" t="s">
        <v>48</v>
      </c>
      <c r="P46" s="24">
        <v>1281</v>
      </c>
    </row>
    <row r="47" spans="1:16" x14ac:dyDescent="0.3">
      <c r="A47" s="23" t="s">
        <v>63</v>
      </c>
      <c r="B47" s="24">
        <v>14</v>
      </c>
      <c r="O47" s="23" t="s">
        <v>1796</v>
      </c>
      <c r="P47" s="24">
        <v>1032</v>
      </c>
    </row>
    <row r="48" spans="1:16" x14ac:dyDescent="0.3">
      <c r="A48" s="23" t="s">
        <v>64</v>
      </c>
      <c r="B48" s="24">
        <v>7</v>
      </c>
      <c r="O48" s="23" t="s">
        <v>1797</v>
      </c>
      <c r="P48" s="24">
        <v>1841</v>
      </c>
    </row>
    <row r="49" spans="1:16" x14ac:dyDescent="0.3">
      <c r="A49" s="23" t="s">
        <v>65</v>
      </c>
      <c r="B49" s="24">
        <v>16</v>
      </c>
      <c r="O49" s="23" t="s">
        <v>1798</v>
      </c>
      <c r="P49" s="24">
        <v>512</v>
      </c>
    </row>
    <row r="50" spans="1:16" x14ac:dyDescent="0.3">
      <c r="A50" s="23" t="s">
        <v>66</v>
      </c>
      <c r="B50" s="24">
        <v>14</v>
      </c>
      <c r="O50" s="23" t="s">
        <v>1799</v>
      </c>
      <c r="P50" s="24">
        <v>1938</v>
      </c>
    </row>
    <row r="51" spans="1:16" x14ac:dyDescent="0.3">
      <c r="A51" s="23" t="s">
        <v>67</v>
      </c>
      <c r="B51" s="24">
        <v>12</v>
      </c>
      <c r="O51" s="23" t="s">
        <v>1800</v>
      </c>
      <c r="P51" s="24">
        <v>1224</v>
      </c>
    </row>
    <row r="52" spans="1:16" x14ac:dyDescent="0.3">
      <c r="A52" s="23" t="s">
        <v>68</v>
      </c>
      <c r="B52" s="24">
        <v>13</v>
      </c>
      <c r="O52" s="23" t="s">
        <v>1801</v>
      </c>
      <c r="P52" s="24">
        <v>1006</v>
      </c>
    </row>
    <row r="53" spans="1:16" x14ac:dyDescent="0.3">
      <c r="A53" s="23" t="s">
        <v>69</v>
      </c>
      <c r="B53" s="24">
        <v>19</v>
      </c>
      <c r="O53" s="23" t="s">
        <v>1802</v>
      </c>
      <c r="P53" s="24">
        <v>1164</v>
      </c>
    </row>
    <row r="54" spans="1:16" x14ac:dyDescent="0.3">
      <c r="A54" s="23" t="s">
        <v>70</v>
      </c>
      <c r="B54" s="24">
        <v>16</v>
      </c>
      <c r="O54" s="23" t="s">
        <v>1803</v>
      </c>
      <c r="P54" s="24">
        <v>1275</v>
      </c>
    </row>
    <row r="55" spans="1:16" x14ac:dyDescent="0.3">
      <c r="A55" s="23" t="s">
        <v>71</v>
      </c>
      <c r="B55" s="24">
        <v>7</v>
      </c>
      <c r="O55" s="23" t="s">
        <v>1804</v>
      </c>
      <c r="P55" s="24">
        <v>1421</v>
      </c>
    </row>
    <row r="56" spans="1:16" x14ac:dyDescent="0.3">
      <c r="A56" s="23" t="s">
        <v>72</v>
      </c>
      <c r="B56" s="24">
        <v>5</v>
      </c>
      <c r="O56" s="23" t="s">
        <v>58</v>
      </c>
      <c r="P56" s="24">
        <v>1725</v>
      </c>
    </row>
    <row r="57" spans="1:16" x14ac:dyDescent="0.3">
      <c r="A57" s="23" t="s">
        <v>73</v>
      </c>
      <c r="B57" s="24">
        <v>3</v>
      </c>
      <c r="O57" s="23" t="s">
        <v>59</v>
      </c>
      <c r="P57" s="24">
        <v>2436</v>
      </c>
    </row>
    <row r="58" spans="1:16" x14ac:dyDescent="0.3">
      <c r="A58" s="23" t="s">
        <v>74</v>
      </c>
      <c r="B58" s="24">
        <v>9</v>
      </c>
      <c r="O58" s="23" t="s">
        <v>60</v>
      </c>
      <c r="P58" s="24">
        <v>969</v>
      </c>
    </row>
    <row r="59" spans="1:16" x14ac:dyDescent="0.3">
      <c r="A59" s="23" t="s">
        <v>75</v>
      </c>
      <c r="B59" s="24">
        <v>10</v>
      </c>
      <c r="O59" s="23" t="s">
        <v>61</v>
      </c>
      <c r="P59" s="24">
        <v>3650</v>
      </c>
    </row>
    <row r="60" spans="1:16" x14ac:dyDescent="0.3">
      <c r="A60" s="23" t="s">
        <v>76</v>
      </c>
      <c r="B60" s="24">
        <v>4</v>
      </c>
      <c r="O60" s="23" t="s">
        <v>62</v>
      </c>
      <c r="P60" s="24">
        <v>1278</v>
      </c>
    </row>
    <row r="61" spans="1:16" x14ac:dyDescent="0.3">
      <c r="A61" s="23" t="s">
        <v>77</v>
      </c>
      <c r="B61" s="24">
        <v>6</v>
      </c>
      <c r="O61" s="23" t="s">
        <v>63</v>
      </c>
      <c r="P61" s="24">
        <v>1376</v>
      </c>
    </row>
    <row r="62" spans="1:16" x14ac:dyDescent="0.3">
      <c r="A62" s="23" t="s">
        <v>78</v>
      </c>
      <c r="B62" s="24">
        <v>2</v>
      </c>
      <c r="O62" s="23" t="s">
        <v>64</v>
      </c>
      <c r="P62" s="24">
        <v>1112</v>
      </c>
    </row>
    <row r="63" spans="1:16" x14ac:dyDescent="0.3">
      <c r="A63" s="23" t="s">
        <v>1805</v>
      </c>
      <c r="B63" s="24">
        <v>8</v>
      </c>
      <c r="O63" s="23" t="s">
        <v>65</v>
      </c>
      <c r="P63" s="24">
        <v>2268</v>
      </c>
    </row>
    <row r="64" spans="1:16" x14ac:dyDescent="0.3">
      <c r="A64" s="23" t="s">
        <v>1806</v>
      </c>
      <c r="B64" s="24">
        <v>3</v>
      </c>
      <c r="O64" s="23" t="s">
        <v>66</v>
      </c>
      <c r="P64" s="24">
        <v>1803</v>
      </c>
    </row>
    <row r="65" spans="1:16" x14ac:dyDescent="0.3">
      <c r="A65" s="23" t="s">
        <v>1807</v>
      </c>
      <c r="B65" s="24">
        <v>4</v>
      </c>
      <c r="O65" s="23" t="s">
        <v>67</v>
      </c>
      <c r="P65" s="24">
        <v>1171</v>
      </c>
    </row>
    <row r="66" spans="1:16" x14ac:dyDescent="0.3">
      <c r="A66" s="23" t="s">
        <v>1808</v>
      </c>
      <c r="B66" s="24">
        <v>4</v>
      </c>
      <c r="O66" s="23" t="s">
        <v>68</v>
      </c>
      <c r="P66" s="24">
        <v>1505</v>
      </c>
    </row>
    <row r="67" spans="1:16" x14ac:dyDescent="0.3">
      <c r="A67" s="23" t="s">
        <v>1809</v>
      </c>
      <c r="B67" s="24">
        <v>5</v>
      </c>
      <c r="O67" s="23" t="s">
        <v>69</v>
      </c>
      <c r="P67" s="24">
        <v>2087</v>
      </c>
    </row>
    <row r="68" spans="1:16" x14ac:dyDescent="0.3">
      <c r="A68" s="23" t="s">
        <v>1810</v>
      </c>
      <c r="B68" s="24">
        <v>3</v>
      </c>
      <c r="O68" s="23" t="s">
        <v>70</v>
      </c>
      <c r="P68" s="24">
        <v>1741</v>
      </c>
    </row>
    <row r="69" spans="1:16" x14ac:dyDescent="0.3">
      <c r="A69" s="23" t="s">
        <v>1811</v>
      </c>
      <c r="B69" s="24">
        <v>3</v>
      </c>
      <c r="O69" s="23" t="s">
        <v>71</v>
      </c>
      <c r="P69" s="24">
        <v>957</v>
      </c>
    </row>
    <row r="70" spans="1:16" x14ac:dyDescent="0.3">
      <c r="A70" s="23" t="s">
        <v>1812</v>
      </c>
      <c r="B70" s="24">
        <v>2</v>
      </c>
      <c r="O70" s="23" t="s">
        <v>72</v>
      </c>
      <c r="P70" s="24">
        <v>531</v>
      </c>
    </row>
    <row r="71" spans="1:16" x14ac:dyDescent="0.3">
      <c r="A71" s="23" t="s">
        <v>1813</v>
      </c>
      <c r="B71" s="24">
        <v>8</v>
      </c>
      <c r="O71" s="23" t="s">
        <v>73</v>
      </c>
      <c r="P71" s="24">
        <v>202</v>
      </c>
    </row>
    <row r="72" spans="1:16" x14ac:dyDescent="0.3">
      <c r="A72" s="23" t="s">
        <v>88</v>
      </c>
      <c r="B72" s="24">
        <v>3</v>
      </c>
      <c r="O72" s="23" t="s">
        <v>74</v>
      </c>
      <c r="P72" s="24">
        <v>1383</v>
      </c>
    </row>
    <row r="73" spans="1:16" x14ac:dyDescent="0.3">
      <c r="A73" s="23" t="s">
        <v>89</v>
      </c>
      <c r="B73" s="24">
        <v>3</v>
      </c>
      <c r="O73" s="23" t="s">
        <v>75</v>
      </c>
      <c r="P73" s="24">
        <v>1009</v>
      </c>
    </row>
    <row r="74" spans="1:16" x14ac:dyDescent="0.3">
      <c r="A74" s="23" t="s">
        <v>90</v>
      </c>
      <c r="B74" s="24">
        <v>6</v>
      </c>
      <c r="O74" s="23" t="s">
        <v>76</v>
      </c>
      <c r="P74" s="24">
        <v>281</v>
      </c>
    </row>
    <row r="75" spans="1:16" x14ac:dyDescent="0.3">
      <c r="A75" s="23" t="s">
        <v>91</v>
      </c>
      <c r="B75" s="24">
        <v>3</v>
      </c>
      <c r="O75" s="23" t="s">
        <v>77</v>
      </c>
      <c r="P75" s="24">
        <v>649</v>
      </c>
    </row>
    <row r="76" spans="1:16" x14ac:dyDescent="0.3">
      <c r="A76" s="23" t="s">
        <v>92</v>
      </c>
      <c r="B76" s="24">
        <v>6</v>
      </c>
      <c r="O76" s="23" t="s">
        <v>78</v>
      </c>
      <c r="P76" s="24">
        <v>310</v>
      </c>
    </row>
    <row r="77" spans="1:16" x14ac:dyDescent="0.3">
      <c r="A77" s="23" t="s">
        <v>93</v>
      </c>
      <c r="B77" s="24">
        <v>5</v>
      </c>
      <c r="O77" s="23" t="s">
        <v>1805</v>
      </c>
      <c r="P77" s="24">
        <v>977</v>
      </c>
    </row>
    <row r="78" spans="1:16" x14ac:dyDescent="0.3">
      <c r="A78" s="23" t="s">
        <v>94</v>
      </c>
      <c r="B78" s="24">
        <v>5</v>
      </c>
      <c r="O78" s="23" t="s">
        <v>1806</v>
      </c>
      <c r="P78" s="24">
        <v>380</v>
      </c>
    </row>
    <row r="79" spans="1:16" x14ac:dyDescent="0.3">
      <c r="A79" s="23" t="s">
        <v>95</v>
      </c>
      <c r="B79" s="24">
        <v>6</v>
      </c>
      <c r="O79" s="23" t="s">
        <v>1807</v>
      </c>
      <c r="P79" s="24">
        <v>517</v>
      </c>
    </row>
    <row r="80" spans="1:16" x14ac:dyDescent="0.3">
      <c r="A80" s="23" t="s">
        <v>96</v>
      </c>
      <c r="B80" s="24">
        <v>7</v>
      </c>
      <c r="O80" s="23" t="s">
        <v>1808</v>
      </c>
      <c r="P80" s="24">
        <v>575</v>
      </c>
    </row>
    <row r="81" spans="1:16" x14ac:dyDescent="0.3">
      <c r="A81" s="23" t="s">
        <v>97</v>
      </c>
      <c r="B81" s="24">
        <v>4</v>
      </c>
      <c r="O81" s="23" t="s">
        <v>1809</v>
      </c>
      <c r="P81" s="24">
        <v>642</v>
      </c>
    </row>
    <row r="82" spans="1:16" x14ac:dyDescent="0.3">
      <c r="A82" s="23" t="s">
        <v>98</v>
      </c>
      <c r="B82" s="24">
        <v>8</v>
      </c>
      <c r="O82" s="23" t="s">
        <v>1810</v>
      </c>
      <c r="P82" s="24">
        <v>225</v>
      </c>
    </row>
    <row r="83" spans="1:16" x14ac:dyDescent="0.3">
      <c r="A83" s="23" t="s">
        <v>99</v>
      </c>
      <c r="B83" s="24">
        <v>7</v>
      </c>
      <c r="O83" s="23" t="s">
        <v>1811</v>
      </c>
      <c r="P83" s="24">
        <v>405</v>
      </c>
    </row>
    <row r="84" spans="1:16" x14ac:dyDescent="0.3">
      <c r="A84" s="23" t="s">
        <v>100</v>
      </c>
      <c r="B84" s="24">
        <v>6</v>
      </c>
      <c r="O84" s="23" t="s">
        <v>1812</v>
      </c>
      <c r="P84" s="24">
        <v>380</v>
      </c>
    </row>
    <row r="85" spans="1:16" x14ac:dyDescent="0.3">
      <c r="A85" s="23" t="s">
        <v>101</v>
      </c>
      <c r="B85" s="24">
        <v>6</v>
      </c>
      <c r="O85" s="23" t="s">
        <v>1813</v>
      </c>
      <c r="P85" s="24">
        <v>1219</v>
      </c>
    </row>
    <row r="86" spans="1:16" x14ac:dyDescent="0.3">
      <c r="A86" s="23" t="s">
        <v>102</v>
      </c>
      <c r="B86" s="24">
        <v>4</v>
      </c>
      <c r="O86" s="23" t="s">
        <v>88</v>
      </c>
      <c r="P86" s="24">
        <v>510</v>
      </c>
    </row>
    <row r="87" spans="1:16" x14ac:dyDescent="0.3">
      <c r="A87" s="23" t="s">
        <v>103</v>
      </c>
      <c r="B87" s="24">
        <v>5</v>
      </c>
      <c r="O87" s="23" t="s">
        <v>89</v>
      </c>
      <c r="P87" s="24">
        <v>445</v>
      </c>
    </row>
    <row r="88" spans="1:16" x14ac:dyDescent="0.3">
      <c r="A88" s="23" t="s">
        <v>104</v>
      </c>
      <c r="B88" s="24">
        <v>9</v>
      </c>
      <c r="O88" s="23" t="s">
        <v>90</v>
      </c>
      <c r="P88" s="24">
        <v>672</v>
      </c>
    </row>
    <row r="89" spans="1:16" x14ac:dyDescent="0.3">
      <c r="A89" s="23" t="s">
        <v>105</v>
      </c>
      <c r="B89" s="24">
        <v>10</v>
      </c>
      <c r="O89" s="23" t="s">
        <v>91</v>
      </c>
      <c r="P89" s="24">
        <v>630</v>
      </c>
    </row>
    <row r="90" spans="1:16" x14ac:dyDescent="0.3">
      <c r="A90" s="23" t="s">
        <v>106</v>
      </c>
      <c r="B90" s="24">
        <v>6</v>
      </c>
      <c r="O90" s="23" t="s">
        <v>92</v>
      </c>
      <c r="P90" s="24">
        <v>649</v>
      </c>
    </row>
    <row r="91" spans="1:16" x14ac:dyDescent="0.3">
      <c r="A91" s="23" t="s">
        <v>107</v>
      </c>
      <c r="B91" s="24">
        <v>7</v>
      </c>
      <c r="O91" s="23" t="s">
        <v>93</v>
      </c>
      <c r="P91" s="24">
        <v>462</v>
      </c>
    </row>
    <row r="92" spans="1:16" x14ac:dyDescent="0.3">
      <c r="A92" s="23" t="s">
        <v>108</v>
      </c>
      <c r="B92" s="24">
        <v>5</v>
      </c>
      <c r="O92" s="23" t="s">
        <v>94</v>
      </c>
      <c r="P92" s="24">
        <v>422</v>
      </c>
    </row>
    <row r="93" spans="1:16" x14ac:dyDescent="0.3">
      <c r="A93" s="23" t="s">
        <v>109</v>
      </c>
      <c r="B93" s="24">
        <v>1</v>
      </c>
      <c r="O93" s="23" t="s">
        <v>95</v>
      </c>
      <c r="P93" s="24">
        <v>482</v>
      </c>
    </row>
    <row r="94" spans="1:16" x14ac:dyDescent="0.3">
      <c r="A94" s="23" t="s">
        <v>1814</v>
      </c>
      <c r="B94" s="24">
        <v>2</v>
      </c>
      <c r="O94" s="23" t="s">
        <v>96</v>
      </c>
      <c r="P94" s="24">
        <v>839</v>
      </c>
    </row>
    <row r="95" spans="1:16" x14ac:dyDescent="0.3">
      <c r="A95" s="23" t="s">
        <v>1815</v>
      </c>
      <c r="B95" s="24">
        <v>4</v>
      </c>
      <c r="O95" s="23" t="s">
        <v>97</v>
      </c>
      <c r="P95" s="24">
        <v>575</v>
      </c>
    </row>
    <row r="96" spans="1:16" x14ac:dyDescent="0.3">
      <c r="A96" s="23" t="s">
        <v>1816</v>
      </c>
      <c r="B96" s="24">
        <v>6</v>
      </c>
      <c r="O96" s="23" t="s">
        <v>98</v>
      </c>
      <c r="P96" s="24">
        <v>1029</v>
      </c>
    </row>
    <row r="97" spans="1:16" x14ac:dyDescent="0.3">
      <c r="A97" s="23" t="s">
        <v>1817</v>
      </c>
      <c r="B97" s="24">
        <v>9</v>
      </c>
      <c r="O97" s="23" t="s">
        <v>99</v>
      </c>
      <c r="P97" s="24">
        <v>962</v>
      </c>
    </row>
    <row r="98" spans="1:16" x14ac:dyDescent="0.3">
      <c r="A98" s="23" t="s">
        <v>1818</v>
      </c>
      <c r="B98" s="24">
        <v>6</v>
      </c>
      <c r="O98" s="23" t="s">
        <v>100</v>
      </c>
      <c r="P98" s="24">
        <v>582</v>
      </c>
    </row>
    <row r="99" spans="1:16" x14ac:dyDescent="0.3">
      <c r="A99" s="23" t="s">
        <v>1819</v>
      </c>
      <c r="B99" s="24">
        <v>5</v>
      </c>
      <c r="O99" s="23" t="s">
        <v>101</v>
      </c>
      <c r="P99" s="24">
        <v>962</v>
      </c>
    </row>
    <row r="100" spans="1:16" x14ac:dyDescent="0.3">
      <c r="A100" s="25" t="s">
        <v>27</v>
      </c>
      <c r="B100" s="17">
        <v>794</v>
      </c>
      <c r="O100" s="23" t="s">
        <v>102</v>
      </c>
      <c r="P100" s="24">
        <v>815</v>
      </c>
    </row>
    <row r="101" spans="1:16" x14ac:dyDescent="0.3">
      <c r="O101" s="23" t="s">
        <v>103</v>
      </c>
      <c r="P101" s="24">
        <v>582</v>
      </c>
    </row>
    <row r="102" spans="1:16" x14ac:dyDescent="0.3">
      <c r="O102" s="23" t="s">
        <v>104</v>
      </c>
      <c r="P102" s="24">
        <v>867</v>
      </c>
    </row>
    <row r="103" spans="1:16" x14ac:dyDescent="0.3">
      <c r="O103" s="23" t="s">
        <v>105</v>
      </c>
      <c r="P103" s="24">
        <v>911</v>
      </c>
    </row>
    <row r="104" spans="1:16" x14ac:dyDescent="0.3">
      <c r="O104" s="23" t="s">
        <v>106</v>
      </c>
      <c r="P104" s="24">
        <v>517</v>
      </c>
    </row>
    <row r="105" spans="1:16" x14ac:dyDescent="0.3">
      <c r="O105" s="23" t="s">
        <v>107</v>
      </c>
      <c r="P105" s="24">
        <v>892</v>
      </c>
    </row>
    <row r="106" spans="1:16" x14ac:dyDescent="0.3">
      <c r="O106" s="23" t="s">
        <v>108</v>
      </c>
      <c r="P106" s="24">
        <v>716</v>
      </c>
    </row>
    <row r="107" spans="1:16" x14ac:dyDescent="0.3">
      <c r="O107" s="23" t="s">
        <v>109</v>
      </c>
      <c r="P107" s="24">
        <v>130</v>
      </c>
    </row>
    <row r="108" spans="1:16" ht="23.4" x14ac:dyDescent="0.45">
      <c r="B108" s="27" t="s">
        <v>1820</v>
      </c>
      <c r="O108" s="23" t="s">
        <v>1814</v>
      </c>
      <c r="P108" s="24">
        <v>195</v>
      </c>
    </row>
    <row r="109" spans="1:16" x14ac:dyDescent="0.3">
      <c r="O109" s="23" t="s">
        <v>1815</v>
      </c>
      <c r="P109" s="24">
        <v>640</v>
      </c>
    </row>
    <row r="110" spans="1:16" x14ac:dyDescent="0.3">
      <c r="O110" s="23" t="s">
        <v>1816</v>
      </c>
      <c r="P110" s="24">
        <v>749</v>
      </c>
    </row>
    <row r="111" spans="1:16" x14ac:dyDescent="0.3">
      <c r="B111" s="18" t="s">
        <v>21</v>
      </c>
      <c r="C111" s="16" t="s">
        <v>1835</v>
      </c>
      <c r="O111" s="23" t="s">
        <v>1817</v>
      </c>
      <c r="P111" s="24">
        <v>1149</v>
      </c>
    </row>
    <row r="112" spans="1:16" x14ac:dyDescent="0.3">
      <c r="B112" s="22" t="s">
        <v>1764</v>
      </c>
      <c r="C112" s="16">
        <v>12155</v>
      </c>
      <c r="O112" s="23" t="s">
        <v>1818</v>
      </c>
      <c r="P112" s="24">
        <v>857</v>
      </c>
    </row>
    <row r="113" spans="2:18" x14ac:dyDescent="0.3">
      <c r="B113" s="23" t="s">
        <v>1766</v>
      </c>
      <c r="C113" s="24">
        <v>19200</v>
      </c>
      <c r="O113" s="23" t="s">
        <v>1819</v>
      </c>
      <c r="P113" s="24">
        <v>524</v>
      </c>
    </row>
    <row r="114" spans="2:18" x14ac:dyDescent="0.3">
      <c r="B114" s="23" t="s">
        <v>1768</v>
      </c>
      <c r="C114" s="24">
        <v>37960</v>
      </c>
      <c r="O114" s="25" t="s">
        <v>27</v>
      </c>
      <c r="P114" s="17">
        <v>96518</v>
      </c>
    </row>
    <row r="115" spans="2:18" x14ac:dyDescent="0.3">
      <c r="B115" s="23" t="s">
        <v>1770</v>
      </c>
      <c r="C115" s="24">
        <v>19462</v>
      </c>
    </row>
    <row r="116" spans="2:18" x14ac:dyDescent="0.3">
      <c r="B116" s="23" t="s">
        <v>1772</v>
      </c>
      <c r="C116" s="24">
        <v>4623</v>
      </c>
    </row>
    <row r="117" spans="2:18" x14ac:dyDescent="0.3">
      <c r="B117" s="23" t="s">
        <v>1773</v>
      </c>
      <c r="C117" s="24">
        <v>3118</v>
      </c>
    </row>
    <row r="118" spans="2:18" x14ac:dyDescent="0.3">
      <c r="B118" s="25" t="s">
        <v>27</v>
      </c>
      <c r="C118" s="17">
        <v>96518</v>
      </c>
    </row>
    <row r="122" spans="2:18" x14ac:dyDescent="0.3">
      <c r="R122" s="35"/>
    </row>
    <row r="123" spans="2:18" ht="23.4" x14ac:dyDescent="0.45">
      <c r="Q123" s="27" t="s">
        <v>1838</v>
      </c>
    </row>
    <row r="126" spans="2:18" x14ac:dyDescent="0.3">
      <c r="Q126" s="18" t="s">
        <v>21</v>
      </c>
      <c r="R126" s="16" t="s">
        <v>1834</v>
      </c>
    </row>
    <row r="127" spans="2:18" x14ac:dyDescent="0.3">
      <c r="Q127" s="22" t="s">
        <v>1787</v>
      </c>
      <c r="R127" s="16">
        <v>35</v>
      </c>
    </row>
    <row r="128" spans="2:18" x14ac:dyDescent="0.3">
      <c r="Q128" s="23" t="s">
        <v>1782</v>
      </c>
      <c r="R128" s="24">
        <v>173</v>
      </c>
    </row>
    <row r="129" spans="17:18" x14ac:dyDescent="0.3">
      <c r="Q129" s="23" t="s">
        <v>1784</v>
      </c>
      <c r="R129" s="24">
        <v>173</v>
      </c>
    </row>
    <row r="130" spans="17:18" x14ac:dyDescent="0.3">
      <c r="Q130" s="23" t="s">
        <v>1785</v>
      </c>
      <c r="R130" s="24">
        <v>169</v>
      </c>
    </row>
    <row r="131" spans="17:18" x14ac:dyDescent="0.3">
      <c r="Q131" s="23" t="s">
        <v>1786</v>
      </c>
      <c r="R131" s="24">
        <v>70</v>
      </c>
    </row>
    <row r="132" spans="17:18" x14ac:dyDescent="0.3">
      <c r="Q132" s="23" t="s">
        <v>1780</v>
      </c>
      <c r="R132" s="24">
        <v>174</v>
      </c>
    </row>
    <row r="133" spans="17:18" x14ac:dyDescent="0.3">
      <c r="Q133" s="25" t="s">
        <v>27</v>
      </c>
      <c r="R133" s="17">
        <v>794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00"/>
  <sheetViews>
    <sheetView workbookViewId="0"/>
  </sheetViews>
  <sheetFormatPr defaultColWidth="14.44140625" defaultRowHeight="15" customHeight="1"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69C0-7954-4F23-AC91-3DC4180A7537}">
  <dimension ref="J2:T4"/>
  <sheetViews>
    <sheetView showGridLines="0" topLeftCell="A10" zoomScale="83" workbookViewId="0">
      <selection activeCell="J2" sqref="J2:T3"/>
    </sheetView>
  </sheetViews>
  <sheetFormatPr defaultRowHeight="14.4" x14ac:dyDescent="0.3"/>
  <cols>
    <col min="1" max="16384" width="8.88671875" style="37"/>
  </cols>
  <sheetData>
    <row r="2" spans="10:20" ht="60.6" customHeight="1" x14ac:dyDescent="0.3">
      <c r="J2" s="43"/>
      <c r="K2" s="44" t="s">
        <v>1840</v>
      </c>
      <c r="L2" s="44"/>
      <c r="M2" s="43"/>
      <c r="N2" s="43"/>
      <c r="O2" s="43"/>
      <c r="P2" s="43"/>
      <c r="Q2" s="43"/>
      <c r="R2" s="43"/>
      <c r="S2" s="43"/>
      <c r="T2" s="43"/>
    </row>
    <row r="3" spans="10:20" x14ac:dyDescent="0.3">
      <c r="J3" s="43"/>
      <c r="K3" s="43"/>
      <c r="L3" s="43"/>
      <c r="M3" s="43"/>
      <c r="N3" s="43"/>
      <c r="O3" s="43"/>
      <c r="P3" s="43"/>
      <c r="Q3" s="43"/>
      <c r="R3" s="43"/>
      <c r="S3" s="43"/>
      <c r="T3" s="43"/>
    </row>
    <row r="4" spans="10:20" x14ac:dyDescent="0.3">
      <c r="J4" s="38"/>
      <c r="K4" s="38"/>
      <c r="L4" s="38"/>
      <c r="M4" s="38"/>
      <c r="N4" s="38"/>
      <c r="O4" s="38"/>
      <c r="P4" s="38"/>
      <c r="Q4" s="38"/>
      <c r="R4" s="38"/>
      <c r="S4" s="38"/>
      <c r="T4" s="3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 Questions</vt:lpstr>
      <vt:lpstr>c_sat_pivots</vt:lpstr>
      <vt:lpstr>Customer_dashboard</vt:lpstr>
      <vt:lpstr>Customer Service Sol</vt:lpstr>
      <vt:lpstr>Customer charts</vt:lpstr>
      <vt:lpstr>Customer Service</vt:lpstr>
      <vt:lpstr>Finance</vt:lpstr>
      <vt:lpstr>Finance Sol</vt:lpstr>
      <vt:lpstr>Finance chart</vt:lpstr>
      <vt:lpstr>Orders</vt:lpstr>
      <vt:lpstr>order sol</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Kumar</dc:creator>
  <cp:lastModifiedBy>Prashant Kumar</cp:lastModifiedBy>
  <dcterms:created xsi:type="dcterms:W3CDTF">2026-07-22T10:57:49Z</dcterms:created>
  <dcterms:modified xsi:type="dcterms:W3CDTF">2026-07-23T12:26:59Z</dcterms:modified>
</cp:coreProperties>
</file>